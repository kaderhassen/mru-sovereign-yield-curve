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bcm327-my.sharepoint.com/personal/cire_bcm_mr/Documents/Pièces jointes/Bureau/dom-bcm/DOM/Marché monetaire/Données Notes Flash Rapport/"/>
    </mc:Choice>
  </mc:AlternateContent>
  <xr:revisionPtr revIDLastSave="624" documentId="13_ncr:1_{C6B21D06-74AD-4401-AEF4-C58B158A9647}" xr6:coauthVersionLast="47" xr6:coauthVersionMax="47" xr10:uidLastSave="{55B7106A-930F-40F3-BC94-6DEFC19ABE93}"/>
  <bookViews>
    <workbookView xWindow="-98" yWindow="-98" windowWidth="33946" windowHeight="21975" firstSheet="4" activeTab="4" xr2:uid="{27B45FAD-B7E0-45EA-8620-D6EE483F79FF}"/>
  </bookViews>
  <sheets>
    <sheet name="Feuil1" sheetId="1" state="hidden" r:id="rId1"/>
    <sheet name="Feuil2" sheetId="2" state="hidden" r:id="rId2"/>
    <sheet name="Feuil3" sheetId="3" state="hidden" r:id="rId3"/>
    <sheet name="Feuil4" sheetId="4" state="hidden" r:id="rId4"/>
    <sheet name="Marché monétaire" sheetId="5" r:id="rId5"/>
    <sheet name="Gestion des réserves Ext" sheetId="7" state="hidden" r:id="rId6"/>
    <sheet name="MIB" sheetId="8" state="hidden" r:id="rId7"/>
    <sheet name="BASE" sheetId="9" r:id="rId8"/>
  </sheets>
  <externalReferences>
    <externalReference r:id="rId9"/>
  </externalReferences>
  <definedNames>
    <definedName name="_xlnm._FilterDatabase" localSheetId="4" hidden="1">'Marché monétaire'!$B$4:$Q$154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0" i="5" l="1"/>
  <c r="V1506" i="9"/>
  <c r="V1507" i="9"/>
  <c r="V1508" i="9"/>
  <c r="V1509" i="9"/>
  <c r="V1510" i="9"/>
  <c r="R1505" i="9"/>
  <c r="S1505" i="9"/>
  <c r="T1505" i="9"/>
  <c r="U1505" i="9"/>
  <c r="R1506" i="9"/>
  <c r="U1506" i="9" s="1"/>
  <c r="S1506" i="9"/>
  <c r="T1506" i="9"/>
  <c r="R1507" i="9"/>
  <c r="S1507" i="9"/>
  <c r="T1507" i="9"/>
  <c r="U1507" i="9"/>
  <c r="R1508" i="9"/>
  <c r="S1508" i="9"/>
  <c r="T1508" i="9"/>
  <c r="U1508" i="9"/>
  <c r="R1509" i="9"/>
  <c r="S1509" i="9"/>
  <c r="T1509" i="9"/>
  <c r="U1509" i="9"/>
  <c r="R1510" i="9"/>
  <c r="S1510" i="9"/>
  <c r="T1510" i="9"/>
  <c r="U1510" i="9"/>
  <c r="V1505" i="9" l="1"/>
  <c r="H1511" i="9"/>
  <c r="K1511" i="9" s="1"/>
  <c r="E1511" i="9"/>
  <c r="H1510" i="9"/>
  <c r="E1510" i="9"/>
  <c r="K1510" i="9" s="1"/>
  <c r="K1509" i="9"/>
  <c r="H1509" i="9"/>
  <c r="E1509" i="9"/>
  <c r="K1508" i="9"/>
  <c r="H1508" i="9"/>
  <c r="E1508" i="9"/>
  <c r="H1507" i="9"/>
  <c r="E1507" i="9"/>
  <c r="K1507" i="9" s="1"/>
  <c r="H1506" i="9"/>
  <c r="E1506" i="9"/>
  <c r="K1506" i="9" s="1"/>
  <c r="H1505" i="9"/>
  <c r="E1505" i="9"/>
  <c r="K1505" i="9" s="1"/>
  <c r="B1506" i="9"/>
  <c r="B1507" i="9"/>
  <c r="B1508" i="9"/>
  <c r="B1509" i="9"/>
  <c r="B1510" i="9"/>
  <c r="B1511" i="9"/>
  <c r="B1505" i="9"/>
  <c r="R1473" i="9" l="1"/>
  <c r="V1499" i="9"/>
  <c r="V1500" i="9"/>
  <c r="V1501" i="9"/>
  <c r="V1502" i="9"/>
  <c r="V1503" i="9"/>
  <c r="V1504" i="9"/>
  <c r="R1497" i="9"/>
  <c r="U1497" i="9" s="1"/>
  <c r="S1497" i="9"/>
  <c r="T1497" i="9"/>
  <c r="R1498" i="9"/>
  <c r="S1498" i="9"/>
  <c r="T1498" i="9"/>
  <c r="U1498" i="9"/>
  <c r="R1499" i="9"/>
  <c r="U1499" i="9" s="1"/>
  <c r="S1499" i="9"/>
  <c r="T1499" i="9"/>
  <c r="R1500" i="9"/>
  <c r="S1500" i="9"/>
  <c r="T1500" i="9"/>
  <c r="U1500" i="9"/>
  <c r="R1501" i="9"/>
  <c r="U1501" i="9" s="1"/>
  <c r="S1501" i="9"/>
  <c r="T1501" i="9"/>
  <c r="R1502" i="9"/>
  <c r="S1502" i="9"/>
  <c r="T1502" i="9"/>
  <c r="U1502" i="9"/>
  <c r="R1503" i="9"/>
  <c r="U1503" i="9" s="1"/>
  <c r="S1503" i="9"/>
  <c r="T1503" i="9"/>
  <c r="R1504" i="9"/>
  <c r="S1504" i="9"/>
  <c r="T1504" i="9"/>
  <c r="U1504" i="9"/>
  <c r="V1498" i="9"/>
  <c r="H1504" i="9"/>
  <c r="E1504" i="9"/>
  <c r="B1504" i="9"/>
  <c r="K1504" i="9" s="1"/>
  <c r="H1503" i="9"/>
  <c r="E1503" i="9"/>
  <c r="B1503" i="9"/>
  <c r="K1503" i="9" s="1"/>
  <c r="K1502" i="9"/>
  <c r="H1502" i="9"/>
  <c r="E1502" i="9"/>
  <c r="B1502" i="9"/>
  <c r="H1501" i="9"/>
  <c r="E1501" i="9"/>
  <c r="B1501" i="9"/>
  <c r="K1501" i="9" s="1"/>
  <c r="K1500" i="9"/>
  <c r="H1500" i="9"/>
  <c r="E1500" i="9"/>
  <c r="B1500" i="9"/>
  <c r="H1499" i="9"/>
  <c r="E1499" i="9"/>
  <c r="B1499" i="9"/>
  <c r="K1499" i="9" s="1"/>
  <c r="K1498" i="9"/>
  <c r="H1498" i="9"/>
  <c r="E1498" i="9"/>
  <c r="B1498" i="9"/>
  <c r="Q199" i="5" l="1"/>
  <c r="V1497" i="9" l="1"/>
  <c r="Q198" i="5" l="1"/>
  <c r="V1495" i="9"/>
  <c r="V1496" i="9"/>
  <c r="V1494" i="9"/>
  <c r="V1493" i="9"/>
  <c r="R1492" i="9"/>
  <c r="S1492" i="9"/>
  <c r="U1492" i="9" s="1"/>
  <c r="T1492" i="9"/>
  <c r="R1493" i="9"/>
  <c r="U1493" i="9" s="1"/>
  <c r="S1493" i="9"/>
  <c r="T1493" i="9"/>
  <c r="R1494" i="9"/>
  <c r="S1494" i="9"/>
  <c r="T1494" i="9"/>
  <c r="U1494" i="9"/>
  <c r="R1495" i="9"/>
  <c r="U1495" i="9" s="1"/>
  <c r="S1495" i="9"/>
  <c r="T1495" i="9"/>
  <c r="R1496" i="9"/>
  <c r="S1496" i="9"/>
  <c r="T1496" i="9"/>
  <c r="U1496" i="9"/>
  <c r="V1492" i="9"/>
  <c r="V1491" i="9"/>
  <c r="H1497" i="9"/>
  <c r="E1497" i="9"/>
  <c r="B1497" i="9"/>
  <c r="K1497" i="9" s="1"/>
  <c r="H1496" i="9"/>
  <c r="E1496" i="9"/>
  <c r="B1496" i="9"/>
  <c r="K1496" i="9" s="1"/>
  <c r="H1495" i="9"/>
  <c r="E1495" i="9"/>
  <c r="B1495" i="9"/>
  <c r="K1495" i="9" s="1"/>
  <c r="H1494" i="9"/>
  <c r="E1494" i="9"/>
  <c r="B1494" i="9"/>
  <c r="K1494" i="9" s="1"/>
  <c r="H1493" i="9"/>
  <c r="E1493" i="9"/>
  <c r="B1493" i="9"/>
  <c r="K1493" i="9" s="1"/>
  <c r="H1492" i="9"/>
  <c r="E1492" i="9"/>
  <c r="B1492" i="9"/>
  <c r="K1492" i="9" s="1"/>
  <c r="H1491" i="9"/>
  <c r="K1491" i="9"/>
  <c r="T1491" i="9"/>
  <c r="U1491" i="9" s="1"/>
  <c r="E1491" i="9"/>
  <c r="S1491" i="9"/>
  <c r="B1491" i="9" l="1"/>
  <c r="R1491" i="9" s="1"/>
  <c r="R1487" i="9" l="1"/>
  <c r="S1487" i="9"/>
  <c r="T1487" i="9"/>
  <c r="U1487" i="9"/>
  <c r="V1487" i="9"/>
  <c r="R1488" i="9"/>
  <c r="S1488" i="9"/>
  <c r="T1488" i="9"/>
  <c r="U1488" i="9"/>
  <c r="V1488" i="9"/>
  <c r="R1489" i="9"/>
  <c r="U1489" i="9" s="1"/>
  <c r="S1489" i="9"/>
  <c r="T1489" i="9"/>
  <c r="V1489" i="9"/>
  <c r="R1490" i="9"/>
  <c r="S1490" i="9"/>
  <c r="T1490" i="9"/>
  <c r="U1490" i="9"/>
  <c r="V1490" i="9"/>
  <c r="V1485" i="9" l="1"/>
  <c r="V1486" i="9"/>
  <c r="Q197" i="5"/>
  <c r="R1485" i="9"/>
  <c r="R1486" i="9"/>
  <c r="V1484" i="9"/>
  <c r="B1490" i="9"/>
  <c r="B1489" i="9"/>
  <c r="B1488" i="9"/>
  <c r="B1487" i="9"/>
  <c r="B1486" i="9"/>
  <c r="B1485" i="9"/>
  <c r="B1484" i="9"/>
  <c r="R1484" i="9" s="1"/>
  <c r="V1477" i="9" l="1"/>
  <c r="V1478" i="9"/>
  <c r="V1479" i="9"/>
  <c r="V1480" i="9"/>
  <c r="V1481" i="9"/>
  <c r="V1482" i="9"/>
  <c r="V1483" i="9"/>
  <c r="Q196" i="5" l="1"/>
  <c r="R1478" i="9" l="1"/>
  <c r="U1478" i="9" s="1"/>
  <c r="R1479" i="9"/>
  <c r="R1480" i="9"/>
  <c r="R1481" i="9"/>
  <c r="R1482" i="9"/>
  <c r="U1482" i="9" s="1"/>
  <c r="R1483" i="9"/>
  <c r="U1485" i="9"/>
  <c r="U1486" i="9"/>
  <c r="T1478" i="9"/>
  <c r="T1479" i="9"/>
  <c r="U1479" i="9" s="1"/>
  <c r="T1480" i="9"/>
  <c r="U1480" i="9" s="1"/>
  <c r="T1481" i="9"/>
  <c r="T1482" i="9"/>
  <c r="T1483" i="9"/>
  <c r="U1483" i="9" s="1"/>
  <c r="T1484" i="9"/>
  <c r="U1484" i="9" s="1"/>
  <c r="T1485" i="9"/>
  <c r="T1486" i="9"/>
  <c r="U1477" i="9"/>
  <c r="U1481" i="9"/>
  <c r="S1477" i="9"/>
  <c r="S1478" i="9"/>
  <c r="S1479" i="9"/>
  <c r="S1480" i="9"/>
  <c r="S1481" i="9"/>
  <c r="S1482" i="9"/>
  <c r="S1483" i="9"/>
  <c r="S1484" i="9"/>
  <c r="S1485" i="9"/>
  <c r="S1486" i="9"/>
  <c r="B1483" i="9"/>
  <c r="B1482" i="9"/>
  <c r="B1481" i="9"/>
  <c r="B1480" i="9"/>
  <c r="B1479" i="9"/>
  <c r="B1478" i="9"/>
  <c r="B1477" i="9"/>
  <c r="R1477" i="9" s="1"/>
  <c r="H1023" i="9" l="1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022" i="9"/>
  <c r="V1471" i="9" l="1"/>
  <c r="R1465" i="9"/>
  <c r="S1465" i="9"/>
  <c r="V1465" i="9"/>
  <c r="R1466" i="9"/>
  <c r="S1466" i="9"/>
  <c r="V1466" i="9"/>
  <c r="R1467" i="9"/>
  <c r="S1467" i="9"/>
  <c r="T1467" i="9"/>
  <c r="V1467" i="9"/>
  <c r="R1468" i="9"/>
  <c r="S1468" i="9"/>
  <c r="V1468" i="9"/>
  <c r="R1469" i="9"/>
  <c r="S1469" i="9"/>
  <c r="V1469" i="9"/>
  <c r="R1470" i="9"/>
  <c r="S1470" i="9"/>
  <c r="V1470" i="9"/>
  <c r="R1471" i="9"/>
  <c r="S1471" i="9"/>
  <c r="R1472" i="9"/>
  <c r="S1472" i="9"/>
  <c r="V1472" i="9"/>
  <c r="S1473" i="9"/>
  <c r="V1473" i="9"/>
  <c r="R1474" i="9"/>
  <c r="S1474" i="9"/>
  <c r="V1474" i="9"/>
  <c r="R1475" i="9"/>
  <c r="S1475" i="9"/>
  <c r="V1475" i="9"/>
  <c r="R1476" i="9"/>
  <c r="S1476" i="9"/>
  <c r="T1476" i="9"/>
  <c r="U1476" i="9" s="1"/>
  <c r="V1476" i="9"/>
  <c r="H1490" i="9"/>
  <c r="K1490" i="9" s="1"/>
  <c r="H1489" i="9"/>
  <c r="K1489" i="9" s="1"/>
  <c r="H1488" i="9"/>
  <c r="K1488" i="9" s="1"/>
  <c r="H1487" i="9"/>
  <c r="K1487" i="9" s="1"/>
  <c r="H1486" i="9"/>
  <c r="K1486" i="9" s="1"/>
  <c r="H1485" i="9"/>
  <c r="K1485" i="9" s="1"/>
  <c r="H1484" i="9"/>
  <c r="K1484" i="9" s="1"/>
  <c r="H1483" i="9"/>
  <c r="K1483" i="9" s="1"/>
  <c r="H1482" i="9"/>
  <c r="K1482" i="9" s="1"/>
  <c r="H1481" i="9"/>
  <c r="K1481" i="9" s="1"/>
  <c r="H1480" i="9"/>
  <c r="K1480" i="9" s="1"/>
  <c r="H1479" i="9"/>
  <c r="K1479" i="9" s="1"/>
  <c r="H1478" i="9"/>
  <c r="K1478" i="9" s="1"/>
  <c r="H1477" i="9"/>
  <c r="K1476" i="9"/>
  <c r="H1476" i="9"/>
  <c r="H1475" i="9"/>
  <c r="T1475" i="9" s="1"/>
  <c r="H1474" i="9"/>
  <c r="K1474" i="9" s="1"/>
  <c r="K1473" i="9"/>
  <c r="H1473" i="9"/>
  <c r="T1473" i="9" s="1"/>
  <c r="U1473" i="9" s="1"/>
  <c r="H1472" i="9"/>
  <c r="K1472" i="9" s="1"/>
  <c r="H1471" i="9"/>
  <c r="T1471" i="9" s="1"/>
  <c r="U1471" i="9" s="1"/>
  <c r="H1470" i="9"/>
  <c r="K1470" i="9" s="1"/>
  <c r="H1469" i="9"/>
  <c r="T1469" i="9" s="1"/>
  <c r="H1468" i="9"/>
  <c r="K1468" i="9" s="1"/>
  <c r="K1467" i="9"/>
  <c r="H1467" i="9"/>
  <c r="H1466" i="9"/>
  <c r="K1466" i="9" s="1"/>
  <c r="K1465" i="9"/>
  <c r="H1465" i="9"/>
  <c r="T1465" i="9" s="1"/>
  <c r="U1465" i="9" s="1"/>
  <c r="K1464" i="9"/>
  <c r="H1464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B1476" i="9"/>
  <c r="B1475" i="9"/>
  <c r="B1474" i="9"/>
  <c r="B1473" i="9"/>
  <c r="B1472" i="9"/>
  <c r="B1471" i="9"/>
  <c r="K1477" i="9" l="1"/>
  <c r="T1477" i="9"/>
  <c r="K1469" i="9"/>
  <c r="T1474" i="9"/>
  <c r="U1474" i="9" s="1"/>
  <c r="U1469" i="9"/>
  <c r="T1472" i="9"/>
  <c r="U1472" i="9" s="1"/>
  <c r="U1467" i="9"/>
  <c r="K1475" i="9"/>
  <c r="T1470" i="9"/>
  <c r="U1470" i="9" s="1"/>
  <c r="K1471" i="9"/>
  <c r="T1468" i="9"/>
  <c r="U1468" i="9" s="1"/>
  <c r="T1466" i="9"/>
  <c r="U1466" i="9" s="1"/>
  <c r="U1475" i="9"/>
  <c r="B1464" i="9"/>
  <c r="B1465" i="9"/>
  <c r="B1466" i="9"/>
  <c r="B1467" i="9"/>
  <c r="B1468" i="9"/>
  <c r="B1469" i="9"/>
  <c r="B1470" i="9"/>
  <c r="Q195" i="5"/>
  <c r="V1409" i="9" l="1"/>
  <c r="V1410" i="9"/>
  <c r="V1411" i="9"/>
  <c r="V1412" i="9"/>
  <c r="V1413" i="9"/>
  <c r="V1414" i="9"/>
  <c r="V1415" i="9"/>
  <c r="V1416" i="9"/>
  <c r="V1417" i="9"/>
  <c r="V1418" i="9"/>
  <c r="V1419" i="9"/>
  <c r="V1420" i="9"/>
  <c r="V1421" i="9"/>
  <c r="V1422" i="9"/>
  <c r="V1423" i="9"/>
  <c r="V1424" i="9"/>
  <c r="V1425" i="9"/>
  <c r="V1426" i="9"/>
  <c r="V1427" i="9"/>
  <c r="V1428" i="9"/>
  <c r="V1429" i="9"/>
  <c r="V1430" i="9"/>
  <c r="V1431" i="9"/>
  <c r="V1432" i="9"/>
  <c r="V1433" i="9"/>
  <c r="V1434" i="9"/>
  <c r="V1435" i="9"/>
  <c r="V1436" i="9"/>
  <c r="V1437" i="9"/>
  <c r="V1438" i="9"/>
  <c r="V1439" i="9"/>
  <c r="V1440" i="9"/>
  <c r="V1441" i="9"/>
  <c r="V1442" i="9"/>
  <c r="V1443" i="9"/>
  <c r="V1444" i="9"/>
  <c r="V1445" i="9"/>
  <c r="V1446" i="9"/>
  <c r="V1447" i="9"/>
  <c r="V1448" i="9"/>
  <c r="V1449" i="9"/>
  <c r="V1450" i="9"/>
  <c r="V1451" i="9"/>
  <c r="V1452" i="9"/>
  <c r="V1453" i="9"/>
  <c r="V1454" i="9"/>
  <c r="V1455" i="9"/>
  <c r="V1456" i="9"/>
  <c r="V1457" i="9"/>
  <c r="V1458" i="9"/>
  <c r="V1459" i="9"/>
  <c r="V1460" i="9"/>
  <c r="V1461" i="9"/>
  <c r="V1462" i="9"/>
  <c r="V1463" i="9"/>
  <c r="V1464" i="9"/>
  <c r="V1408" i="9"/>
  <c r="R1435" i="9"/>
  <c r="S1435" i="9"/>
  <c r="R1436" i="9"/>
  <c r="S1436" i="9"/>
  <c r="R1437" i="9"/>
  <c r="S1437" i="9"/>
  <c r="R1438" i="9"/>
  <c r="S1438" i="9"/>
  <c r="R1439" i="9"/>
  <c r="S1439" i="9"/>
  <c r="R1440" i="9"/>
  <c r="S1440" i="9"/>
  <c r="R1441" i="9"/>
  <c r="S1441" i="9"/>
  <c r="R1442" i="9"/>
  <c r="S1442" i="9"/>
  <c r="R1443" i="9"/>
  <c r="S1443" i="9"/>
  <c r="R1444" i="9"/>
  <c r="S1444" i="9"/>
  <c r="R1445" i="9"/>
  <c r="S1445" i="9"/>
  <c r="R1446" i="9"/>
  <c r="S1446" i="9"/>
  <c r="R1447" i="9"/>
  <c r="S1447" i="9"/>
  <c r="R1448" i="9"/>
  <c r="S1448" i="9"/>
  <c r="R1449" i="9"/>
  <c r="S1449" i="9"/>
  <c r="R1450" i="9"/>
  <c r="S1450" i="9"/>
  <c r="R1451" i="9"/>
  <c r="S1451" i="9"/>
  <c r="R1452" i="9"/>
  <c r="S1452" i="9"/>
  <c r="R1453" i="9"/>
  <c r="S1453" i="9"/>
  <c r="R1454" i="9"/>
  <c r="S1454" i="9"/>
  <c r="R1455" i="9"/>
  <c r="S1455" i="9"/>
  <c r="R1456" i="9"/>
  <c r="S1456" i="9"/>
  <c r="R1457" i="9"/>
  <c r="S1457" i="9"/>
  <c r="R1458" i="9"/>
  <c r="S1458" i="9"/>
  <c r="R1459" i="9"/>
  <c r="S1459" i="9"/>
  <c r="R1460" i="9"/>
  <c r="S1460" i="9"/>
  <c r="R1461" i="9"/>
  <c r="S1461" i="9"/>
  <c r="R1462" i="9"/>
  <c r="S1462" i="9"/>
  <c r="R1463" i="9"/>
  <c r="S1463" i="9"/>
  <c r="R1464" i="9"/>
  <c r="S1464" i="9"/>
  <c r="T1464" i="9"/>
  <c r="B1463" i="9"/>
  <c r="E1463" i="9"/>
  <c r="H1463" i="9"/>
  <c r="T1463" i="9" s="1"/>
  <c r="U1463" i="9" s="1"/>
  <c r="U1464" i="9" l="1"/>
  <c r="E1456" i="9"/>
  <c r="K1459" i="9"/>
  <c r="K1460" i="9"/>
  <c r="K1463" i="9"/>
  <c r="H1448" i="9"/>
  <c r="T1448" i="9" s="1"/>
  <c r="U1448" i="9" s="1"/>
  <c r="H1449" i="9"/>
  <c r="T1449" i="9" s="1"/>
  <c r="U1449" i="9" s="1"/>
  <c r="H1450" i="9"/>
  <c r="T1450" i="9" s="1"/>
  <c r="U1450" i="9" s="1"/>
  <c r="H1451" i="9"/>
  <c r="T1451" i="9" s="1"/>
  <c r="U1451" i="9" s="1"/>
  <c r="H1452" i="9"/>
  <c r="T1452" i="9" s="1"/>
  <c r="U1452" i="9" s="1"/>
  <c r="H1453" i="9"/>
  <c r="T1453" i="9" s="1"/>
  <c r="U1453" i="9" s="1"/>
  <c r="H1454" i="9"/>
  <c r="T1454" i="9" s="1"/>
  <c r="U1454" i="9" s="1"/>
  <c r="H1455" i="9"/>
  <c r="T1455" i="9" s="1"/>
  <c r="U1455" i="9" s="1"/>
  <c r="H1456" i="9"/>
  <c r="T1456" i="9" s="1"/>
  <c r="U1456" i="9" s="1"/>
  <c r="H1457" i="9"/>
  <c r="T1457" i="9" s="1"/>
  <c r="U1457" i="9" s="1"/>
  <c r="H1458" i="9"/>
  <c r="T1458" i="9" s="1"/>
  <c r="U1458" i="9" s="1"/>
  <c r="H1459" i="9"/>
  <c r="T1459" i="9" s="1"/>
  <c r="U1459" i="9" s="1"/>
  <c r="H1460" i="9"/>
  <c r="T1460" i="9" s="1"/>
  <c r="U1460" i="9" s="1"/>
  <c r="H1461" i="9"/>
  <c r="T1461" i="9" s="1"/>
  <c r="U1461" i="9" s="1"/>
  <c r="H1462" i="9"/>
  <c r="T1462" i="9" s="1"/>
  <c r="U1462" i="9" s="1"/>
  <c r="E1446" i="9"/>
  <c r="E1447" i="9"/>
  <c r="E1448" i="9"/>
  <c r="E1449" i="9"/>
  <c r="E1450" i="9"/>
  <c r="K1450" i="9" s="1"/>
  <c r="E1451" i="9"/>
  <c r="K1451" i="9" s="1"/>
  <c r="E1452" i="9"/>
  <c r="K1452" i="9" s="1"/>
  <c r="E1453" i="9"/>
  <c r="E1454" i="9"/>
  <c r="E1455" i="9"/>
  <c r="E1457" i="9"/>
  <c r="K1457" i="9" s="1"/>
  <c r="E1458" i="9"/>
  <c r="K1458" i="9" s="1"/>
  <c r="E1459" i="9"/>
  <c r="E1460" i="9"/>
  <c r="E1461" i="9"/>
  <c r="K1461" i="9" s="1"/>
  <c r="E1462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44" i="9"/>
  <c r="B1445" i="9"/>
  <c r="B1446" i="9"/>
  <c r="B1447" i="9"/>
  <c r="B1448" i="9"/>
  <c r="Q194" i="5"/>
  <c r="H1436" i="9"/>
  <c r="T1436" i="9" s="1"/>
  <c r="U1436" i="9" s="1"/>
  <c r="H1437" i="9"/>
  <c r="T1437" i="9" s="1"/>
  <c r="U1437" i="9" s="1"/>
  <c r="H1438" i="9"/>
  <c r="H1439" i="9"/>
  <c r="H1440" i="9"/>
  <c r="H1441" i="9"/>
  <c r="H1442" i="9"/>
  <c r="T1442" i="9" s="1"/>
  <c r="U1442" i="9" s="1"/>
  <c r="H1443" i="9"/>
  <c r="T1443" i="9" s="1"/>
  <c r="U1443" i="9" s="1"/>
  <c r="H1444" i="9"/>
  <c r="T1444" i="9" s="1"/>
  <c r="U1444" i="9" s="1"/>
  <c r="H1445" i="9"/>
  <c r="T1445" i="9" s="1"/>
  <c r="U1445" i="9" s="1"/>
  <c r="H1446" i="9"/>
  <c r="T1446" i="9" s="1"/>
  <c r="U1446" i="9" s="1"/>
  <c r="H1447" i="9"/>
  <c r="T1447" i="9" s="1"/>
  <c r="U1447" i="9" s="1"/>
  <c r="E1437" i="9"/>
  <c r="E1438" i="9"/>
  <c r="E1439" i="9"/>
  <c r="E1440" i="9"/>
  <c r="E1441" i="9"/>
  <c r="E1442" i="9"/>
  <c r="E1443" i="9"/>
  <c r="E1444" i="9"/>
  <c r="K1444" i="9" s="1"/>
  <c r="E1445" i="9"/>
  <c r="B1436" i="9"/>
  <c r="B1437" i="9"/>
  <c r="B1438" i="9"/>
  <c r="B1439" i="9"/>
  <c r="B1440" i="9"/>
  <c r="B1441" i="9"/>
  <c r="B1442" i="9"/>
  <c r="B1443" i="9"/>
  <c r="Q190" i="5"/>
  <c r="Q191" i="5"/>
  <c r="Q192" i="5"/>
  <c r="Q193" i="5"/>
  <c r="R1428" i="9"/>
  <c r="S1428" i="9"/>
  <c r="R1429" i="9"/>
  <c r="S1429" i="9"/>
  <c r="R1430" i="9"/>
  <c r="S1430" i="9"/>
  <c r="R1431" i="9"/>
  <c r="S1431" i="9"/>
  <c r="R1432" i="9"/>
  <c r="S1432" i="9"/>
  <c r="R1433" i="9"/>
  <c r="S1433" i="9"/>
  <c r="R1434" i="9"/>
  <c r="S1434" i="9"/>
  <c r="K1439" i="9" l="1"/>
  <c r="T1439" i="9"/>
  <c r="U1439" i="9" s="1"/>
  <c r="K1438" i="9"/>
  <c r="T1438" i="9"/>
  <c r="U1438" i="9" s="1"/>
  <c r="K1454" i="9"/>
  <c r="K1455" i="9"/>
  <c r="K1447" i="9"/>
  <c r="K1446" i="9"/>
  <c r="K1441" i="9"/>
  <c r="T1441" i="9"/>
  <c r="U1441" i="9" s="1"/>
  <c r="K1445" i="9"/>
  <c r="K1440" i="9"/>
  <c r="T1440" i="9"/>
  <c r="U1440" i="9" s="1"/>
  <c r="K1448" i="9"/>
  <c r="K1462" i="9"/>
  <c r="K1456" i="9"/>
  <c r="K1453" i="9"/>
  <c r="K1449" i="9"/>
  <c r="K1443" i="9"/>
  <c r="K1442" i="9"/>
  <c r="K1436" i="9"/>
  <c r="K1437" i="9"/>
  <c r="E1433" i="9"/>
  <c r="E1434" i="9"/>
  <c r="E1435" i="9"/>
  <c r="E1436" i="9"/>
  <c r="B1432" i="9"/>
  <c r="B1433" i="9"/>
  <c r="B1434" i="9"/>
  <c r="B1435" i="9"/>
  <c r="H1428" i="9" l="1"/>
  <c r="T1428" i="9" s="1"/>
  <c r="U1428" i="9" s="1"/>
  <c r="H1429" i="9"/>
  <c r="T1429" i="9" s="1"/>
  <c r="U1429" i="9" s="1"/>
  <c r="H1430" i="9"/>
  <c r="T1430" i="9" s="1"/>
  <c r="U1430" i="9" s="1"/>
  <c r="H1431" i="9"/>
  <c r="T1431" i="9" s="1"/>
  <c r="U1431" i="9" s="1"/>
  <c r="H1432" i="9"/>
  <c r="H1433" i="9"/>
  <c r="H1434" i="9"/>
  <c r="H1435" i="9"/>
  <c r="E1429" i="9"/>
  <c r="E1430" i="9"/>
  <c r="E1431" i="9"/>
  <c r="E1432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K1435" i="9" l="1"/>
  <c r="T1435" i="9"/>
  <c r="U1435" i="9" s="1"/>
  <c r="K1434" i="9"/>
  <c r="T1434" i="9"/>
  <c r="U1434" i="9" s="1"/>
  <c r="K1433" i="9"/>
  <c r="T1433" i="9"/>
  <c r="U1433" i="9" s="1"/>
  <c r="K1432" i="9"/>
  <c r="T1432" i="9"/>
  <c r="U1432" i="9" s="1"/>
  <c r="Q186" i="5"/>
  <c r="Q187" i="5"/>
  <c r="Q188" i="5"/>
  <c r="Q189" i="5"/>
  <c r="R1407" i="9"/>
  <c r="S1407" i="9"/>
  <c r="T1407" i="9"/>
  <c r="U1407" i="9" s="1"/>
  <c r="R1408" i="9"/>
  <c r="S1408" i="9"/>
  <c r="R1409" i="9"/>
  <c r="S1409" i="9"/>
  <c r="R1410" i="9"/>
  <c r="S1410" i="9"/>
  <c r="R1411" i="9"/>
  <c r="S1411" i="9"/>
  <c r="R1412" i="9"/>
  <c r="S1412" i="9"/>
  <c r="R1413" i="9"/>
  <c r="S1413" i="9"/>
  <c r="R1414" i="9"/>
  <c r="U1414" i="9" s="1"/>
  <c r="S1414" i="9"/>
  <c r="T1414" i="9"/>
  <c r="R1415" i="9"/>
  <c r="S1415" i="9"/>
  <c r="R1416" i="9"/>
  <c r="S1416" i="9"/>
  <c r="T1416" i="9"/>
  <c r="R1417" i="9"/>
  <c r="S1417" i="9"/>
  <c r="R1418" i="9"/>
  <c r="S1418" i="9"/>
  <c r="R1419" i="9"/>
  <c r="S1419" i="9"/>
  <c r="R1420" i="9"/>
  <c r="S1420" i="9"/>
  <c r="T1420" i="9"/>
  <c r="R1421" i="9"/>
  <c r="S1421" i="9"/>
  <c r="T1421" i="9"/>
  <c r="U1421" i="9" s="1"/>
  <c r="R1422" i="9"/>
  <c r="S1422" i="9"/>
  <c r="R1423" i="9"/>
  <c r="S1423" i="9"/>
  <c r="T1423" i="9"/>
  <c r="R1424" i="9"/>
  <c r="S1424" i="9"/>
  <c r="R1425" i="9"/>
  <c r="S1425" i="9"/>
  <c r="R1426" i="9"/>
  <c r="S1426" i="9"/>
  <c r="R1427" i="9"/>
  <c r="S1427" i="9"/>
  <c r="T1427" i="9"/>
  <c r="U1427" i="9"/>
  <c r="K1420" i="9"/>
  <c r="K1421" i="9"/>
  <c r="K1422" i="9"/>
  <c r="K1427" i="9"/>
  <c r="K1429" i="9"/>
  <c r="K1430" i="9"/>
  <c r="K1431" i="9"/>
  <c r="H1419" i="9"/>
  <c r="T1419" i="9" s="1"/>
  <c r="H1420" i="9"/>
  <c r="H1421" i="9"/>
  <c r="H1422" i="9"/>
  <c r="T1422" i="9" s="1"/>
  <c r="H1423" i="9"/>
  <c r="K1423" i="9" s="1"/>
  <c r="H1424" i="9"/>
  <c r="T1424" i="9" s="1"/>
  <c r="U1424" i="9" s="1"/>
  <c r="H1425" i="9"/>
  <c r="T1425" i="9" s="1"/>
  <c r="U1425" i="9" s="1"/>
  <c r="H1426" i="9"/>
  <c r="T1426" i="9" s="1"/>
  <c r="H1427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K1428" i="9" s="1"/>
  <c r="K1406" i="9"/>
  <c r="K1419" i="9"/>
  <c r="H1406" i="9"/>
  <c r="H1407" i="9"/>
  <c r="H1408" i="9"/>
  <c r="T1408" i="9" s="1"/>
  <c r="H1409" i="9"/>
  <c r="T1409" i="9" s="1"/>
  <c r="U1409" i="9" s="1"/>
  <c r="H1410" i="9"/>
  <c r="T1410" i="9" s="1"/>
  <c r="H1411" i="9"/>
  <c r="K1411" i="9" s="1"/>
  <c r="H1412" i="9"/>
  <c r="T1412" i="9" s="1"/>
  <c r="H1413" i="9"/>
  <c r="T1413" i="9" s="1"/>
  <c r="U1413" i="9" s="1"/>
  <c r="H1414" i="9"/>
  <c r="H1415" i="9"/>
  <c r="T1415" i="9" s="1"/>
  <c r="U1415" i="9" s="1"/>
  <c r="H1416" i="9"/>
  <c r="K1416" i="9" s="1"/>
  <c r="H1417" i="9"/>
  <c r="T1417" i="9" s="1"/>
  <c r="U1417" i="9" s="1"/>
  <c r="H1418" i="9"/>
  <c r="K1418" i="9" s="1"/>
  <c r="E1407" i="9"/>
  <c r="E1408" i="9"/>
  <c r="E1409" i="9"/>
  <c r="E1410" i="9"/>
  <c r="E1411" i="9"/>
  <c r="E1412" i="9"/>
  <c r="E1413" i="9"/>
  <c r="E1414" i="9"/>
  <c r="K1414" i="9" s="1"/>
  <c r="B1407" i="9"/>
  <c r="B1408" i="9"/>
  <c r="B1409" i="9"/>
  <c r="B1410" i="9"/>
  <c r="B1411" i="9"/>
  <c r="B1412" i="9"/>
  <c r="B1413" i="9"/>
  <c r="U1412" i="9" l="1"/>
  <c r="T1411" i="9"/>
  <c r="U1411" i="9" s="1"/>
  <c r="K1426" i="9"/>
  <c r="U1423" i="9"/>
  <c r="U1419" i="9"/>
  <c r="K1425" i="9"/>
  <c r="U1416" i="9"/>
  <c r="K1417" i="9"/>
  <c r="K1424" i="9"/>
  <c r="U1420" i="9"/>
  <c r="U1426" i="9"/>
  <c r="T1418" i="9"/>
  <c r="U1418" i="9" s="1"/>
  <c r="U1422" i="9"/>
  <c r="U1410" i="9"/>
  <c r="U1408" i="9"/>
  <c r="K1413" i="9"/>
  <c r="K1409" i="9"/>
  <c r="K1408" i="9"/>
  <c r="K1410" i="9"/>
  <c r="K1415" i="9"/>
  <c r="K1412" i="9"/>
  <c r="K1407" i="9"/>
  <c r="R1321" i="9"/>
  <c r="R1397" i="9"/>
  <c r="S1397" i="9"/>
  <c r="R1398" i="9"/>
  <c r="S1398" i="9"/>
  <c r="R1399" i="9"/>
  <c r="S1399" i="9"/>
  <c r="R1400" i="9"/>
  <c r="S1400" i="9"/>
  <c r="R1401" i="9"/>
  <c r="S1401" i="9"/>
  <c r="R1402" i="9"/>
  <c r="S1402" i="9"/>
  <c r="R1403" i="9"/>
  <c r="S1403" i="9"/>
  <c r="R1404" i="9"/>
  <c r="S1404" i="9"/>
  <c r="R1405" i="9"/>
  <c r="S1405" i="9"/>
  <c r="R1406" i="9"/>
  <c r="S1406" i="9"/>
  <c r="T1406" i="9"/>
  <c r="U1406" i="9"/>
  <c r="E1406" i="9" l="1"/>
  <c r="B1406" i="9"/>
  <c r="E1405" i="9"/>
  <c r="B1405" i="9"/>
  <c r="R1393" i="9" l="1"/>
  <c r="S1393" i="9"/>
  <c r="R1394" i="9"/>
  <c r="S1394" i="9"/>
  <c r="R1395" i="9"/>
  <c r="S1395" i="9"/>
  <c r="R1396" i="9"/>
  <c r="S1396" i="9"/>
  <c r="H1405" i="9" l="1"/>
  <c r="H1404" i="9"/>
  <c r="T1404" i="9" s="1"/>
  <c r="U1404" i="9" s="1"/>
  <c r="H1403" i="9"/>
  <c r="T1403" i="9" s="1"/>
  <c r="U1403" i="9" s="1"/>
  <c r="H1402" i="9"/>
  <c r="T1402" i="9" s="1"/>
  <c r="U1402" i="9" s="1"/>
  <c r="H1401" i="9"/>
  <c r="H1400" i="9"/>
  <c r="T1400" i="9" s="1"/>
  <c r="U1400" i="9" s="1"/>
  <c r="H1399" i="9"/>
  <c r="E1399" i="9"/>
  <c r="E1400" i="9"/>
  <c r="E1401" i="9"/>
  <c r="E1402" i="9"/>
  <c r="E1403" i="9"/>
  <c r="E1404" i="9"/>
  <c r="B1399" i="9"/>
  <c r="B1400" i="9"/>
  <c r="B1401" i="9"/>
  <c r="B1402" i="9"/>
  <c r="B1403" i="9"/>
  <c r="B1404" i="9"/>
  <c r="R1380" i="9"/>
  <c r="S1380" i="9"/>
  <c r="R1381" i="9"/>
  <c r="S1381" i="9"/>
  <c r="R1382" i="9"/>
  <c r="S1382" i="9"/>
  <c r="R1383" i="9"/>
  <c r="S1383" i="9"/>
  <c r="R1384" i="9"/>
  <c r="S1384" i="9"/>
  <c r="R1385" i="9"/>
  <c r="S1385" i="9"/>
  <c r="R1386" i="9"/>
  <c r="S1386" i="9"/>
  <c r="R1387" i="9"/>
  <c r="S1387" i="9"/>
  <c r="R1388" i="9"/>
  <c r="S1388" i="9"/>
  <c r="R1389" i="9"/>
  <c r="S1389" i="9"/>
  <c r="R1390" i="9"/>
  <c r="S1390" i="9"/>
  <c r="R1391" i="9"/>
  <c r="S1391" i="9"/>
  <c r="R1392" i="9"/>
  <c r="S1392" i="9"/>
  <c r="H1392" i="9"/>
  <c r="T1392" i="9" s="1"/>
  <c r="U1392" i="9" s="1"/>
  <c r="H1393" i="9"/>
  <c r="T1393" i="9" s="1"/>
  <c r="U1393" i="9" s="1"/>
  <c r="H1394" i="9"/>
  <c r="T1394" i="9" s="1"/>
  <c r="U1394" i="9" s="1"/>
  <c r="H1395" i="9"/>
  <c r="T1395" i="9" s="1"/>
  <c r="U1395" i="9" s="1"/>
  <c r="H1396" i="9"/>
  <c r="T1396" i="9" s="1"/>
  <c r="U1396" i="9" s="1"/>
  <c r="H1397" i="9"/>
  <c r="T1397" i="9" s="1"/>
  <c r="U1397" i="9" s="1"/>
  <c r="H1398" i="9"/>
  <c r="T1398" i="9" s="1"/>
  <c r="U1398" i="9" s="1"/>
  <c r="K1392" i="9" l="1"/>
  <c r="K1401" i="9"/>
  <c r="T1401" i="9"/>
  <c r="U1401" i="9" s="1"/>
  <c r="K1399" i="9"/>
  <c r="T1399" i="9"/>
  <c r="U1399" i="9" s="1"/>
  <c r="K1405" i="9"/>
  <c r="T1405" i="9"/>
  <c r="U1405" i="9" s="1"/>
  <c r="K1402" i="9"/>
  <c r="K1403" i="9"/>
  <c r="K1404" i="9"/>
  <c r="K1400" i="9"/>
  <c r="E1392" i="9"/>
  <c r="E1393" i="9"/>
  <c r="E1394" i="9"/>
  <c r="E1395" i="9"/>
  <c r="E1396" i="9"/>
  <c r="E1397" i="9"/>
  <c r="E1398" i="9"/>
  <c r="B1386" i="9"/>
  <c r="B1387" i="9"/>
  <c r="B1388" i="9"/>
  <c r="B1389" i="9"/>
  <c r="B1390" i="9"/>
  <c r="B1391" i="9"/>
  <c r="B1392" i="9"/>
  <c r="B1393" i="9"/>
  <c r="K1393" i="9" s="1"/>
  <c r="B1394" i="9"/>
  <c r="K1394" i="9" s="1"/>
  <c r="B1395" i="9"/>
  <c r="K1395" i="9" s="1"/>
  <c r="B1396" i="9"/>
  <c r="K1396" i="9" s="1"/>
  <c r="B1397" i="9"/>
  <c r="B1398" i="9"/>
  <c r="Q184" i="5"/>
  <c r="Q185" i="5"/>
  <c r="Q183" i="5"/>
  <c r="K1398" i="9" l="1"/>
  <c r="K1397" i="9"/>
  <c r="R1372" i="9"/>
  <c r="S1372" i="9"/>
  <c r="R1373" i="9"/>
  <c r="S1373" i="9"/>
  <c r="R1374" i="9"/>
  <c r="S1374" i="9"/>
  <c r="R1375" i="9"/>
  <c r="S1375" i="9"/>
  <c r="R1376" i="9"/>
  <c r="S1376" i="9"/>
  <c r="R1377" i="9"/>
  <c r="S1377" i="9"/>
  <c r="R1378" i="9"/>
  <c r="S1378" i="9"/>
  <c r="S1379" i="9"/>
  <c r="B1379" i="9" l="1"/>
  <c r="R1379" i="9" s="1"/>
  <c r="B1380" i="9"/>
  <c r="B1381" i="9"/>
  <c r="B1382" i="9"/>
  <c r="B1383" i="9"/>
  <c r="B1384" i="9"/>
  <c r="B1385" i="9"/>
  <c r="F299" i="5" l="1"/>
  <c r="Q182" i="5"/>
  <c r="H1391" i="9"/>
  <c r="T1391" i="9" s="1"/>
  <c r="U1391" i="9" s="1"/>
  <c r="E1391" i="9"/>
  <c r="K1391" i="9" s="1"/>
  <c r="H1390" i="9"/>
  <c r="T1390" i="9" s="1"/>
  <c r="U1390" i="9" s="1"/>
  <c r="E1390" i="9"/>
  <c r="K1390" i="9" s="1"/>
  <c r="H1389" i="9"/>
  <c r="E1389" i="9"/>
  <c r="H1388" i="9"/>
  <c r="T1388" i="9" s="1"/>
  <c r="U1388" i="9" s="1"/>
  <c r="E1388" i="9"/>
  <c r="H1387" i="9"/>
  <c r="T1387" i="9" s="1"/>
  <c r="U1387" i="9" s="1"/>
  <c r="E1387" i="9"/>
  <c r="K1387" i="9" s="1"/>
  <c r="K1386" i="9"/>
  <c r="H1386" i="9"/>
  <c r="T1386" i="9" s="1"/>
  <c r="U1386" i="9" s="1"/>
  <c r="E1386" i="9"/>
  <c r="H1385" i="9"/>
  <c r="T1385" i="9" s="1"/>
  <c r="U1385" i="9" s="1"/>
  <c r="E1385" i="9"/>
  <c r="K1385" i="9" s="1"/>
  <c r="H1384" i="9"/>
  <c r="T1384" i="9" s="1"/>
  <c r="U1384" i="9" s="1"/>
  <c r="E1384" i="9"/>
  <c r="K1384" i="9" s="1"/>
  <c r="H1383" i="9"/>
  <c r="T1383" i="9" s="1"/>
  <c r="U1383" i="9" s="1"/>
  <c r="E1383" i="9"/>
  <c r="K1383" i="9" s="1"/>
  <c r="H1382" i="9"/>
  <c r="T1382" i="9" s="1"/>
  <c r="U1382" i="9" s="1"/>
  <c r="E1382" i="9"/>
  <c r="H1381" i="9"/>
  <c r="T1381" i="9" s="1"/>
  <c r="U1381" i="9" s="1"/>
  <c r="E1381" i="9"/>
  <c r="H1380" i="9"/>
  <c r="T1380" i="9" s="1"/>
  <c r="U1380" i="9" s="1"/>
  <c r="E1380" i="9"/>
  <c r="H1379" i="9"/>
  <c r="T1379" i="9" s="1"/>
  <c r="U1379" i="9" s="1"/>
  <c r="E1379" i="9"/>
  <c r="H1378" i="9"/>
  <c r="E1378" i="9"/>
  <c r="B1378" i="9"/>
  <c r="H1377" i="9"/>
  <c r="T1377" i="9" s="1"/>
  <c r="U1377" i="9" s="1"/>
  <c r="E1377" i="9"/>
  <c r="B1377" i="9"/>
  <c r="H1376" i="9"/>
  <c r="E1376" i="9"/>
  <c r="B1376" i="9"/>
  <c r="H1375" i="9"/>
  <c r="T1375" i="9" s="1"/>
  <c r="U1375" i="9" s="1"/>
  <c r="E1375" i="9"/>
  <c r="B1375" i="9"/>
  <c r="H1374" i="9"/>
  <c r="E1374" i="9"/>
  <c r="B1374" i="9"/>
  <c r="H1373" i="9"/>
  <c r="T1373" i="9" s="1"/>
  <c r="U1373" i="9" s="1"/>
  <c r="E1373" i="9"/>
  <c r="B1373" i="9"/>
  <c r="H1372" i="9"/>
  <c r="T1372" i="9" s="1"/>
  <c r="U1372" i="9" s="1"/>
  <c r="R1362" i="9"/>
  <c r="U1362" i="9" s="1"/>
  <c r="S1362" i="9"/>
  <c r="T1362" i="9"/>
  <c r="R1363" i="9"/>
  <c r="U1363" i="9" s="1"/>
  <c r="S1363" i="9"/>
  <c r="T1363" i="9"/>
  <c r="R1364" i="9"/>
  <c r="U1364" i="9" s="1"/>
  <c r="S1364" i="9"/>
  <c r="T1364" i="9"/>
  <c r="R1365" i="9"/>
  <c r="S1365" i="9"/>
  <c r="R1366" i="9"/>
  <c r="S1366" i="9"/>
  <c r="T1366" i="9"/>
  <c r="R1367" i="9"/>
  <c r="S1367" i="9"/>
  <c r="R1368" i="9"/>
  <c r="S1368" i="9"/>
  <c r="R1369" i="9"/>
  <c r="S1369" i="9"/>
  <c r="R1370" i="9"/>
  <c r="S1370" i="9"/>
  <c r="R1371" i="9"/>
  <c r="S1371" i="9"/>
  <c r="T1371" i="9"/>
  <c r="K1366" i="9"/>
  <c r="K1367" i="9"/>
  <c r="K1370" i="9"/>
  <c r="K1371" i="9"/>
  <c r="H1366" i="9"/>
  <c r="H1367" i="9"/>
  <c r="T1367" i="9" s="1"/>
  <c r="H1368" i="9"/>
  <c r="K1368" i="9" s="1"/>
  <c r="H1369" i="9"/>
  <c r="K1369" i="9" s="1"/>
  <c r="H1370" i="9"/>
  <c r="T1370" i="9" s="1"/>
  <c r="H1371" i="9"/>
  <c r="E1372" i="9"/>
  <c r="E1366" i="9"/>
  <c r="E1367" i="9"/>
  <c r="E1368" i="9"/>
  <c r="E1369" i="9"/>
  <c r="E1370" i="9"/>
  <c r="E1371" i="9"/>
  <c r="E1365" i="9"/>
  <c r="B1367" i="9"/>
  <c r="B1368" i="9"/>
  <c r="B1369" i="9"/>
  <c r="B1370" i="9"/>
  <c r="B1371" i="9"/>
  <c r="B1372" i="9"/>
  <c r="K1389" i="9" l="1"/>
  <c r="T1389" i="9"/>
  <c r="U1389" i="9" s="1"/>
  <c r="U1370" i="9"/>
  <c r="K1374" i="9"/>
  <c r="T1374" i="9"/>
  <c r="U1374" i="9" s="1"/>
  <c r="K1380" i="9"/>
  <c r="U1369" i="9"/>
  <c r="K1377" i="9"/>
  <c r="T1368" i="9"/>
  <c r="K1375" i="9"/>
  <c r="T1369" i="9"/>
  <c r="U1366" i="9"/>
  <c r="U1371" i="9"/>
  <c r="K1373" i="9"/>
  <c r="U1368" i="9"/>
  <c r="K1378" i="9"/>
  <c r="T1378" i="9"/>
  <c r="U1378" i="9" s="1"/>
  <c r="K1381" i="9"/>
  <c r="K1388" i="9"/>
  <c r="U1367" i="9"/>
  <c r="K1376" i="9"/>
  <c r="T1376" i="9"/>
  <c r="U1376" i="9" s="1"/>
  <c r="K1379" i="9"/>
  <c r="K1382" i="9"/>
  <c r="K1372" i="9"/>
  <c r="Q180" i="5"/>
  <c r="Q181" i="5"/>
  <c r="R1358" i="9"/>
  <c r="S1358" i="9"/>
  <c r="T1358" i="9"/>
  <c r="U1358" i="9"/>
  <c r="R1359" i="9"/>
  <c r="U1359" i="9" s="1"/>
  <c r="S1359" i="9"/>
  <c r="T1359" i="9"/>
  <c r="R1360" i="9"/>
  <c r="S1360" i="9"/>
  <c r="T1360" i="9"/>
  <c r="U1360" i="9"/>
  <c r="R1361" i="9"/>
  <c r="U1361" i="9" s="1"/>
  <c r="S1361" i="9"/>
  <c r="T1361" i="9"/>
  <c r="K1358" i="9" l="1"/>
  <c r="K1359" i="9"/>
  <c r="K1360" i="9"/>
  <c r="K1361" i="9"/>
  <c r="K1362" i="9"/>
  <c r="K1363" i="9"/>
  <c r="K1364" i="9"/>
  <c r="B1359" i="9"/>
  <c r="B1360" i="9"/>
  <c r="B1361" i="9"/>
  <c r="B1362" i="9"/>
  <c r="B1363" i="9"/>
  <c r="B1364" i="9"/>
  <c r="B1365" i="9"/>
  <c r="B1366" i="9"/>
  <c r="B1358" i="9"/>
  <c r="Q179" i="5"/>
  <c r="R1345" i="9"/>
  <c r="S1345" i="9"/>
  <c r="T1345" i="9"/>
  <c r="U1345" i="9" s="1"/>
  <c r="R1346" i="9"/>
  <c r="S1346" i="9"/>
  <c r="T1346" i="9"/>
  <c r="U1346" i="9"/>
  <c r="R1347" i="9"/>
  <c r="S1347" i="9"/>
  <c r="T1347" i="9"/>
  <c r="U1347" i="9"/>
  <c r="R1348" i="9"/>
  <c r="S1348" i="9"/>
  <c r="T1348" i="9"/>
  <c r="U1348" i="9"/>
  <c r="R1349" i="9"/>
  <c r="S1349" i="9"/>
  <c r="T1349" i="9"/>
  <c r="U1349" i="9"/>
  <c r="R1350" i="9"/>
  <c r="S1350" i="9"/>
  <c r="T1350" i="9"/>
  <c r="U1350" i="9"/>
  <c r="R1351" i="9"/>
  <c r="S1351" i="9"/>
  <c r="T1351" i="9"/>
  <c r="U1351" i="9"/>
  <c r="R1352" i="9"/>
  <c r="S1352" i="9"/>
  <c r="T1352" i="9"/>
  <c r="U1352" i="9"/>
  <c r="R1353" i="9"/>
  <c r="S1353" i="9"/>
  <c r="T1353" i="9"/>
  <c r="U1353" i="9"/>
  <c r="R1354" i="9"/>
  <c r="S1354" i="9"/>
  <c r="T1354" i="9"/>
  <c r="U1354" i="9"/>
  <c r="R1355" i="9"/>
  <c r="S1355" i="9"/>
  <c r="T1355" i="9"/>
  <c r="U1355" i="9"/>
  <c r="R1356" i="9"/>
  <c r="S1356" i="9"/>
  <c r="T1356" i="9"/>
  <c r="U1356" i="9"/>
  <c r="R1357" i="9"/>
  <c r="S1357" i="9"/>
  <c r="T1357" i="9"/>
  <c r="U1357" i="9"/>
  <c r="K1357" i="9"/>
  <c r="K1356" i="9"/>
  <c r="K1355" i="9"/>
  <c r="K1354" i="9"/>
  <c r="K1353" i="9"/>
  <c r="K1352" i="9"/>
  <c r="K1351" i="9"/>
  <c r="K1350" i="9"/>
  <c r="K1349" i="9"/>
  <c r="K1348" i="9"/>
  <c r="K1347" i="9"/>
  <c r="K1346" i="9"/>
  <c r="K1345" i="9"/>
  <c r="G299" i="5"/>
  <c r="H299" i="5"/>
  <c r="I299" i="5"/>
  <c r="J299" i="5"/>
  <c r="K299" i="5"/>
  <c r="L299" i="5"/>
  <c r="M299" i="5"/>
  <c r="N299" i="5"/>
  <c r="O299" i="5"/>
  <c r="P299" i="5"/>
  <c r="Q299" i="5"/>
  <c r="R299" i="5"/>
  <c r="Q178" i="5"/>
  <c r="R1338" i="9" l="1"/>
  <c r="U1338" i="9" s="1"/>
  <c r="S1338" i="9"/>
  <c r="T1338" i="9"/>
  <c r="R1339" i="9"/>
  <c r="U1339" i="9" s="1"/>
  <c r="S1339" i="9"/>
  <c r="T1339" i="9"/>
  <c r="R1340" i="9"/>
  <c r="S1340" i="9"/>
  <c r="T1340" i="9"/>
  <c r="U1340" i="9"/>
  <c r="R1341" i="9"/>
  <c r="U1341" i="9" s="1"/>
  <c r="S1341" i="9"/>
  <c r="T1341" i="9"/>
  <c r="R1342" i="9"/>
  <c r="U1342" i="9" s="1"/>
  <c r="S1342" i="9"/>
  <c r="T1342" i="9"/>
  <c r="R1343" i="9"/>
  <c r="U1343" i="9" s="1"/>
  <c r="S1343" i="9"/>
  <c r="T1343" i="9"/>
  <c r="R1344" i="9"/>
  <c r="U1344" i="9" s="1"/>
  <c r="S1344" i="9"/>
  <c r="T1344" i="9"/>
  <c r="K1344" i="9"/>
  <c r="K1343" i="9"/>
  <c r="K1342" i="9"/>
  <c r="K1341" i="9"/>
  <c r="K1340" i="9"/>
  <c r="K1339" i="9"/>
  <c r="K1338" i="9"/>
  <c r="Q177" i="5"/>
  <c r="Q176" i="5"/>
  <c r="Q170" i="5"/>
  <c r="Q175" i="5"/>
  <c r="Q174" i="5"/>
  <c r="U1326" i="9"/>
  <c r="U1327" i="9"/>
  <c r="U1328" i="9"/>
  <c r="U1329" i="9"/>
  <c r="U1330" i="9"/>
  <c r="U1331" i="9"/>
  <c r="U1332" i="9"/>
  <c r="U1333" i="9"/>
  <c r="U1334" i="9"/>
  <c r="U1335" i="9"/>
  <c r="U1336" i="9"/>
  <c r="U1337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1002" i="9"/>
  <c r="U1003" i="9"/>
  <c r="U1004" i="9"/>
  <c r="U1005" i="9"/>
  <c r="U1006" i="9"/>
  <c r="U1007" i="9"/>
  <c r="U1008" i="9"/>
  <c r="U1009" i="9"/>
  <c r="U1010" i="9"/>
  <c r="U1011" i="9"/>
  <c r="U1012" i="9"/>
  <c r="U1013" i="9"/>
  <c r="U1014" i="9"/>
  <c r="U1015" i="9"/>
  <c r="U1016" i="9"/>
  <c r="U1017" i="9"/>
  <c r="U1018" i="9"/>
  <c r="U1019" i="9"/>
  <c r="U1020" i="9"/>
  <c r="U1021" i="9"/>
  <c r="U1060" i="9"/>
  <c r="U1068" i="9"/>
  <c r="U1124" i="9"/>
  <c r="U1132" i="9"/>
  <c r="U1171" i="9"/>
  <c r="U1172" i="9"/>
  <c r="U1179" i="9"/>
  <c r="U1180" i="9"/>
  <c r="U1187" i="9"/>
  <c r="U1188" i="9"/>
  <c r="U1195" i="9"/>
  <c r="U1196" i="9"/>
  <c r="U1203" i="9"/>
  <c r="U1204" i="9"/>
  <c r="U1211" i="9"/>
  <c r="U1212" i="9"/>
  <c r="U1219" i="9"/>
  <c r="U1220" i="9"/>
  <c r="U1227" i="9"/>
  <c r="U1228" i="9"/>
  <c r="U1235" i="9"/>
  <c r="U1236" i="9"/>
  <c r="U1243" i="9"/>
  <c r="U1244" i="9"/>
  <c r="U1251" i="9"/>
  <c r="U1252" i="9"/>
  <c r="U1259" i="9"/>
  <c r="U1260" i="9"/>
  <c r="U1267" i="9"/>
  <c r="U1268" i="9"/>
  <c r="U1275" i="9"/>
  <c r="U1276" i="9"/>
  <c r="U1283" i="9"/>
  <c r="U1284" i="9"/>
  <c r="U1291" i="9"/>
  <c r="U1292" i="9"/>
  <c r="U1298" i="9"/>
  <c r="U1299" i="9"/>
  <c r="U1300" i="9"/>
  <c r="U1301" i="9"/>
  <c r="U1302" i="9"/>
  <c r="U1303" i="9"/>
  <c r="U1304" i="9"/>
  <c r="U1305" i="9"/>
  <c r="U1306" i="9"/>
  <c r="U1307" i="9"/>
  <c r="U1308" i="9"/>
  <c r="U1309" i="9"/>
  <c r="U1310" i="9"/>
  <c r="U1311" i="9"/>
  <c r="U1312" i="9"/>
  <c r="U1313" i="9"/>
  <c r="U1314" i="9"/>
  <c r="U1315" i="9"/>
  <c r="U1316" i="9"/>
  <c r="U1317" i="9"/>
  <c r="U1318" i="9"/>
  <c r="U1319" i="9"/>
  <c r="U1320" i="9"/>
  <c r="U1321" i="9"/>
  <c r="U1322" i="9"/>
  <c r="U1323" i="9"/>
  <c r="U1324" i="9"/>
  <c r="U1325" i="9"/>
  <c r="U2" i="9"/>
  <c r="T1337" i="9"/>
  <c r="R1326" i="9"/>
  <c r="S1326" i="9"/>
  <c r="T1326" i="9"/>
  <c r="R1327" i="9"/>
  <c r="S1327" i="9"/>
  <c r="T1327" i="9"/>
  <c r="R1328" i="9"/>
  <c r="S1328" i="9"/>
  <c r="T1328" i="9"/>
  <c r="R1329" i="9"/>
  <c r="S1329" i="9"/>
  <c r="T1329" i="9"/>
  <c r="R1330" i="9"/>
  <c r="S1330" i="9"/>
  <c r="T1330" i="9"/>
  <c r="R1331" i="9"/>
  <c r="S1331" i="9"/>
  <c r="T1331" i="9"/>
  <c r="R1332" i="9"/>
  <c r="S1332" i="9"/>
  <c r="T1332" i="9"/>
  <c r="R1333" i="9"/>
  <c r="S1333" i="9"/>
  <c r="T1333" i="9"/>
  <c r="R1334" i="9"/>
  <c r="S1334" i="9"/>
  <c r="T1334" i="9"/>
  <c r="R1335" i="9"/>
  <c r="S1335" i="9"/>
  <c r="T1335" i="9"/>
  <c r="R1336" i="9"/>
  <c r="S1336" i="9"/>
  <c r="T1336" i="9"/>
  <c r="R1337" i="9"/>
  <c r="S1337" i="9"/>
  <c r="R1325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R3" i="9"/>
  <c r="S3" i="9"/>
  <c r="T3" i="9"/>
  <c r="R4" i="9"/>
  <c r="S4" i="9"/>
  <c r="T4" i="9"/>
  <c r="R5" i="9"/>
  <c r="S5" i="9"/>
  <c r="T5" i="9"/>
  <c r="R6" i="9"/>
  <c r="S6" i="9"/>
  <c r="T6" i="9"/>
  <c r="R7" i="9"/>
  <c r="S7" i="9"/>
  <c r="T7" i="9"/>
  <c r="R8" i="9"/>
  <c r="S8" i="9"/>
  <c r="T8" i="9"/>
  <c r="R9" i="9"/>
  <c r="S9" i="9"/>
  <c r="T9" i="9"/>
  <c r="R10" i="9"/>
  <c r="S10" i="9"/>
  <c r="T10" i="9"/>
  <c r="R11" i="9"/>
  <c r="S11" i="9"/>
  <c r="T11" i="9"/>
  <c r="R12" i="9"/>
  <c r="S12" i="9"/>
  <c r="T12" i="9"/>
  <c r="R13" i="9"/>
  <c r="S13" i="9"/>
  <c r="T13" i="9"/>
  <c r="R14" i="9"/>
  <c r="S14" i="9"/>
  <c r="T14" i="9"/>
  <c r="R15" i="9"/>
  <c r="S15" i="9"/>
  <c r="T15" i="9"/>
  <c r="R16" i="9"/>
  <c r="S16" i="9"/>
  <c r="T16" i="9"/>
  <c r="R17" i="9"/>
  <c r="S17" i="9"/>
  <c r="T17" i="9"/>
  <c r="R18" i="9"/>
  <c r="S18" i="9"/>
  <c r="T18" i="9"/>
  <c r="R19" i="9"/>
  <c r="S19" i="9"/>
  <c r="T19" i="9"/>
  <c r="R20" i="9"/>
  <c r="S20" i="9"/>
  <c r="T20" i="9"/>
  <c r="R21" i="9"/>
  <c r="S21" i="9"/>
  <c r="T21" i="9"/>
  <c r="R22" i="9"/>
  <c r="S22" i="9"/>
  <c r="T22" i="9"/>
  <c r="R23" i="9"/>
  <c r="S23" i="9"/>
  <c r="T23" i="9"/>
  <c r="R24" i="9"/>
  <c r="S24" i="9"/>
  <c r="T24" i="9"/>
  <c r="R25" i="9"/>
  <c r="S25" i="9"/>
  <c r="T25" i="9"/>
  <c r="R26" i="9"/>
  <c r="S26" i="9"/>
  <c r="T26" i="9"/>
  <c r="R27" i="9"/>
  <c r="S27" i="9"/>
  <c r="T27" i="9"/>
  <c r="R28" i="9"/>
  <c r="S28" i="9"/>
  <c r="T28" i="9"/>
  <c r="R29" i="9"/>
  <c r="S29" i="9"/>
  <c r="T29" i="9"/>
  <c r="R30" i="9"/>
  <c r="S30" i="9"/>
  <c r="T30" i="9"/>
  <c r="R31" i="9"/>
  <c r="S31" i="9"/>
  <c r="T31" i="9"/>
  <c r="R32" i="9"/>
  <c r="S32" i="9"/>
  <c r="T32" i="9"/>
  <c r="R33" i="9"/>
  <c r="S33" i="9"/>
  <c r="T33" i="9"/>
  <c r="R34" i="9"/>
  <c r="S34" i="9"/>
  <c r="T34" i="9"/>
  <c r="R35" i="9"/>
  <c r="S35" i="9"/>
  <c r="T35" i="9"/>
  <c r="R36" i="9"/>
  <c r="S36" i="9"/>
  <c r="T36" i="9"/>
  <c r="R37" i="9"/>
  <c r="S37" i="9"/>
  <c r="T37" i="9"/>
  <c r="R38" i="9"/>
  <c r="S38" i="9"/>
  <c r="T38" i="9"/>
  <c r="R39" i="9"/>
  <c r="S39" i="9"/>
  <c r="T39" i="9"/>
  <c r="R40" i="9"/>
  <c r="S40" i="9"/>
  <c r="T40" i="9"/>
  <c r="R41" i="9"/>
  <c r="S41" i="9"/>
  <c r="T41" i="9"/>
  <c r="R42" i="9"/>
  <c r="S42" i="9"/>
  <c r="T42" i="9"/>
  <c r="R43" i="9"/>
  <c r="S43" i="9"/>
  <c r="T43" i="9"/>
  <c r="R44" i="9"/>
  <c r="S44" i="9"/>
  <c r="T44" i="9"/>
  <c r="R45" i="9"/>
  <c r="S45" i="9"/>
  <c r="T45" i="9"/>
  <c r="R46" i="9"/>
  <c r="S46" i="9"/>
  <c r="T46" i="9"/>
  <c r="R47" i="9"/>
  <c r="S47" i="9"/>
  <c r="T47" i="9"/>
  <c r="R48" i="9"/>
  <c r="S48" i="9"/>
  <c r="T48" i="9"/>
  <c r="R49" i="9"/>
  <c r="S49" i="9"/>
  <c r="T49" i="9"/>
  <c r="R50" i="9"/>
  <c r="S50" i="9"/>
  <c r="T50" i="9"/>
  <c r="R51" i="9"/>
  <c r="S51" i="9"/>
  <c r="T51" i="9"/>
  <c r="R52" i="9"/>
  <c r="S52" i="9"/>
  <c r="T52" i="9"/>
  <c r="R53" i="9"/>
  <c r="S53" i="9"/>
  <c r="T53" i="9"/>
  <c r="R54" i="9"/>
  <c r="S54" i="9"/>
  <c r="T54" i="9"/>
  <c r="R55" i="9"/>
  <c r="S55" i="9"/>
  <c r="T55" i="9"/>
  <c r="R56" i="9"/>
  <c r="S56" i="9"/>
  <c r="T56" i="9"/>
  <c r="R57" i="9"/>
  <c r="S57" i="9"/>
  <c r="T57" i="9"/>
  <c r="R58" i="9"/>
  <c r="S58" i="9"/>
  <c r="T58" i="9"/>
  <c r="R59" i="9"/>
  <c r="S59" i="9"/>
  <c r="T59" i="9"/>
  <c r="R60" i="9"/>
  <c r="S60" i="9"/>
  <c r="T60" i="9"/>
  <c r="R61" i="9"/>
  <c r="S61" i="9"/>
  <c r="T61" i="9"/>
  <c r="R62" i="9"/>
  <c r="S62" i="9"/>
  <c r="T62" i="9"/>
  <c r="R63" i="9"/>
  <c r="S63" i="9"/>
  <c r="T63" i="9"/>
  <c r="R64" i="9"/>
  <c r="S64" i="9"/>
  <c r="T64" i="9"/>
  <c r="R65" i="9"/>
  <c r="S65" i="9"/>
  <c r="T65" i="9"/>
  <c r="R66" i="9"/>
  <c r="S66" i="9"/>
  <c r="T66" i="9"/>
  <c r="R67" i="9"/>
  <c r="S67" i="9"/>
  <c r="T67" i="9"/>
  <c r="R68" i="9"/>
  <c r="S68" i="9"/>
  <c r="T68" i="9"/>
  <c r="R69" i="9"/>
  <c r="S69" i="9"/>
  <c r="T69" i="9"/>
  <c r="R70" i="9"/>
  <c r="S70" i="9"/>
  <c r="T70" i="9"/>
  <c r="R71" i="9"/>
  <c r="S71" i="9"/>
  <c r="T71" i="9"/>
  <c r="R72" i="9"/>
  <c r="S72" i="9"/>
  <c r="T72" i="9"/>
  <c r="R73" i="9"/>
  <c r="S73" i="9"/>
  <c r="T73" i="9"/>
  <c r="R74" i="9"/>
  <c r="S74" i="9"/>
  <c r="T74" i="9"/>
  <c r="R75" i="9"/>
  <c r="S75" i="9"/>
  <c r="T75" i="9"/>
  <c r="R76" i="9"/>
  <c r="S76" i="9"/>
  <c r="T76" i="9"/>
  <c r="R77" i="9"/>
  <c r="S77" i="9"/>
  <c r="T77" i="9"/>
  <c r="R78" i="9"/>
  <c r="S78" i="9"/>
  <c r="T78" i="9"/>
  <c r="R79" i="9"/>
  <c r="S79" i="9"/>
  <c r="T79" i="9"/>
  <c r="R80" i="9"/>
  <c r="S80" i="9"/>
  <c r="T80" i="9"/>
  <c r="R81" i="9"/>
  <c r="S81" i="9"/>
  <c r="T81" i="9"/>
  <c r="R82" i="9"/>
  <c r="S82" i="9"/>
  <c r="T82" i="9"/>
  <c r="R83" i="9"/>
  <c r="S83" i="9"/>
  <c r="T83" i="9"/>
  <c r="R84" i="9"/>
  <c r="S84" i="9"/>
  <c r="T84" i="9"/>
  <c r="R85" i="9"/>
  <c r="S85" i="9"/>
  <c r="T85" i="9"/>
  <c r="R86" i="9"/>
  <c r="S86" i="9"/>
  <c r="T86" i="9"/>
  <c r="R87" i="9"/>
  <c r="S87" i="9"/>
  <c r="T87" i="9"/>
  <c r="R88" i="9"/>
  <c r="S88" i="9"/>
  <c r="T88" i="9"/>
  <c r="R89" i="9"/>
  <c r="S89" i="9"/>
  <c r="T89" i="9"/>
  <c r="R90" i="9"/>
  <c r="S90" i="9"/>
  <c r="T90" i="9"/>
  <c r="R91" i="9"/>
  <c r="S91" i="9"/>
  <c r="T91" i="9"/>
  <c r="R92" i="9"/>
  <c r="S92" i="9"/>
  <c r="T92" i="9"/>
  <c r="R93" i="9"/>
  <c r="S93" i="9"/>
  <c r="T93" i="9"/>
  <c r="R94" i="9"/>
  <c r="S94" i="9"/>
  <c r="T94" i="9"/>
  <c r="R95" i="9"/>
  <c r="S95" i="9"/>
  <c r="T95" i="9"/>
  <c r="R96" i="9"/>
  <c r="S96" i="9"/>
  <c r="T96" i="9"/>
  <c r="R97" i="9"/>
  <c r="S97" i="9"/>
  <c r="T97" i="9"/>
  <c r="R98" i="9"/>
  <c r="S98" i="9"/>
  <c r="T98" i="9"/>
  <c r="R99" i="9"/>
  <c r="S99" i="9"/>
  <c r="T99" i="9"/>
  <c r="R100" i="9"/>
  <c r="S100" i="9"/>
  <c r="T100" i="9"/>
  <c r="R101" i="9"/>
  <c r="S101" i="9"/>
  <c r="T101" i="9"/>
  <c r="R102" i="9"/>
  <c r="S102" i="9"/>
  <c r="T102" i="9"/>
  <c r="R103" i="9"/>
  <c r="S103" i="9"/>
  <c r="T103" i="9"/>
  <c r="R104" i="9"/>
  <c r="S104" i="9"/>
  <c r="T104" i="9"/>
  <c r="R105" i="9"/>
  <c r="S105" i="9"/>
  <c r="T105" i="9"/>
  <c r="R106" i="9"/>
  <c r="S106" i="9"/>
  <c r="T106" i="9"/>
  <c r="R107" i="9"/>
  <c r="S107" i="9"/>
  <c r="T107" i="9"/>
  <c r="R108" i="9"/>
  <c r="S108" i="9"/>
  <c r="T108" i="9"/>
  <c r="R109" i="9"/>
  <c r="S109" i="9"/>
  <c r="T109" i="9"/>
  <c r="R110" i="9"/>
  <c r="S110" i="9"/>
  <c r="T110" i="9"/>
  <c r="R111" i="9"/>
  <c r="S111" i="9"/>
  <c r="T111" i="9"/>
  <c r="R112" i="9"/>
  <c r="S112" i="9"/>
  <c r="T112" i="9"/>
  <c r="R113" i="9"/>
  <c r="S113" i="9"/>
  <c r="T113" i="9"/>
  <c r="R114" i="9"/>
  <c r="S114" i="9"/>
  <c r="T114" i="9"/>
  <c r="R115" i="9"/>
  <c r="S115" i="9"/>
  <c r="T115" i="9"/>
  <c r="R116" i="9"/>
  <c r="S116" i="9"/>
  <c r="T116" i="9"/>
  <c r="R117" i="9"/>
  <c r="S117" i="9"/>
  <c r="T117" i="9"/>
  <c r="R118" i="9"/>
  <c r="S118" i="9"/>
  <c r="T118" i="9"/>
  <c r="R119" i="9"/>
  <c r="S119" i="9"/>
  <c r="T119" i="9"/>
  <c r="R120" i="9"/>
  <c r="S120" i="9"/>
  <c r="T120" i="9"/>
  <c r="R121" i="9"/>
  <c r="S121" i="9"/>
  <c r="T121" i="9"/>
  <c r="R122" i="9"/>
  <c r="S122" i="9"/>
  <c r="T122" i="9"/>
  <c r="R123" i="9"/>
  <c r="S123" i="9"/>
  <c r="T123" i="9"/>
  <c r="R124" i="9"/>
  <c r="S124" i="9"/>
  <c r="T124" i="9"/>
  <c r="R125" i="9"/>
  <c r="S125" i="9"/>
  <c r="T125" i="9"/>
  <c r="R126" i="9"/>
  <c r="S126" i="9"/>
  <c r="T126" i="9"/>
  <c r="R127" i="9"/>
  <c r="S127" i="9"/>
  <c r="T127" i="9"/>
  <c r="R128" i="9"/>
  <c r="S128" i="9"/>
  <c r="T128" i="9"/>
  <c r="R129" i="9"/>
  <c r="S129" i="9"/>
  <c r="T129" i="9"/>
  <c r="R130" i="9"/>
  <c r="S130" i="9"/>
  <c r="T130" i="9"/>
  <c r="R131" i="9"/>
  <c r="S131" i="9"/>
  <c r="T131" i="9"/>
  <c r="R132" i="9"/>
  <c r="S132" i="9"/>
  <c r="T132" i="9"/>
  <c r="R133" i="9"/>
  <c r="S133" i="9"/>
  <c r="T133" i="9"/>
  <c r="R134" i="9"/>
  <c r="S134" i="9"/>
  <c r="T134" i="9"/>
  <c r="R135" i="9"/>
  <c r="S135" i="9"/>
  <c r="T135" i="9"/>
  <c r="R136" i="9"/>
  <c r="S136" i="9"/>
  <c r="T136" i="9"/>
  <c r="R137" i="9"/>
  <c r="S137" i="9"/>
  <c r="T137" i="9"/>
  <c r="R138" i="9"/>
  <c r="S138" i="9"/>
  <c r="T138" i="9"/>
  <c r="R139" i="9"/>
  <c r="S139" i="9"/>
  <c r="T139" i="9"/>
  <c r="R140" i="9"/>
  <c r="S140" i="9"/>
  <c r="T140" i="9"/>
  <c r="R141" i="9"/>
  <c r="S141" i="9"/>
  <c r="T141" i="9"/>
  <c r="R142" i="9"/>
  <c r="S142" i="9"/>
  <c r="T142" i="9"/>
  <c r="R143" i="9"/>
  <c r="S143" i="9"/>
  <c r="T143" i="9"/>
  <c r="R144" i="9"/>
  <c r="S144" i="9"/>
  <c r="T144" i="9"/>
  <c r="R145" i="9"/>
  <c r="S145" i="9"/>
  <c r="T145" i="9"/>
  <c r="R146" i="9"/>
  <c r="S146" i="9"/>
  <c r="T146" i="9"/>
  <c r="R147" i="9"/>
  <c r="S147" i="9"/>
  <c r="T147" i="9"/>
  <c r="R148" i="9"/>
  <c r="S148" i="9"/>
  <c r="T148" i="9"/>
  <c r="R149" i="9"/>
  <c r="S149" i="9"/>
  <c r="T149" i="9"/>
  <c r="R150" i="9"/>
  <c r="S150" i="9"/>
  <c r="T150" i="9"/>
  <c r="R151" i="9"/>
  <c r="S151" i="9"/>
  <c r="T151" i="9"/>
  <c r="R152" i="9"/>
  <c r="S152" i="9"/>
  <c r="T152" i="9"/>
  <c r="R153" i="9"/>
  <c r="S153" i="9"/>
  <c r="T153" i="9"/>
  <c r="R154" i="9"/>
  <c r="S154" i="9"/>
  <c r="T154" i="9"/>
  <c r="R155" i="9"/>
  <c r="S155" i="9"/>
  <c r="T155" i="9"/>
  <c r="R156" i="9"/>
  <c r="S156" i="9"/>
  <c r="T156" i="9"/>
  <c r="R157" i="9"/>
  <c r="S157" i="9"/>
  <c r="T157" i="9"/>
  <c r="R158" i="9"/>
  <c r="S158" i="9"/>
  <c r="T158" i="9"/>
  <c r="R159" i="9"/>
  <c r="S159" i="9"/>
  <c r="T159" i="9"/>
  <c r="R160" i="9"/>
  <c r="S160" i="9"/>
  <c r="T160" i="9"/>
  <c r="R161" i="9"/>
  <c r="S161" i="9"/>
  <c r="T161" i="9"/>
  <c r="R162" i="9"/>
  <c r="S162" i="9"/>
  <c r="T162" i="9"/>
  <c r="R163" i="9"/>
  <c r="S163" i="9"/>
  <c r="T163" i="9"/>
  <c r="R164" i="9"/>
  <c r="S164" i="9"/>
  <c r="T164" i="9"/>
  <c r="R165" i="9"/>
  <c r="S165" i="9"/>
  <c r="T165" i="9"/>
  <c r="R166" i="9"/>
  <c r="S166" i="9"/>
  <c r="T166" i="9"/>
  <c r="R167" i="9"/>
  <c r="S167" i="9"/>
  <c r="T167" i="9"/>
  <c r="R168" i="9"/>
  <c r="S168" i="9"/>
  <c r="T168" i="9"/>
  <c r="R169" i="9"/>
  <c r="S169" i="9"/>
  <c r="T169" i="9"/>
  <c r="R170" i="9"/>
  <c r="S170" i="9"/>
  <c r="T170" i="9"/>
  <c r="R171" i="9"/>
  <c r="S171" i="9"/>
  <c r="T171" i="9"/>
  <c r="R172" i="9"/>
  <c r="S172" i="9"/>
  <c r="T172" i="9"/>
  <c r="R173" i="9"/>
  <c r="S173" i="9"/>
  <c r="T173" i="9"/>
  <c r="R174" i="9"/>
  <c r="S174" i="9"/>
  <c r="T174" i="9"/>
  <c r="R175" i="9"/>
  <c r="S175" i="9"/>
  <c r="T175" i="9"/>
  <c r="R176" i="9"/>
  <c r="S176" i="9"/>
  <c r="T176" i="9"/>
  <c r="R177" i="9"/>
  <c r="S177" i="9"/>
  <c r="T177" i="9"/>
  <c r="R178" i="9"/>
  <c r="S178" i="9"/>
  <c r="T178" i="9"/>
  <c r="R179" i="9"/>
  <c r="S179" i="9"/>
  <c r="T179" i="9"/>
  <c r="R180" i="9"/>
  <c r="S180" i="9"/>
  <c r="T180" i="9"/>
  <c r="R181" i="9"/>
  <c r="S181" i="9"/>
  <c r="T181" i="9"/>
  <c r="R182" i="9"/>
  <c r="S182" i="9"/>
  <c r="T182" i="9"/>
  <c r="R183" i="9"/>
  <c r="S183" i="9"/>
  <c r="T183" i="9"/>
  <c r="R184" i="9"/>
  <c r="S184" i="9"/>
  <c r="T184" i="9"/>
  <c r="R185" i="9"/>
  <c r="S185" i="9"/>
  <c r="T185" i="9"/>
  <c r="R186" i="9"/>
  <c r="S186" i="9"/>
  <c r="T186" i="9"/>
  <c r="R187" i="9"/>
  <c r="S187" i="9"/>
  <c r="T187" i="9"/>
  <c r="R188" i="9"/>
  <c r="S188" i="9"/>
  <c r="T188" i="9"/>
  <c r="R189" i="9"/>
  <c r="S189" i="9"/>
  <c r="T189" i="9"/>
  <c r="R190" i="9"/>
  <c r="S190" i="9"/>
  <c r="T190" i="9"/>
  <c r="R191" i="9"/>
  <c r="S191" i="9"/>
  <c r="T191" i="9"/>
  <c r="R192" i="9"/>
  <c r="S192" i="9"/>
  <c r="T192" i="9"/>
  <c r="R193" i="9"/>
  <c r="S193" i="9"/>
  <c r="T193" i="9"/>
  <c r="R194" i="9"/>
  <c r="S194" i="9"/>
  <c r="T194" i="9"/>
  <c r="R195" i="9"/>
  <c r="S195" i="9"/>
  <c r="T195" i="9"/>
  <c r="R196" i="9"/>
  <c r="S196" i="9"/>
  <c r="T196" i="9"/>
  <c r="R197" i="9"/>
  <c r="S197" i="9"/>
  <c r="T197" i="9"/>
  <c r="R198" i="9"/>
  <c r="S198" i="9"/>
  <c r="T198" i="9"/>
  <c r="R199" i="9"/>
  <c r="S199" i="9"/>
  <c r="T199" i="9"/>
  <c r="R200" i="9"/>
  <c r="S200" i="9"/>
  <c r="T200" i="9"/>
  <c r="R201" i="9"/>
  <c r="S201" i="9"/>
  <c r="T201" i="9"/>
  <c r="R202" i="9"/>
  <c r="S202" i="9"/>
  <c r="T202" i="9"/>
  <c r="R203" i="9"/>
  <c r="S203" i="9"/>
  <c r="T203" i="9"/>
  <c r="R204" i="9"/>
  <c r="S204" i="9"/>
  <c r="T204" i="9"/>
  <c r="R205" i="9"/>
  <c r="S205" i="9"/>
  <c r="T205" i="9"/>
  <c r="R206" i="9"/>
  <c r="S206" i="9"/>
  <c r="T206" i="9"/>
  <c r="R207" i="9"/>
  <c r="S207" i="9"/>
  <c r="T207" i="9"/>
  <c r="R208" i="9"/>
  <c r="S208" i="9"/>
  <c r="T208" i="9"/>
  <c r="R209" i="9"/>
  <c r="S209" i="9"/>
  <c r="T209" i="9"/>
  <c r="R210" i="9"/>
  <c r="S210" i="9"/>
  <c r="T210" i="9"/>
  <c r="R211" i="9"/>
  <c r="S211" i="9"/>
  <c r="T211" i="9"/>
  <c r="R212" i="9"/>
  <c r="S212" i="9"/>
  <c r="T212" i="9"/>
  <c r="R213" i="9"/>
  <c r="S213" i="9"/>
  <c r="T213" i="9"/>
  <c r="R214" i="9"/>
  <c r="S214" i="9"/>
  <c r="T214" i="9"/>
  <c r="R215" i="9"/>
  <c r="S215" i="9"/>
  <c r="T215" i="9"/>
  <c r="R216" i="9"/>
  <c r="S216" i="9"/>
  <c r="T216" i="9"/>
  <c r="R217" i="9"/>
  <c r="S217" i="9"/>
  <c r="T217" i="9"/>
  <c r="R218" i="9"/>
  <c r="S218" i="9"/>
  <c r="T218" i="9"/>
  <c r="R219" i="9"/>
  <c r="S219" i="9"/>
  <c r="T219" i="9"/>
  <c r="R220" i="9"/>
  <c r="S220" i="9"/>
  <c r="T220" i="9"/>
  <c r="R221" i="9"/>
  <c r="S221" i="9"/>
  <c r="T221" i="9"/>
  <c r="R222" i="9"/>
  <c r="S222" i="9"/>
  <c r="T222" i="9"/>
  <c r="R223" i="9"/>
  <c r="S223" i="9"/>
  <c r="T223" i="9"/>
  <c r="R224" i="9"/>
  <c r="S224" i="9"/>
  <c r="T224" i="9"/>
  <c r="R225" i="9"/>
  <c r="S225" i="9"/>
  <c r="T225" i="9"/>
  <c r="R226" i="9"/>
  <c r="S226" i="9"/>
  <c r="T226" i="9"/>
  <c r="R227" i="9"/>
  <c r="S227" i="9"/>
  <c r="T227" i="9"/>
  <c r="R228" i="9"/>
  <c r="S228" i="9"/>
  <c r="T228" i="9"/>
  <c r="R229" i="9"/>
  <c r="S229" i="9"/>
  <c r="T229" i="9"/>
  <c r="R230" i="9"/>
  <c r="S230" i="9"/>
  <c r="T230" i="9"/>
  <c r="R231" i="9"/>
  <c r="S231" i="9"/>
  <c r="T231" i="9"/>
  <c r="R232" i="9"/>
  <c r="S232" i="9"/>
  <c r="T232" i="9"/>
  <c r="R233" i="9"/>
  <c r="S233" i="9"/>
  <c r="T233" i="9"/>
  <c r="R234" i="9"/>
  <c r="S234" i="9"/>
  <c r="T234" i="9"/>
  <c r="R235" i="9"/>
  <c r="S235" i="9"/>
  <c r="T235" i="9"/>
  <c r="R236" i="9"/>
  <c r="S236" i="9"/>
  <c r="T236" i="9"/>
  <c r="R237" i="9"/>
  <c r="S237" i="9"/>
  <c r="T237" i="9"/>
  <c r="R238" i="9"/>
  <c r="S238" i="9"/>
  <c r="T238" i="9"/>
  <c r="R239" i="9"/>
  <c r="S239" i="9"/>
  <c r="T239" i="9"/>
  <c r="R240" i="9"/>
  <c r="S240" i="9"/>
  <c r="T240" i="9"/>
  <c r="R241" i="9"/>
  <c r="S241" i="9"/>
  <c r="T241" i="9"/>
  <c r="R242" i="9"/>
  <c r="S242" i="9"/>
  <c r="T242" i="9"/>
  <c r="R243" i="9"/>
  <c r="S243" i="9"/>
  <c r="T243" i="9"/>
  <c r="R244" i="9"/>
  <c r="S244" i="9"/>
  <c r="T244" i="9"/>
  <c r="R245" i="9"/>
  <c r="S245" i="9"/>
  <c r="T245" i="9"/>
  <c r="R246" i="9"/>
  <c r="S246" i="9"/>
  <c r="T246" i="9"/>
  <c r="R247" i="9"/>
  <c r="S247" i="9"/>
  <c r="T247" i="9"/>
  <c r="R248" i="9"/>
  <c r="S248" i="9"/>
  <c r="T248" i="9"/>
  <c r="R249" i="9"/>
  <c r="S249" i="9"/>
  <c r="T249" i="9"/>
  <c r="R250" i="9"/>
  <c r="S250" i="9"/>
  <c r="T250" i="9"/>
  <c r="R251" i="9"/>
  <c r="S251" i="9"/>
  <c r="T251" i="9"/>
  <c r="R252" i="9"/>
  <c r="S252" i="9"/>
  <c r="T252" i="9"/>
  <c r="R253" i="9"/>
  <c r="S253" i="9"/>
  <c r="T253" i="9"/>
  <c r="R254" i="9"/>
  <c r="S254" i="9"/>
  <c r="T254" i="9"/>
  <c r="R255" i="9"/>
  <c r="S255" i="9"/>
  <c r="T255" i="9"/>
  <c r="R256" i="9"/>
  <c r="S256" i="9"/>
  <c r="T256" i="9"/>
  <c r="R257" i="9"/>
  <c r="S257" i="9"/>
  <c r="T257" i="9"/>
  <c r="R258" i="9"/>
  <c r="S258" i="9"/>
  <c r="T258" i="9"/>
  <c r="R259" i="9"/>
  <c r="S259" i="9"/>
  <c r="T259" i="9"/>
  <c r="R260" i="9"/>
  <c r="S260" i="9"/>
  <c r="T260" i="9"/>
  <c r="R261" i="9"/>
  <c r="S261" i="9"/>
  <c r="T261" i="9"/>
  <c r="R262" i="9"/>
  <c r="S262" i="9"/>
  <c r="T262" i="9"/>
  <c r="R263" i="9"/>
  <c r="S263" i="9"/>
  <c r="T263" i="9"/>
  <c r="R264" i="9"/>
  <c r="S264" i="9"/>
  <c r="T264" i="9"/>
  <c r="R265" i="9"/>
  <c r="S265" i="9"/>
  <c r="T265" i="9"/>
  <c r="R266" i="9"/>
  <c r="S266" i="9"/>
  <c r="T266" i="9"/>
  <c r="R267" i="9"/>
  <c r="S267" i="9"/>
  <c r="T267" i="9"/>
  <c r="R268" i="9"/>
  <c r="S268" i="9"/>
  <c r="T268" i="9"/>
  <c r="R269" i="9"/>
  <c r="S269" i="9"/>
  <c r="T269" i="9"/>
  <c r="R270" i="9"/>
  <c r="S270" i="9"/>
  <c r="T270" i="9"/>
  <c r="R271" i="9"/>
  <c r="S271" i="9"/>
  <c r="T271" i="9"/>
  <c r="R272" i="9"/>
  <c r="S272" i="9"/>
  <c r="T272" i="9"/>
  <c r="R273" i="9"/>
  <c r="S273" i="9"/>
  <c r="T273" i="9"/>
  <c r="R274" i="9"/>
  <c r="S274" i="9"/>
  <c r="T274" i="9"/>
  <c r="R275" i="9"/>
  <c r="S275" i="9"/>
  <c r="T275" i="9"/>
  <c r="R276" i="9"/>
  <c r="S276" i="9"/>
  <c r="T276" i="9"/>
  <c r="R277" i="9"/>
  <c r="S277" i="9"/>
  <c r="T277" i="9"/>
  <c r="R278" i="9"/>
  <c r="S278" i="9"/>
  <c r="T278" i="9"/>
  <c r="R279" i="9"/>
  <c r="S279" i="9"/>
  <c r="T279" i="9"/>
  <c r="R280" i="9"/>
  <c r="S280" i="9"/>
  <c r="T280" i="9"/>
  <c r="R281" i="9"/>
  <c r="S281" i="9"/>
  <c r="T281" i="9"/>
  <c r="R282" i="9"/>
  <c r="S282" i="9"/>
  <c r="T282" i="9"/>
  <c r="R283" i="9"/>
  <c r="S283" i="9"/>
  <c r="T283" i="9"/>
  <c r="R284" i="9"/>
  <c r="S284" i="9"/>
  <c r="T284" i="9"/>
  <c r="R285" i="9"/>
  <c r="S285" i="9"/>
  <c r="T285" i="9"/>
  <c r="R286" i="9"/>
  <c r="S286" i="9"/>
  <c r="T286" i="9"/>
  <c r="R287" i="9"/>
  <c r="S287" i="9"/>
  <c r="T287" i="9"/>
  <c r="R288" i="9"/>
  <c r="S288" i="9"/>
  <c r="T288" i="9"/>
  <c r="R289" i="9"/>
  <c r="S289" i="9"/>
  <c r="T289" i="9"/>
  <c r="R290" i="9"/>
  <c r="S290" i="9"/>
  <c r="T290" i="9"/>
  <c r="R291" i="9"/>
  <c r="S291" i="9"/>
  <c r="T291" i="9"/>
  <c r="R292" i="9"/>
  <c r="S292" i="9"/>
  <c r="T292" i="9"/>
  <c r="R293" i="9"/>
  <c r="S293" i="9"/>
  <c r="T293" i="9"/>
  <c r="R294" i="9"/>
  <c r="S294" i="9"/>
  <c r="T294" i="9"/>
  <c r="R295" i="9"/>
  <c r="S295" i="9"/>
  <c r="T295" i="9"/>
  <c r="R296" i="9"/>
  <c r="S296" i="9"/>
  <c r="T296" i="9"/>
  <c r="R297" i="9"/>
  <c r="S297" i="9"/>
  <c r="T297" i="9"/>
  <c r="R298" i="9"/>
  <c r="S298" i="9"/>
  <c r="T298" i="9"/>
  <c r="R299" i="9"/>
  <c r="S299" i="9"/>
  <c r="T299" i="9"/>
  <c r="R300" i="9"/>
  <c r="S300" i="9"/>
  <c r="T300" i="9"/>
  <c r="R301" i="9"/>
  <c r="S301" i="9"/>
  <c r="T301" i="9"/>
  <c r="R302" i="9"/>
  <c r="S302" i="9"/>
  <c r="T302" i="9"/>
  <c r="R303" i="9"/>
  <c r="S303" i="9"/>
  <c r="T303" i="9"/>
  <c r="R304" i="9"/>
  <c r="S304" i="9"/>
  <c r="T304" i="9"/>
  <c r="R305" i="9"/>
  <c r="S305" i="9"/>
  <c r="T305" i="9"/>
  <c r="R306" i="9"/>
  <c r="S306" i="9"/>
  <c r="T306" i="9"/>
  <c r="R307" i="9"/>
  <c r="S307" i="9"/>
  <c r="T307" i="9"/>
  <c r="R308" i="9"/>
  <c r="S308" i="9"/>
  <c r="T308" i="9"/>
  <c r="R309" i="9"/>
  <c r="S309" i="9"/>
  <c r="T309" i="9"/>
  <c r="R310" i="9"/>
  <c r="S310" i="9"/>
  <c r="T310" i="9"/>
  <c r="R311" i="9"/>
  <c r="S311" i="9"/>
  <c r="T311" i="9"/>
  <c r="R312" i="9"/>
  <c r="S312" i="9"/>
  <c r="T312" i="9"/>
  <c r="R313" i="9"/>
  <c r="S313" i="9"/>
  <c r="T313" i="9"/>
  <c r="R314" i="9"/>
  <c r="S314" i="9"/>
  <c r="T314" i="9"/>
  <c r="R315" i="9"/>
  <c r="S315" i="9"/>
  <c r="T315" i="9"/>
  <c r="R316" i="9"/>
  <c r="S316" i="9"/>
  <c r="T316" i="9"/>
  <c r="R317" i="9"/>
  <c r="S317" i="9"/>
  <c r="T317" i="9"/>
  <c r="R318" i="9"/>
  <c r="S318" i="9"/>
  <c r="T318" i="9"/>
  <c r="R319" i="9"/>
  <c r="S319" i="9"/>
  <c r="T319" i="9"/>
  <c r="R320" i="9"/>
  <c r="S320" i="9"/>
  <c r="T320" i="9"/>
  <c r="R321" i="9"/>
  <c r="S321" i="9"/>
  <c r="T321" i="9"/>
  <c r="R322" i="9"/>
  <c r="S322" i="9"/>
  <c r="T322" i="9"/>
  <c r="R323" i="9"/>
  <c r="S323" i="9"/>
  <c r="T323" i="9"/>
  <c r="R324" i="9"/>
  <c r="S324" i="9"/>
  <c r="T324" i="9"/>
  <c r="R325" i="9"/>
  <c r="S325" i="9"/>
  <c r="T325" i="9"/>
  <c r="R326" i="9"/>
  <c r="S326" i="9"/>
  <c r="T326" i="9"/>
  <c r="R327" i="9"/>
  <c r="S327" i="9"/>
  <c r="T327" i="9"/>
  <c r="R328" i="9"/>
  <c r="S328" i="9"/>
  <c r="T328" i="9"/>
  <c r="R329" i="9"/>
  <c r="S329" i="9"/>
  <c r="T329" i="9"/>
  <c r="R330" i="9"/>
  <c r="S330" i="9"/>
  <c r="T330" i="9"/>
  <c r="R331" i="9"/>
  <c r="S331" i="9"/>
  <c r="T331" i="9"/>
  <c r="R332" i="9"/>
  <c r="S332" i="9"/>
  <c r="T332" i="9"/>
  <c r="R333" i="9"/>
  <c r="S333" i="9"/>
  <c r="T333" i="9"/>
  <c r="R334" i="9"/>
  <c r="S334" i="9"/>
  <c r="T334" i="9"/>
  <c r="R335" i="9"/>
  <c r="S335" i="9"/>
  <c r="T335" i="9"/>
  <c r="R336" i="9"/>
  <c r="S336" i="9"/>
  <c r="T336" i="9"/>
  <c r="R337" i="9"/>
  <c r="S337" i="9"/>
  <c r="T337" i="9"/>
  <c r="R338" i="9"/>
  <c r="S338" i="9"/>
  <c r="T338" i="9"/>
  <c r="R339" i="9"/>
  <c r="S339" i="9"/>
  <c r="T339" i="9"/>
  <c r="R340" i="9"/>
  <c r="S340" i="9"/>
  <c r="T340" i="9"/>
  <c r="R341" i="9"/>
  <c r="S341" i="9"/>
  <c r="T341" i="9"/>
  <c r="R342" i="9"/>
  <c r="S342" i="9"/>
  <c r="T342" i="9"/>
  <c r="R343" i="9"/>
  <c r="S343" i="9"/>
  <c r="T343" i="9"/>
  <c r="R344" i="9"/>
  <c r="S344" i="9"/>
  <c r="T344" i="9"/>
  <c r="R345" i="9"/>
  <c r="S345" i="9"/>
  <c r="T345" i="9"/>
  <c r="R346" i="9"/>
  <c r="S346" i="9"/>
  <c r="T346" i="9"/>
  <c r="R347" i="9"/>
  <c r="S347" i="9"/>
  <c r="T347" i="9"/>
  <c r="R348" i="9"/>
  <c r="S348" i="9"/>
  <c r="T348" i="9"/>
  <c r="R349" i="9"/>
  <c r="S349" i="9"/>
  <c r="T349" i="9"/>
  <c r="R350" i="9"/>
  <c r="S350" i="9"/>
  <c r="T350" i="9"/>
  <c r="R351" i="9"/>
  <c r="S351" i="9"/>
  <c r="T351" i="9"/>
  <c r="R352" i="9"/>
  <c r="S352" i="9"/>
  <c r="T352" i="9"/>
  <c r="R353" i="9"/>
  <c r="S353" i="9"/>
  <c r="T353" i="9"/>
  <c r="R354" i="9"/>
  <c r="S354" i="9"/>
  <c r="T354" i="9"/>
  <c r="R355" i="9"/>
  <c r="S355" i="9"/>
  <c r="T355" i="9"/>
  <c r="R356" i="9"/>
  <c r="S356" i="9"/>
  <c r="T356" i="9"/>
  <c r="R357" i="9"/>
  <c r="S357" i="9"/>
  <c r="T357" i="9"/>
  <c r="R358" i="9"/>
  <c r="S358" i="9"/>
  <c r="T358" i="9"/>
  <c r="R359" i="9"/>
  <c r="S359" i="9"/>
  <c r="T359" i="9"/>
  <c r="R360" i="9"/>
  <c r="S360" i="9"/>
  <c r="T360" i="9"/>
  <c r="R361" i="9"/>
  <c r="S361" i="9"/>
  <c r="T361" i="9"/>
  <c r="R362" i="9"/>
  <c r="S362" i="9"/>
  <c r="T362" i="9"/>
  <c r="R363" i="9"/>
  <c r="S363" i="9"/>
  <c r="T363" i="9"/>
  <c r="R364" i="9"/>
  <c r="S364" i="9"/>
  <c r="T364" i="9"/>
  <c r="R365" i="9"/>
  <c r="S365" i="9"/>
  <c r="T365" i="9"/>
  <c r="R366" i="9"/>
  <c r="S366" i="9"/>
  <c r="T366" i="9"/>
  <c r="R367" i="9"/>
  <c r="S367" i="9"/>
  <c r="T367" i="9"/>
  <c r="R368" i="9"/>
  <c r="S368" i="9"/>
  <c r="T368" i="9"/>
  <c r="R369" i="9"/>
  <c r="S369" i="9"/>
  <c r="T369" i="9"/>
  <c r="R370" i="9"/>
  <c r="S370" i="9"/>
  <c r="T370" i="9"/>
  <c r="R371" i="9"/>
  <c r="S371" i="9"/>
  <c r="T371" i="9"/>
  <c r="R372" i="9"/>
  <c r="S372" i="9"/>
  <c r="T372" i="9"/>
  <c r="R373" i="9"/>
  <c r="S373" i="9"/>
  <c r="T373" i="9"/>
  <c r="R374" i="9"/>
  <c r="S374" i="9"/>
  <c r="T374" i="9"/>
  <c r="R375" i="9"/>
  <c r="S375" i="9"/>
  <c r="T375" i="9"/>
  <c r="R376" i="9"/>
  <c r="S376" i="9"/>
  <c r="T376" i="9"/>
  <c r="R377" i="9"/>
  <c r="S377" i="9"/>
  <c r="T377" i="9"/>
  <c r="R378" i="9"/>
  <c r="S378" i="9"/>
  <c r="T378" i="9"/>
  <c r="R379" i="9"/>
  <c r="S379" i="9"/>
  <c r="T379" i="9"/>
  <c r="R380" i="9"/>
  <c r="S380" i="9"/>
  <c r="T380" i="9"/>
  <c r="R381" i="9"/>
  <c r="S381" i="9"/>
  <c r="T381" i="9"/>
  <c r="R382" i="9"/>
  <c r="S382" i="9"/>
  <c r="T382" i="9"/>
  <c r="R383" i="9"/>
  <c r="S383" i="9"/>
  <c r="T383" i="9"/>
  <c r="R384" i="9"/>
  <c r="S384" i="9"/>
  <c r="T384" i="9"/>
  <c r="R385" i="9"/>
  <c r="S385" i="9"/>
  <c r="T385" i="9"/>
  <c r="R386" i="9"/>
  <c r="S386" i="9"/>
  <c r="T386" i="9"/>
  <c r="R387" i="9"/>
  <c r="S387" i="9"/>
  <c r="T387" i="9"/>
  <c r="R388" i="9"/>
  <c r="S388" i="9"/>
  <c r="T388" i="9"/>
  <c r="R389" i="9"/>
  <c r="S389" i="9"/>
  <c r="T389" i="9"/>
  <c r="R390" i="9"/>
  <c r="S390" i="9"/>
  <c r="T390" i="9"/>
  <c r="R391" i="9"/>
  <c r="S391" i="9"/>
  <c r="T391" i="9"/>
  <c r="R392" i="9"/>
  <c r="S392" i="9"/>
  <c r="T392" i="9"/>
  <c r="R393" i="9"/>
  <c r="S393" i="9"/>
  <c r="T393" i="9"/>
  <c r="R394" i="9"/>
  <c r="S394" i="9"/>
  <c r="T394" i="9"/>
  <c r="R395" i="9"/>
  <c r="S395" i="9"/>
  <c r="T395" i="9"/>
  <c r="R396" i="9"/>
  <c r="S396" i="9"/>
  <c r="T396" i="9"/>
  <c r="R397" i="9"/>
  <c r="S397" i="9"/>
  <c r="T397" i="9"/>
  <c r="R398" i="9"/>
  <c r="S398" i="9"/>
  <c r="T398" i="9"/>
  <c r="R399" i="9"/>
  <c r="S399" i="9"/>
  <c r="T399" i="9"/>
  <c r="R400" i="9"/>
  <c r="S400" i="9"/>
  <c r="T400" i="9"/>
  <c r="R401" i="9"/>
  <c r="S401" i="9"/>
  <c r="T401" i="9"/>
  <c r="R402" i="9"/>
  <c r="S402" i="9"/>
  <c r="T402" i="9"/>
  <c r="R403" i="9"/>
  <c r="S403" i="9"/>
  <c r="T403" i="9"/>
  <c r="R404" i="9"/>
  <c r="S404" i="9"/>
  <c r="T404" i="9"/>
  <c r="R405" i="9"/>
  <c r="S405" i="9"/>
  <c r="T405" i="9"/>
  <c r="R406" i="9"/>
  <c r="S406" i="9"/>
  <c r="T406" i="9"/>
  <c r="R407" i="9"/>
  <c r="S407" i="9"/>
  <c r="T407" i="9"/>
  <c r="R408" i="9"/>
  <c r="S408" i="9"/>
  <c r="T408" i="9"/>
  <c r="R409" i="9"/>
  <c r="S409" i="9"/>
  <c r="T409" i="9"/>
  <c r="R410" i="9"/>
  <c r="S410" i="9"/>
  <c r="T410" i="9"/>
  <c r="R411" i="9"/>
  <c r="S411" i="9"/>
  <c r="T411" i="9"/>
  <c r="R412" i="9"/>
  <c r="S412" i="9"/>
  <c r="T412" i="9"/>
  <c r="R413" i="9"/>
  <c r="S413" i="9"/>
  <c r="T413" i="9"/>
  <c r="R414" i="9"/>
  <c r="S414" i="9"/>
  <c r="T414" i="9"/>
  <c r="R415" i="9"/>
  <c r="S415" i="9"/>
  <c r="T415" i="9"/>
  <c r="R416" i="9"/>
  <c r="S416" i="9"/>
  <c r="T416" i="9"/>
  <c r="R417" i="9"/>
  <c r="S417" i="9"/>
  <c r="T417" i="9"/>
  <c r="R418" i="9"/>
  <c r="S418" i="9"/>
  <c r="T418" i="9"/>
  <c r="R419" i="9"/>
  <c r="S419" i="9"/>
  <c r="T419" i="9"/>
  <c r="R420" i="9"/>
  <c r="S420" i="9"/>
  <c r="T420" i="9"/>
  <c r="R421" i="9"/>
  <c r="S421" i="9"/>
  <c r="T421" i="9"/>
  <c r="R422" i="9"/>
  <c r="S422" i="9"/>
  <c r="T422" i="9"/>
  <c r="R423" i="9"/>
  <c r="S423" i="9"/>
  <c r="T423" i="9"/>
  <c r="R424" i="9"/>
  <c r="S424" i="9"/>
  <c r="T424" i="9"/>
  <c r="R425" i="9"/>
  <c r="S425" i="9"/>
  <c r="T425" i="9"/>
  <c r="R426" i="9"/>
  <c r="S426" i="9"/>
  <c r="T426" i="9"/>
  <c r="R427" i="9"/>
  <c r="S427" i="9"/>
  <c r="T427" i="9"/>
  <c r="R428" i="9"/>
  <c r="S428" i="9"/>
  <c r="T428" i="9"/>
  <c r="R429" i="9"/>
  <c r="S429" i="9"/>
  <c r="T429" i="9"/>
  <c r="R430" i="9"/>
  <c r="S430" i="9"/>
  <c r="T430" i="9"/>
  <c r="R431" i="9"/>
  <c r="S431" i="9"/>
  <c r="T431" i="9"/>
  <c r="R432" i="9"/>
  <c r="S432" i="9"/>
  <c r="T432" i="9"/>
  <c r="R433" i="9"/>
  <c r="S433" i="9"/>
  <c r="T433" i="9"/>
  <c r="R434" i="9"/>
  <c r="S434" i="9"/>
  <c r="T434" i="9"/>
  <c r="R435" i="9"/>
  <c r="S435" i="9"/>
  <c r="T435" i="9"/>
  <c r="R436" i="9"/>
  <c r="S436" i="9"/>
  <c r="T436" i="9"/>
  <c r="R437" i="9"/>
  <c r="S437" i="9"/>
  <c r="T437" i="9"/>
  <c r="R438" i="9"/>
  <c r="S438" i="9"/>
  <c r="T438" i="9"/>
  <c r="R439" i="9"/>
  <c r="S439" i="9"/>
  <c r="T439" i="9"/>
  <c r="R440" i="9"/>
  <c r="S440" i="9"/>
  <c r="T440" i="9"/>
  <c r="R441" i="9"/>
  <c r="S441" i="9"/>
  <c r="T441" i="9"/>
  <c r="R442" i="9"/>
  <c r="S442" i="9"/>
  <c r="T442" i="9"/>
  <c r="R443" i="9"/>
  <c r="S443" i="9"/>
  <c r="T443" i="9"/>
  <c r="R444" i="9"/>
  <c r="S444" i="9"/>
  <c r="T444" i="9"/>
  <c r="R445" i="9"/>
  <c r="S445" i="9"/>
  <c r="T445" i="9"/>
  <c r="R446" i="9"/>
  <c r="S446" i="9"/>
  <c r="T446" i="9"/>
  <c r="R447" i="9"/>
  <c r="S447" i="9"/>
  <c r="T447" i="9"/>
  <c r="R448" i="9"/>
  <c r="S448" i="9"/>
  <c r="T448" i="9"/>
  <c r="R449" i="9"/>
  <c r="S449" i="9"/>
  <c r="T449" i="9"/>
  <c r="R450" i="9"/>
  <c r="S450" i="9"/>
  <c r="T450" i="9"/>
  <c r="R451" i="9"/>
  <c r="S451" i="9"/>
  <c r="T451" i="9"/>
  <c r="R452" i="9"/>
  <c r="S452" i="9"/>
  <c r="T452" i="9"/>
  <c r="R453" i="9"/>
  <c r="S453" i="9"/>
  <c r="T453" i="9"/>
  <c r="R454" i="9"/>
  <c r="S454" i="9"/>
  <c r="T454" i="9"/>
  <c r="R455" i="9"/>
  <c r="S455" i="9"/>
  <c r="T455" i="9"/>
  <c r="R456" i="9"/>
  <c r="S456" i="9"/>
  <c r="T456" i="9"/>
  <c r="R457" i="9"/>
  <c r="S457" i="9"/>
  <c r="T457" i="9"/>
  <c r="R458" i="9"/>
  <c r="S458" i="9"/>
  <c r="T458" i="9"/>
  <c r="R459" i="9"/>
  <c r="S459" i="9"/>
  <c r="T459" i="9"/>
  <c r="R460" i="9"/>
  <c r="S460" i="9"/>
  <c r="T460" i="9"/>
  <c r="R461" i="9"/>
  <c r="S461" i="9"/>
  <c r="T461" i="9"/>
  <c r="R462" i="9"/>
  <c r="S462" i="9"/>
  <c r="T462" i="9"/>
  <c r="R463" i="9"/>
  <c r="S463" i="9"/>
  <c r="T463" i="9"/>
  <c r="R464" i="9"/>
  <c r="S464" i="9"/>
  <c r="T464" i="9"/>
  <c r="R465" i="9"/>
  <c r="S465" i="9"/>
  <c r="T465" i="9"/>
  <c r="R466" i="9"/>
  <c r="S466" i="9"/>
  <c r="T466" i="9"/>
  <c r="R467" i="9"/>
  <c r="S467" i="9"/>
  <c r="T467" i="9"/>
  <c r="R468" i="9"/>
  <c r="S468" i="9"/>
  <c r="T468" i="9"/>
  <c r="R469" i="9"/>
  <c r="S469" i="9"/>
  <c r="T469" i="9"/>
  <c r="R470" i="9"/>
  <c r="S470" i="9"/>
  <c r="T470" i="9"/>
  <c r="R471" i="9"/>
  <c r="S471" i="9"/>
  <c r="T471" i="9"/>
  <c r="R472" i="9"/>
  <c r="S472" i="9"/>
  <c r="T472" i="9"/>
  <c r="R473" i="9"/>
  <c r="S473" i="9"/>
  <c r="T473" i="9"/>
  <c r="R474" i="9"/>
  <c r="S474" i="9"/>
  <c r="T474" i="9"/>
  <c r="R475" i="9"/>
  <c r="S475" i="9"/>
  <c r="T475" i="9"/>
  <c r="R476" i="9"/>
  <c r="S476" i="9"/>
  <c r="T476" i="9"/>
  <c r="R477" i="9"/>
  <c r="S477" i="9"/>
  <c r="T477" i="9"/>
  <c r="R478" i="9"/>
  <c r="S478" i="9"/>
  <c r="T478" i="9"/>
  <c r="R479" i="9"/>
  <c r="S479" i="9"/>
  <c r="T479" i="9"/>
  <c r="R480" i="9"/>
  <c r="S480" i="9"/>
  <c r="T480" i="9"/>
  <c r="R481" i="9"/>
  <c r="S481" i="9"/>
  <c r="T481" i="9"/>
  <c r="R482" i="9"/>
  <c r="S482" i="9"/>
  <c r="T482" i="9"/>
  <c r="R483" i="9"/>
  <c r="S483" i="9"/>
  <c r="T483" i="9"/>
  <c r="R484" i="9"/>
  <c r="S484" i="9"/>
  <c r="T484" i="9"/>
  <c r="R485" i="9"/>
  <c r="S485" i="9"/>
  <c r="T485" i="9"/>
  <c r="R486" i="9"/>
  <c r="S486" i="9"/>
  <c r="T486" i="9"/>
  <c r="R487" i="9"/>
  <c r="S487" i="9"/>
  <c r="T487" i="9"/>
  <c r="R488" i="9"/>
  <c r="S488" i="9"/>
  <c r="T488" i="9"/>
  <c r="R489" i="9"/>
  <c r="S489" i="9"/>
  <c r="T489" i="9"/>
  <c r="R490" i="9"/>
  <c r="S490" i="9"/>
  <c r="T490" i="9"/>
  <c r="R491" i="9"/>
  <c r="S491" i="9"/>
  <c r="T491" i="9"/>
  <c r="R492" i="9"/>
  <c r="S492" i="9"/>
  <c r="T492" i="9"/>
  <c r="R493" i="9"/>
  <c r="S493" i="9"/>
  <c r="T493" i="9"/>
  <c r="R494" i="9"/>
  <c r="S494" i="9"/>
  <c r="T494" i="9"/>
  <c r="R495" i="9"/>
  <c r="S495" i="9"/>
  <c r="T495" i="9"/>
  <c r="R496" i="9"/>
  <c r="S496" i="9"/>
  <c r="T496" i="9"/>
  <c r="R497" i="9"/>
  <c r="S497" i="9"/>
  <c r="T497" i="9"/>
  <c r="R498" i="9"/>
  <c r="S498" i="9"/>
  <c r="T498" i="9"/>
  <c r="R499" i="9"/>
  <c r="S499" i="9"/>
  <c r="T499" i="9"/>
  <c r="R500" i="9"/>
  <c r="S500" i="9"/>
  <c r="T500" i="9"/>
  <c r="R501" i="9"/>
  <c r="S501" i="9"/>
  <c r="T501" i="9"/>
  <c r="R502" i="9"/>
  <c r="S502" i="9"/>
  <c r="T502" i="9"/>
  <c r="R503" i="9"/>
  <c r="S503" i="9"/>
  <c r="T503" i="9"/>
  <c r="R504" i="9"/>
  <c r="S504" i="9"/>
  <c r="T504" i="9"/>
  <c r="R505" i="9"/>
  <c r="S505" i="9"/>
  <c r="T505" i="9"/>
  <c r="R506" i="9"/>
  <c r="S506" i="9"/>
  <c r="T506" i="9"/>
  <c r="R507" i="9"/>
  <c r="S507" i="9"/>
  <c r="T507" i="9"/>
  <c r="R508" i="9"/>
  <c r="S508" i="9"/>
  <c r="T508" i="9"/>
  <c r="R509" i="9"/>
  <c r="S509" i="9"/>
  <c r="T509" i="9"/>
  <c r="R510" i="9"/>
  <c r="S510" i="9"/>
  <c r="T510" i="9"/>
  <c r="R511" i="9"/>
  <c r="S511" i="9"/>
  <c r="T511" i="9"/>
  <c r="R512" i="9"/>
  <c r="S512" i="9"/>
  <c r="T512" i="9"/>
  <c r="R513" i="9"/>
  <c r="S513" i="9"/>
  <c r="T513" i="9"/>
  <c r="R514" i="9"/>
  <c r="S514" i="9"/>
  <c r="T514" i="9"/>
  <c r="R515" i="9"/>
  <c r="S515" i="9"/>
  <c r="T515" i="9"/>
  <c r="R516" i="9"/>
  <c r="S516" i="9"/>
  <c r="T516" i="9"/>
  <c r="R517" i="9"/>
  <c r="S517" i="9"/>
  <c r="T517" i="9"/>
  <c r="R518" i="9"/>
  <c r="S518" i="9"/>
  <c r="T518" i="9"/>
  <c r="R519" i="9"/>
  <c r="S519" i="9"/>
  <c r="T519" i="9"/>
  <c r="R520" i="9"/>
  <c r="S520" i="9"/>
  <c r="T520" i="9"/>
  <c r="R521" i="9"/>
  <c r="S521" i="9"/>
  <c r="T521" i="9"/>
  <c r="R522" i="9"/>
  <c r="S522" i="9"/>
  <c r="T522" i="9"/>
  <c r="R523" i="9"/>
  <c r="S523" i="9"/>
  <c r="T523" i="9"/>
  <c r="R524" i="9"/>
  <c r="S524" i="9"/>
  <c r="T524" i="9"/>
  <c r="R525" i="9"/>
  <c r="S525" i="9"/>
  <c r="T525" i="9"/>
  <c r="R526" i="9"/>
  <c r="S526" i="9"/>
  <c r="T526" i="9"/>
  <c r="R527" i="9"/>
  <c r="S527" i="9"/>
  <c r="T527" i="9"/>
  <c r="R528" i="9"/>
  <c r="S528" i="9"/>
  <c r="T528" i="9"/>
  <c r="R529" i="9"/>
  <c r="S529" i="9"/>
  <c r="T529" i="9"/>
  <c r="R530" i="9"/>
  <c r="S530" i="9"/>
  <c r="T530" i="9"/>
  <c r="R531" i="9"/>
  <c r="S531" i="9"/>
  <c r="T531" i="9"/>
  <c r="R532" i="9"/>
  <c r="S532" i="9"/>
  <c r="T532" i="9"/>
  <c r="R533" i="9"/>
  <c r="S533" i="9"/>
  <c r="T533" i="9"/>
  <c r="R534" i="9"/>
  <c r="S534" i="9"/>
  <c r="T534" i="9"/>
  <c r="R535" i="9"/>
  <c r="S535" i="9"/>
  <c r="T535" i="9"/>
  <c r="R536" i="9"/>
  <c r="S536" i="9"/>
  <c r="T536" i="9"/>
  <c r="R537" i="9"/>
  <c r="S537" i="9"/>
  <c r="T537" i="9"/>
  <c r="R538" i="9"/>
  <c r="S538" i="9"/>
  <c r="T538" i="9"/>
  <c r="R539" i="9"/>
  <c r="S539" i="9"/>
  <c r="T539" i="9"/>
  <c r="R540" i="9"/>
  <c r="S540" i="9"/>
  <c r="T540" i="9"/>
  <c r="R541" i="9"/>
  <c r="S541" i="9"/>
  <c r="T541" i="9"/>
  <c r="R542" i="9"/>
  <c r="S542" i="9"/>
  <c r="T542" i="9"/>
  <c r="R543" i="9"/>
  <c r="S543" i="9"/>
  <c r="T543" i="9"/>
  <c r="R544" i="9"/>
  <c r="S544" i="9"/>
  <c r="T544" i="9"/>
  <c r="R545" i="9"/>
  <c r="S545" i="9"/>
  <c r="T545" i="9"/>
  <c r="R546" i="9"/>
  <c r="S546" i="9"/>
  <c r="T546" i="9"/>
  <c r="R547" i="9"/>
  <c r="S547" i="9"/>
  <c r="T547" i="9"/>
  <c r="R548" i="9"/>
  <c r="S548" i="9"/>
  <c r="T548" i="9"/>
  <c r="R549" i="9"/>
  <c r="S549" i="9"/>
  <c r="T549" i="9"/>
  <c r="R550" i="9"/>
  <c r="S550" i="9"/>
  <c r="T550" i="9"/>
  <c r="R551" i="9"/>
  <c r="S551" i="9"/>
  <c r="T551" i="9"/>
  <c r="R552" i="9"/>
  <c r="S552" i="9"/>
  <c r="T552" i="9"/>
  <c r="R553" i="9"/>
  <c r="S553" i="9"/>
  <c r="T553" i="9"/>
  <c r="R554" i="9"/>
  <c r="S554" i="9"/>
  <c r="T554" i="9"/>
  <c r="R555" i="9"/>
  <c r="S555" i="9"/>
  <c r="T555" i="9"/>
  <c r="R556" i="9"/>
  <c r="S556" i="9"/>
  <c r="T556" i="9"/>
  <c r="R557" i="9"/>
  <c r="S557" i="9"/>
  <c r="T557" i="9"/>
  <c r="R558" i="9"/>
  <c r="S558" i="9"/>
  <c r="T558" i="9"/>
  <c r="R559" i="9"/>
  <c r="S559" i="9"/>
  <c r="T559" i="9"/>
  <c r="R560" i="9"/>
  <c r="S560" i="9"/>
  <c r="T560" i="9"/>
  <c r="R561" i="9"/>
  <c r="S561" i="9"/>
  <c r="T561" i="9"/>
  <c r="R562" i="9"/>
  <c r="S562" i="9"/>
  <c r="T562" i="9"/>
  <c r="R563" i="9"/>
  <c r="S563" i="9"/>
  <c r="T563" i="9"/>
  <c r="R564" i="9"/>
  <c r="S564" i="9"/>
  <c r="T564" i="9"/>
  <c r="R565" i="9"/>
  <c r="S565" i="9"/>
  <c r="T565" i="9"/>
  <c r="R566" i="9"/>
  <c r="S566" i="9"/>
  <c r="T566" i="9"/>
  <c r="R567" i="9"/>
  <c r="S567" i="9"/>
  <c r="T567" i="9"/>
  <c r="R568" i="9"/>
  <c r="S568" i="9"/>
  <c r="T568" i="9"/>
  <c r="R569" i="9"/>
  <c r="S569" i="9"/>
  <c r="T569" i="9"/>
  <c r="R570" i="9"/>
  <c r="S570" i="9"/>
  <c r="T570" i="9"/>
  <c r="R571" i="9"/>
  <c r="S571" i="9"/>
  <c r="T571" i="9"/>
  <c r="R572" i="9"/>
  <c r="S572" i="9"/>
  <c r="T572" i="9"/>
  <c r="R573" i="9"/>
  <c r="S573" i="9"/>
  <c r="T573" i="9"/>
  <c r="R574" i="9"/>
  <c r="S574" i="9"/>
  <c r="T574" i="9"/>
  <c r="R575" i="9"/>
  <c r="S575" i="9"/>
  <c r="T575" i="9"/>
  <c r="R576" i="9"/>
  <c r="S576" i="9"/>
  <c r="T576" i="9"/>
  <c r="R577" i="9"/>
  <c r="S577" i="9"/>
  <c r="T577" i="9"/>
  <c r="R578" i="9"/>
  <c r="S578" i="9"/>
  <c r="T578" i="9"/>
  <c r="R579" i="9"/>
  <c r="S579" i="9"/>
  <c r="T579" i="9"/>
  <c r="R580" i="9"/>
  <c r="S580" i="9"/>
  <c r="T580" i="9"/>
  <c r="R581" i="9"/>
  <c r="S581" i="9"/>
  <c r="T581" i="9"/>
  <c r="R582" i="9"/>
  <c r="S582" i="9"/>
  <c r="T582" i="9"/>
  <c r="R583" i="9"/>
  <c r="S583" i="9"/>
  <c r="T583" i="9"/>
  <c r="R584" i="9"/>
  <c r="S584" i="9"/>
  <c r="T584" i="9"/>
  <c r="R585" i="9"/>
  <c r="S585" i="9"/>
  <c r="T585" i="9"/>
  <c r="R586" i="9"/>
  <c r="S586" i="9"/>
  <c r="T586" i="9"/>
  <c r="R587" i="9"/>
  <c r="S587" i="9"/>
  <c r="T587" i="9"/>
  <c r="R588" i="9"/>
  <c r="S588" i="9"/>
  <c r="T588" i="9"/>
  <c r="R589" i="9"/>
  <c r="S589" i="9"/>
  <c r="T589" i="9"/>
  <c r="R590" i="9"/>
  <c r="S590" i="9"/>
  <c r="T590" i="9"/>
  <c r="R591" i="9"/>
  <c r="S591" i="9"/>
  <c r="T591" i="9"/>
  <c r="R592" i="9"/>
  <c r="S592" i="9"/>
  <c r="T592" i="9"/>
  <c r="R593" i="9"/>
  <c r="S593" i="9"/>
  <c r="T593" i="9"/>
  <c r="R594" i="9"/>
  <c r="S594" i="9"/>
  <c r="T594" i="9"/>
  <c r="R595" i="9"/>
  <c r="S595" i="9"/>
  <c r="T595" i="9"/>
  <c r="R596" i="9"/>
  <c r="S596" i="9"/>
  <c r="T596" i="9"/>
  <c r="R597" i="9"/>
  <c r="S597" i="9"/>
  <c r="T597" i="9"/>
  <c r="R598" i="9"/>
  <c r="S598" i="9"/>
  <c r="T598" i="9"/>
  <c r="R599" i="9"/>
  <c r="S599" i="9"/>
  <c r="T599" i="9"/>
  <c r="R600" i="9"/>
  <c r="S600" i="9"/>
  <c r="T600" i="9"/>
  <c r="R601" i="9"/>
  <c r="S601" i="9"/>
  <c r="T601" i="9"/>
  <c r="R602" i="9"/>
  <c r="S602" i="9"/>
  <c r="T602" i="9"/>
  <c r="R603" i="9"/>
  <c r="S603" i="9"/>
  <c r="T603" i="9"/>
  <c r="R604" i="9"/>
  <c r="S604" i="9"/>
  <c r="T604" i="9"/>
  <c r="R605" i="9"/>
  <c r="S605" i="9"/>
  <c r="T605" i="9"/>
  <c r="R606" i="9"/>
  <c r="S606" i="9"/>
  <c r="T606" i="9"/>
  <c r="R607" i="9"/>
  <c r="S607" i="9"/>
  <c r="T607" i="9"/>
  <c r="R608" i="9"/>
  <c r="S608" i="9"/>
  <c r="T608" i="9"/>
  <c r="R609" i="9"/>
  <c r="S609" i="9"/>
  <c r="T609" i="9"/>
  <c r="R610" i="9"/>
  <c r="S610" i="9"/>
  <c r="T610" i="9"/>
  <c r="R611" i="9"/>
  <c r="S611" i="9"/>
  <c r="T611" i="9"/>
  <c r="R612" i="9"/>
  <c r="S612" i="9"/>
  <c r="T612" i="9"/>
  <c r="R613" i="9"/>
  <c r="S613" i="9"/>
  <c r="T613" i="9"/>
  <c r="R614" i="9"/>
  <c r="S614" i="9"/>
  <c r="T614" i="9"/>
  <c r="R615" i="9"/>
  <c r="S615" i="9"/>
  <c r="T615" i="9"/>
  <c r="R616" i="9"/>
  <c r="S616" i="9"/>
  <c r="T616" i="9"/>
  <c r="R617" i="9"/>
  <c r="S617" i="9"/>
  <c r="T617" i="9"/>
  <c r="R618" i="9"/>
  <c r="S618" i="9"/>
  <c r="T618" i="9"/>
  <c r="R619" i="9"/>
  <c r="S619" i="9"/>
  <c r="T619" i="9"/>
  <c r="R620" i="9"/>
  <c r="S620" i="9"/>
  <c r="T620" i="9"/>
  <c r="R621" i="9"/>
  <c r="S621" i="9"/>
  <c r="T621" i="9"/>
  <c r="R622" i="9"/>
  <c r="S622" i="9"/>
  <c r="T622" i="9"/>
  <c r="R623" i="9"/>
  <c r="S623" i="9"/>
  <c r="T623" i="9"/>
  <c r="R624" i="9"/>
  <c r="S624" i="9"/>
  <c r="T624" i="9"/>
  <c r="R625" i="9"/>
  <c r="S625" i="9"/>
  <c r="T625" i="9"/>
  <c r="R626" i="9"/>
  <c r="S626" i="9"/>
  <c r="T626" i="9"/>
  <c r="R627" i="9"/>
  <c r="S627" i="9"/>
  <c r="T627" i="9"/>
  <c r="R628" i="9"/>
  <c r="S628" i="9"/>
  <c r="T628" i="9"/>
  <c r="R629" i="9"/>
  <c r="S629" i="9"/>
  <c r="T629" i="9"/>
  <c r="R630" i="9"/>
  <c r="S630" i="9"/>
  <c r="T630" i="9"/>
  <c r="R631" i="9"/>
  <c r="S631" i="9"/>
  <c r="T631" i="9"/>
  <c r="R632" i="9"/>
  <c r="S632" i="9"/>
  <c r="T632" i="9"/>
  <c r="R633" i="9"/>
  <c r="S633" i="9"/>
  <c r="T633" i="9"/>
  <c r="R634" i="9"/>
  <c r="S634" i="9"/>
  <c r="T634" i="9"/>
  <c r="R635" i="9"/>
  <c r="S635" i="9"/>
  <c r="T635" i="9"/>
  <c r="R636" i="9"/>
  <c r="S636" i="9"/>
  <c r="T636" i="9"/>
  <c r="R637" i="9"/>
  <c r="S637" i="9"/>
  <c r="T637" i="9"/>
  <c r="R638" i="9"/>
  <c r="S638" i="9"/>
  <c r="T638" i="9"/>
  <c r="R639" i="9"/>
  <c r="S639" i="9"/>
  <c r="T639" i="9"/>
  <c r="R640" i="9"/>
  <c r="S640" i="9"/>
  <c r="T640" i="9"/>
  <c r="R641" i="9"/>
  <c r="S641" i="9"/>
  <c r="T641" i="9"/>
  <c r="R642" i="9"/>
  <c r="S642" i="9"/>
  <c r="T642" i="9"/>
  <c r="R643" i="9"/>
  <c r="S643" i="9"/>
  <c r="T643" i="9"/>
  <c r="R644" i="9"/>
  <c r="S644" i="9"/>
  <c r="T644" i="9"/>
  <c r="R645" i="9"/>
  <c r="S645" i="9"/>
  <c r="T645" i="9"/>
  <c r="R646" i="9"/>
  <c r="S646" i="9"/>
  <c r="T646" i="9"/>
  <c r="R647" i="9"/>
  <c r="S647" i="9"/>
  <c r="T647" i="9"/>
  <c r="R648" i="9"/>
  <c r="S648" i="9"/>
  <c r="T648" i="9"/>
  <c r="R649" i="9"/>
  <c r="S649" i="9"/>
  <c r="T649" i="9"/>
  <c r="R650" i="9"/>
  <c r="S650" i="9"/>
  <c r="T650" i="9"/>
  <c r="R651" i="9"/>
  <c r="S651" i="9"/>
  <c r="T651" i="9"/>
  <c r="R652" i="9"/>
  <c r="S652" i="9"/>
  <c r="T652" i="9"/>
  <c r="R653" i="9"/>
  <c r="S653" i="9"/>
  <c r="T653" i="9"/>
  <c r="R654" i="9"/>
  <c r="S654" i="9"/>
  <c r="T654" i="9"/>
  <c r="R655" i="9"/>
  <c r="S655" i="9"/>
  <c r="T655" i="9"/>
  <c r="R656" i="9"/>
  <c r="S656" i="9"/>
  <c r="T656" i="9"/>
  <c r="R657" i="9"/>
  <c r="S657" i="9"/>
  <c r="T657" i="9"/>
  <c r="R658" i="9"/>
  <c r="S658" i="9"/>
  <c r="T658" i="9"/>
  <c r="R659" i="9"/>
  <c r="S659" i="9"/>
  <c r="T659" i="9"/>
  <c r="R660" i="9"/>
  <c r="S660" i="9"/>
  <c r="T660" i="9"/>
  <c r="R661" i="9"/>
  <c r="S661" i="9"/>
  <c r="T661" i="9"/>
  <c r="R662" i="9"/>
  <c r="S662" i="9"/>
  <c r="T662" i="9"/>
  <c r="R663" i="9"/>
  <c r="S663" i="9"/>
  <c r="T663" i="9"/>
  <c r="R664" i="9"/>
  <c r="S664" i="9"/>
  <c r="T664" i="9"/>
  <c r="R665" i="9"/>
  <c r="S665" i="9"/>
  <c r="T665" i="9"/>
  <c r="R666" i="9"/>
  <c r="S666" i="9"/>
  <c r="T666" i="9"/>
  <c r="R667" i="9"/>
  <c r="S667" i="9"/>
  <c r="T667" i="9"/>
  <c r="R668" i="9"/>
  <c r="S668" i="9"/>
  <c r="T668" i="9"/>
  <c r="R669" i="9"/>
  <c r="S669" i="9"/>
  <c r="T669" i="9"/>
  <c r="R670" i="9"/>
  <c r="S670" i="9"/>
  <c r="T670" i="9"/>
  <c r="R671" i="9"/>
  <c r="S671" i="9"/>
  <c r="T671" i="9"/>
  <c r="R672" i="9"/>
  <c r="S672" i="9"/>
  <c r="T672" i="9"/>
  <c r="R673" i="9"/>
  <c r="S673" i="9"/>
  <c r="T673" i="9"/>
  <c r="R674" i="9"/>
  <c r="S674" i="9"/>
  <c r="T674" i="9"/>
  <c r="R675" i="9"/>
  <c r="S675" i="9"/>
  <c r="T675" i="9"/>
  <c r="R676" i="9"/>
  <c r="S676" i="9"/>
  <c r="T676" i="9"/>
  <c r="R677" i="9"/>
  <c r="S677" i="9"/>
  <c r="T677" i="9"/>
  <c r="R678" i="9"/>
  <c r="S678" i="9"/>
  <c r="T678" i="9"/>
  <c r="R679" i="9"/>
  <c r="S679" i="9"/>
  <c r="T679" i="9"/>
  <c r="R680" i="9"/>
  <c r="S680" i="9"/>
  <c r="T680" i="9"/>
  <c r="R681" i="9"/>
  <c r="S681" i="9"/>
  <c r="T681" i="9"/>
  <c r="R682" i="9"/>
  <c r="S682" i="9"/>
  <c r="T682" i="9"/>
  <c r="R683" i="9"/>
  <c r="S683" i="9"/>
  <c r="T683" i="9"/>
  <c r="R684" i="9"/>
  <c r="S684" i="9"/>
  <c r="T684" i="9"/>
  <c r="R685" i="9"/>
  <c r="S685" i="9"/>
  <c r="T685" i="9"/>
  <c r="R686" i="9"/>
  <c r="S686" i="9"/>
  <c r="T686" i="9"/>
  <c r="R687" i="9"/>
  <c r="S687" i="9"/>
  <c r="T687" i="9"/>
  <c r="R688" i="9"/>
  <c r="S688" i="9"/>
  <c r="T688" i="9"/>
  <c r="R689" i="9"/>
  <c r="S689" i="9"/>
  <c r="T689" i="9"/>
  <c r="R690" i="9"/>
  <c r="S690" i="9"/>
  <c r="T690" i="9"/>
  <c r="R691" i="9"/>
  <c r="S691" i="9"/>
  <c r="T691" i="9"/>
  <c r="R692" i="9"/>
  <c r="S692" i="9"/>
  <c r="T692" i="9"/>
  <c r="R693" i="9"/>
  <c r="S693" i="9"/>
  <c r="T693" i="9"/>
  <c r="R694" i="9"/>
  <c r="S694" i="9"/>
  <c r="T694" i="9"/>
  <c r="R695" i="9"/>
  <c r="S695" i="9"/>
  <c r="T695" i="9"/>
  <c r="R696" i="9"/>
  <c r="S696" i="9"/>
  <c r="T696" i="9"/>
  <c r="R697" i="9"/>
  <c r="S697" i="9"/>
  <c r="T697" i="9"/>
  <c r="R698" i="9"/>
  <c r="S698" i="9"/>
  <c r="T698" i="9"/>
  <c r="R699" i="9"/>
  <c r="S699" i="9"/>
  <c r="T699" i="9"/>
  <c r="R700" i="9"/>
  <c r="S700" i="9"/>
  <c r="T700" i="9"/>
  <c r="R701" i="9"/>
  <c r="S701" i="9"/>
  <c r="T701" i="9"/>
  <c r="R702" i="9"/>
  <c r="S702" i="9"/>
  <c r="T702" i="9"/>
  <c r="R703" i="9"/>
  <c r="S703" i="9"/>
  <c r="T703" i="9"/>
  <c r="R704" i="9"/>
  <c r="S704" i="9"/>
  <c r="T704" i="9"/>
  <c r="R705" i="9"/>
  <c r="S705" i="9"/>
  <c r="T705" i="9"/>
  <c r="R706" i="9"/>
  <c r="S706" i="9"/>
  <c r="T706" i="9"/>
  <c r="R707" i="9"/>
  <c r="S707" i="9"/>
  <c r="T707" i="9"/>
  <c r="R708" i="9"/>
  <c r="S708" i="9"/>
  <c r="T708" i="9"/>
  <c r="R709" i="9"/>
  <c r="S709" i="9"/>
  <c r="T709" i="9"/>
  <c r="R710" i="9"/>
  <c r="S710" i="9"/>
  <c r="T710" i="9"/>
  <c r="R711" i="9"/>
  <c r="S711" i="9"/>
  <c r="T711" i="9"/>
  <c r="R712" i="9"/>
  <c r="S712" i="9"/>
  <c r="T712" i="9"/>
  <c r="R713" i="9"/>
  <c r="S713" i="9"/>
  <c r="T713" i="9"/>
  <c r="R714" i="9"/>
  <c r="S714" i="9"/>
  <c r="T714" i="9"/>
  <c r="R715" i="9"/>
  <c r="S715" i="9"/>
  <c r="T715" i="9"/>
  <c r="R716" i="9"/>
  <c r="S716" i="9"/>
  <c r="T716" i="9"/>
  <c r="R717" i="9"/>
  <c r="S717" i="9"/>
  <c r="T717" i="9"/>
  <c r="R718" i="9"/>
  <c r="S718" i="9"/>
  <c r="T718" i="9"/>
  <c r="R719" i="9"/>
  <c r="S719" i="9"/>
  <c r="T719" i="9"/>
  <c r="R720" i="9"/>
  <c r="S720" i="9"/>
  <c r="T720" i="9"/>
  <c r="R721" i="9"/>
  <c r="S721" i="9"/>
  <c r="T721" i="9"/>
  <c r="R722" i="9"/>
  <c r="S722" i="9"/>
  <c r="T722" i="9"/>
  <c r="R723" i="9"/>
  <c r="S723" i="9"/>
  <c r="T723" i="9"/>
  <c r="R724" i="9"/>
  <c r="S724" i="9"/>
  <c r="T724" i="9"/>
  <c r="R725" i="9"/>
  <c r="S725" i="9"/>
  <c r="T725" i="9"/>
  <c r="R726" i="9"/>
  <c r="S726" i="9"/>
  <c r="T726" i="9"/>
  <c r="R727" i="9"/>
  <c r="S727" i="9"/>
  <c r="T727" i="9"/>
  <c r="R728" i="9"/>
  <c r="S728" i="9"/>
  <c r="T728" i="9"/>
  <c r="R729" i="9"/>
  <c r="S729" i="9"/>
  <c r="T729" i="9"/>
  <c r="R730" i="9"/>
  <c r="S730" i="9"/>
  <c r="T730" i="9"/>
  <c r="R731" i="9"/>
  <c r="S731" i="9"/>
  <c r="T731" i="9"/>
  <c r="R732" i="9"/>
  <c r="S732" i="9"/>
  <c r="T732" i="9"/>
  <c r="R733" i="9"/>
  <c r="S733" i="9"/>
  <c r="T733" i="9"/>
  <c r="R734" i="9"/>
  <c r="S734" i="9"/>
  <c r="T734" i="9"/>
  <c r="R735" i="9"/>
  <c r="S735" i="9"/>
  <c r="T735" i="9"/>
  <c r="R736" i="9"/>
  <c r="S736" i="9"/>
  <c r="T736" i="9"/>
  <c r="R737" i="9"/>
  <c r="S737" i="9"/>
  <c r="T737" i="9"/>
  <c r="R738" i="9"/>
  <c r="S738" i="9"/>
  <c r="T738" i="9"/>
  <c r="R739" i="9"/>
  <c r="S739" i="9"/>
  <c r="T739" i="9"/>
  <c r="R740" i="9"/>
  <c r="S740" i="9"/>
  <c r="T740" i="9"/>
  <c r="R741" i="9"/>
  <c r="S741" i="9"/>
  <c r="T741" i="9"/>
  <c r="R742" i="9"/>
  <c r="S742" i="9"/>
  <c r="T742" i="9"/>
  <c r="R743" i="9"/>
  <c r="S743" i="9"/>
  <c r="T743" i="9"/>
  <c r="R744" i="9"/>
  <c r="S744" i="9"/>
  <c r="T744" i="9"/>
  <c r="R745" i="9"/>
  <c r="S745" i="9"/>
  <c r="T745" i="9"/>
  <c r="R746" i="9"/>
  <c r="S746" i="9"/>
  <c r="T746" i="9"/>
  <c r="R747" i="9"/>
  <c r="S747" i="9"/>
  <c r="T747" i="9"/>
  <c r="R748" i="9"/>
  <c r="S748" i="9"/>
  <c r="T748" i="9"/>
  <c r="R749" i="9"/>
  <c r="S749" i="9"/>
  <c r="T749" i="9"/>
  <c r="R750" i="9"/>
  <c r="S750" i="9"/>
  <c r="T750" i="9"/>
  <c r="R751" i="9"/>
  <c r="S751" i="9"/>
  <c r="T751" i="9"/>
  <c r="R752" i="9"/>
  <c r="S752" i="9"/>
  <c r="T752" i="9"/>
  <c r="R753" i="9"/>
  <c r="S753" i="9"/>
  <c r="T753" i="9"/>
  <c r="R754" i="9"/>
  <c r="S754" i="9"/>
  <c r="T754" i="9"/>
  <c r="R755" i="9"/>
  <c r="S755" i="9"/>
  <c r="T755" i="9"/>
  <c r="R756" i="9"/>
  <c r="S756" i="9"/>
  <c r="T756" i="9"/>
  <c r="R757" i="9"/>
  <c r="S757" i="9"/>
  <c r="T757" i="9"/>
  <c r="R758" i="9"/>
  <c r="S758" i="9"/>
  <c r="T758" i="9"/>
  <c r="R759" i="9"/>
  <c r="S759" i="9"/>
  <c r="T759" i="9"/>
  <c r="R760" i="9"/>
  <c r="S760" i="9"/>
  <c r="T760" i="9"/>
  <c r="R761" i="9"/>
  <c r="S761" i="9"/>
  <c r="T761" i="9"/>
  <c r="R762" i="9"/>
  <c r="S762" i="9"/>
  <c r="T762" i="9"/>
  <c r="R763" i="9"/>
  <c r="S763" i="9"/>
  <c r="T763" i="9"/>
  <c r="R764" i="9"/>
  <c r="S764" i="9"/>
  <c r="T764" i="9"/>
  <c r="R765" i="9"/>
  <c r="S765" i="9"/>
  <c r="T765" i="9"/>
  <c r="R766" i="9"/>
  <c r="S766" i="9"/>
  <c r="T766" i="9"/>
  <c r="R767" i="9"/>
  <c r="S767" i="9"/>
  <c r="T767" i="9"/>
  <c r="R768" i="9"/>
  <c r="S768" i="9"/>
  <c r="T768" i="9"/>
  <c r="R769" i="9"/>
  <c r="S769" i="9"/>
  <c r="T769" i="9"/>
  <c r="R770" i="9"/>
  <c r="S770" i="9"/>
  <c r="T770" i="9"/>
  <c r="R771" i="9"/>
  <c r="S771" i="9"/>
  <c r="T771" i="9"/>
  <c r="R772" i="9"/>
  <c r="S772" i="9"/>
  <c r="T772" i="9"/>
  <c r="R773" i="9"/>
  <c r="S773" i="9"/>
  <c r="T773" i="9"/>
  <c r="R774" i="9"/>
  <c r="S774" i="9"/>
  <c r="T774" i="9"/>
  <c r="R775" i="9"/>
  <c r="S775" i="9"/>
  <c r="T775" i="9"/>
  <c r="R776" i="9"/>
  <c r="S776" i="9"/>
  <c r="T776" i="9"/>
  <c r="R777" i="9"/>
  <c r="S777" i="9"/>
  <c r="T777" i="9"/>
  <c r="R778" i="9"/>
  <c r="S778" i="9"/>
  <c r="T778" i="9"/>
  <c r="R779" i="9"/>
  <c r="S779" i="9"/>
  <c r="T779" i="9"/>
  <c r="R780" i="9"/>
  <c r="S780" i="9"/>
  <c r="T780" i="9"/>
  <c r="R781" i="9"/>
  <c r="S781" i="9"/>
  <c r="T781" i="9"/>
  <c r="R782" i="9"/>
  <c r="S782" i="9"/>
  <c r="T782" i="9"/>
  <c r="R783" i="9"/>
  <c r="S783" i="9"/>
  <c r="T783" i="9"/>
  <c r="R784" i="9"/>
  <c r="S784" i="9"/>
  <c r="T784" i="9"/>
  <c r="R785" i="9"/>
  <c r="S785" i="9"/>
  <c r="T785" i="9"/>
  <c r="R786" i="9"/>
  <c r="S786" i="9"/>
  <c r="T786" i="9"/>
  <c r="R787" i="9"/>
  <c r="S787" i="9"/>
  <c r="T787" i="9"/>
  <c r="R788" i="9"/>
  <c r="S788" i="9"/>
  <c r="T788" i="9"/>
  <c r="R789" i="9"/>
  <c r="S789" i="9"/>
  <c r="T789" i="9"/>
  <c r="R790" i="9"/>
  <c r="S790" i="9"/>
  <c r="T790" i="9"/>
  <c r="R791" i="9"/>
  <c r="S791" i="9"/>
  <c r="T791" i="9"/>
  <c r="R792" i="9"/>
  <c r="S792" i="9"/>
  <c r="T792" i="9"/>
  <c r="R793" i="9"/>
  <c r="S793" i="9"/>
  <c r="T793" i="9"/>
  <c r="R794" i="9"/>
  <c r="S794" i="9"/>
  <c r="T794" i="9"/>
  <c r="R795" i="9"/>
  <c r="S795" i="9"/>
  <c r="T795" i="9"/>
  <c r="R796" i="9"/>
  <c r="S796" i="9"/>
  <c r="T796" i="9"/>
  <c r="R797" i="9"/>
  <c r="S797" i="9"/>
  <c r="T797" i="9"/>
  <c r="R798" i="9"/>
  <c r="S798" i="9"/>
  <c r="T798" i="9"/>
  <c r="R799" i="9"/>
  <c r="S799" i="9"/>
  <c r="T799" i="9"/>
  <c r="R800" i="9"/>
  <c r="S800" i="9"/>
  <c r="T800" i="9"/>
  <c r="R801" i="9"/>
  <c r="S801" i="9"/>
  <c r="T801" i="9"/>
  <c r="R802" i="9"/>
  <c r="S802" i="9"/>
  <c r="T802" i="9"/>
  <c r="R803" i="9"/>
  <c r="S803" i="9"/>
  <c r="T803" i="9"/>
  <c r="R804" i="9"/>
  <c r="S804" i="9"/>
  <c r="T804" i="9"/>
  <c r="R805" i="9"/>
  <c r="S805" i="9"/>
  <c r="T805" i="9"/>
  <c r="R806" i="9"/>
  <c r="S806" i="9"/>
  <c r="T806" i="9"/>
  <c r="R807" i="9"/>
  <c r="S807" i="9"/>
  <c r="T807" i="9"/>
  <c r="R808" i="9"/>
  <c r="S808" i="9"/>
  <c r="T808" i="9"/>
  <c r="R809" i="9"/>
  <c r="S809" i="9"/>
  <c r="T809" i="9"/>
  <c r="R810" i="9"/>
  <c r="S810" i="9"/>
  <c r="T810" i="9"/>
  <c r="R811" i="9"/>
  <c r="S811" i="9"/>
  <c r="T811" i="9"/>
  <c r="R812" i="9"/>
  <c r="S812" i="9"/>
  <c r="T812" i="9"/>
  <c r="R813" i="9"/>
  <c r="S813" i="9"/>
  <c r="T813" i="9"/>
  <c r="R814" i="9"/>
  <c r="S814" i="9"/>
  <c r="T814" i="9"/>
  <c r="R815" i="9"/>
  <c r="S815" i="9"/>
  <c r="T815" i="9"/>
  <c r="R816" i="9"/>
  <c r="S816" i="9"/>
  <c r="T816" i="9"/>
  <c r="R817" i="9"/>
  <c r="S817" i="9"/>
  <c r="T817" i="9"/>
  <c r="R818" i="9"/>
  <c r="S818" i="9"/>
  <c r="T818" i="9"/>
  <c r="R819" i="9"/>
  <c r="S819" i="9"/>
  <c r="T819" i="9"/>
  <c r="R820" i="9"/>
  <c r="S820" i="9"/>
  <c r="T820" i="9"/>
  <c r="R821" i="9"/>
  <c r="S821" i="9"/>
  <c r="T821" i="9"/>
  <c r="R822" i="9"/>
  <c r="S822" i="9"/>
  <c r="T822" i="9"/>
  <c r="R823" i="9"/>
  <c r="S823" i="9"/>
  <c r="T823" i="9"/>
  <c r="R824" i="9"/>
  <c r="S824" i="9"/>
  <c r="T824" i="9"/>
  <c r="R825" i="9"/>
  <c r="S825" i="9"/>
  <c r="T825" i="9"/>
  <c r="R826" i="9"/>
  <c r="S826" i="9"/>
  <c r="T826" i="9"/>
  <c r="R827" i="9"/>
  <c r="S827" i="9"/>
  <c r="T827" i="9"/>
  <c r="R828" i="9"/>
  <c r="S828" i="9"/>
  <c r="T828" i="9"/>
  <c r="R829" i="9"/>
  <c r="S829" i="9"/>
  <c r="T829" i="9"/>
  <c r="R830" i="9"/>
  <c r="S830" i="9"/>
  <c r="T830" i="9"/>
  <c r="R831" i="9"/>
  <c r="S831" i="9"/>
  <c r="T831" i="9"/>
  <c r="R832" i="9"/>
  <c r="S832" i="9"/>
  <c r="T832" i="9"/>
  <c r="R833" i="9"/>
  <c r="S833" i="9"/>
  <c r="T833" i="9"/>
  <c r="R834" i="9"/>
  <c r="S834" i="9"/>
  <c r="T834" i="9"/>
  <c r="R835" i="9"/>
  <c r="S835" i="9"/>
  <c r="T835" i="9"/>
  <c r="R836" i="9"/>
  <c r="S836" i="9"/>
  <c r="T836" i="9"/>
  <c r="R837" i="9"/>
  <c r="S837" i="9"/>
  <c r="T837" i="9"/>
  <c r="R838" i="9"/>
  <c r="S838" i="9"/>
  <c r="T838" i="9"/>
  <c r="R839" i="9"/>
  <c r="S839" i="9"/>
  <c r="T839" i="9"/>
  <c r="R840" i="9"/>
  <c r="S840" i="9"/>
  <c r="T840" i="9"/>
  <c r="R841" i="9"/>
  <c r="S841" i="9"/>
  <c r="T841" i="9"/>
  <c r="R842" i="9"/>
  <c r="S842" i="9"/>
  <c r="T842" i="9"/>
  <c r="R843" i="9"/>
  <c r="S843" i="9"/>
  <c r="T843" i="9"/>
  <c r="R844" i="9"/>
  <c r="S844" i="9"/>
  <c r="T844" i="9"/>
  <c r="R845" i="9"/>
  <c r="S845" i="9"/>
  <c r="T845" i="9"/>
  <c r="R846" i="9"/>
  <c r="S846" i="9"/>
  <c r="T846" i="9"/>
  <c r="R847" i="9"/>
  <c r="S847" i="9"/>
  <c r="T847" i="9"/>
  <c r="R848" i="9"/>
  <c r="S848" i="9"/>
  <c r="T848" i="9"/>
  <c r="R849" i="9"/>
  <c r="S849" i="9"/>
  <c r="T849" i="9"/>
  <c r="R850" i="9"/>
  <c r="S850" i="9"/>
  <c r="T850" i="9"/>
  <c r="R851" i="9"/>
  <c r="S851" i="9"/>
  <c r="T851" i="9"/>
  <c r="R852" i="9"/>
  <c r="S852" i="9"/>
  <c r="T852" i="9"/>
  <c r="R853" i="9"/>
  <c r="S853" i="9"/>
  <c r="T853" i="9"/>
  <c r="R854" i="9"/>
  <c r="S854" i="9"/>
  <c r="T854" i="9"/>
  <c r="R855" i="9"/>
  <c r="S855" i="9"/>
  <c r="T855" i="9"/>
  <c r="R856" i="9"/>
  <c r="S856" i="9"/>
  <c r="T856" i="9"/>
  <c r="R857" i="9"/>
  <c r="S857" i="9"/>
  <c r="T857" i="9"/>
  <c r="R858" i="9"/>
  <c r="S858" i="9"/>
  <c r="T858" i="9"/>
  <c r="R859" i="9"/>
  <c r="S859" i="9"/>
  <c r="T859" i="9"/>
  <c r="R860" i="9"/>
  <c r="S860" i="9"/>
  <c r="T860" i="9"/>
  <c r="R861" i="9"/>
  <c r="S861" i="9"/>
  <c r="T861" i="9"/>
  <c r="R862" i="9"/>
  <c r="S862" i="9"/>
  <c r="T862" i="9"/>
  <c r="R863" i="9"/>
  <c r="S863" i="9"/>
  <c r="T863" i="9"/>
  <c r="R864" i="9"/>
  <c r="S864" i="9"/>
  <c r="T864" i="9"/>
  <c r="R865" i="9"/>
  <c r="S865" i="9"/>
  <c r="T865" i="9"/>
  <c r="R866" i="9"/>
  <c r="S866" i="9"/>
  <c r="T866" i="9"/>
  <c r="R867" i="9"/>
  <c r="S867" i="9"/>
  <c r="T867" i="9"/>
  <c r="R868" i="9"/>
  <c r="S868" i="9"/>
  <c r="T868" i="9"/>
  <c r="R869" i="9"/>
  <c r="S869" i="9"/>
  <c r="T869" i="9"/>
  <c r="R870" i="9"/>
  <c r="S870" i="9"/>
  <c r="T870" i="9"/>
  <c r="R871" i="9"/>
  <c r="S871" i="9"/>
  <c r="T871" i="9"/>
  <c r="R872" i="9"/>
  <c r="S872" i="9"/>
  <c r="T872" i="9"/>
  <c r="R873" i="9"/>
  <c r="S873" i="9"/>
  <c r="T873" i="9"/>
  <c r="R874" i="9"/>
  <c r="S874" i="9"/>
  <c r="T874" i="9"/>
  <c r="R875" i="9"/>
  <c r="S875" i="9"/>
  <c r="T875" i="9"/>
  <c r="R876" i="9"/>
  <c r="S876" i="9"/>
  <c r="T876" i="9"/>
  <c r="R877" i="9"/>
  <c r="S877" i="9"/>
  <c r="T877" i="9"/>
  <c r="R878" i="9"/>
  <c r="S878" i="9"/>
  <c r="T878" i="9"/>
  <c r="R879" i="9"/>
  <c r="S879" i="9"/>
  <c r="T879" i="9"/>
  <c r="R880" i="9"/>
  <c r="S880" i="9"/>
  <c r="T880" i="9"/>
  <c r="R881" i="9"/>
  <c r="S881" i="9"/>
  <c r="T881" i="9"/>
  <c r="R882" i="9"/>
  <c r="S882" i="9"/>
  <c r="T882" i="9"/>
  <c r="R883" i="9"/>
  <c r="S883" i="9"/>
  <c r="T883" i="9"/>
  <c r="R884" i="9"/>
  <c r="S884" i="9"/>
  <c r="T884" i="9"/>
  <c r="R885" i="9"/>
  <c r="S885" i="9"/>
  <c r="T885" i="9"/>
  <c r="R886" i="9"/>
  <c r="S886" i="9"/>
  <c r="T886" i="9"/>
  <c r="R887" i="9"/>
  <c r="S887" i="9"/>
  <c r="T887" i="9"/>
  <c r="R888" i="9"/>
  <c r="S888" i="9"/>
  <c r="T888" i="9"/>
  <c r="R889" i="9"/>
  <c r="S889" i="9"/>
  <c r="T889" i="9"/>
  <c r="R890" i="9"/>
  <c r="S890" i="9"/>
  <c r="T890" i="9"/>
  <c r="R891" i="9"/>
  <c r="S891" i="9"/>
  <c r="T891" i="9"/>
  <c r="R892" i="9"/>
  <c r="S892" i="9"/>
  <c r="T892" i="9"/>
  <c r="R893" i="9"/>
  <c r="S893" i="9"/>
  <c r="T893" i="9"/>
  <c r="R894" i="9"/>
  <c r="S894" i="9"/>
  <c r="T894" i="9"/>
  <c r="R895" i="9"/>
  <c r="S895" i="9"/>
  <c r="T895" i="9"/>
  <c r="R896" i="9"/>
  <c r="S896" i="9"/>
  <c r="T896" i="9"/>
  <c r="R897" i="9"/>
  <c r="S897" i="9"/>
  <c r="T897" i="9"/>
  <c r="R898" i="9"/>
  <c r="S898" i="9"/>
  <c r="T898" i="9"/>
  <c r="R899" i="9"/>
  <c r="S899" i="9"/>
  <c r="T899" i="9"/>
  <c r="R900" i="9"/>
  <c r="S900" i="9"/>
  <c r="T900" i="9"/>
  <c r="R901" i="9"/>
  <c r="S901" i="9"/>
  <c r="T901" i="9"/>
  <c r="R902" i="9"/>
  <c r="S902" i="9"/>
  <c r="T902" i="9"/>
  <c r="R903" i="9"/>
  <c r="S903" i="9"/>
  <c r="T903" i="9"/>
  <c r="R904" i="9"/>
  <c r="S904" i="9"/>
  <c r="T904" i="9"/>
  <c r="R905" i="9"/>
  <c r="S905" i="9"/>
  <c r="T905" i="9"/>
  <c r="R906" i="9"/>
  <c r="S906" i="9"/>
  <c r="T906" i="9"/>
  <c r="R907" i="9"/>
  <c r="S907" i="9"/>
  <c r="T907" i="9"/>
  <c r="R908" i="9"/>
  <c r="S908" i="9"/>
  <c r="T908" i="9"/>
  <c r="R909" i="9"/>
  <c r="S909" i="9"/>
  <c r="T909" i="9"/>
  <c r="R910" i="9"/>
  <c r="S910" i="9"/>
  <c r="T910" i="9"/>
  <c r="R911" i="9"/>
  <c r="S911" i="9"/>
  <c r="T911" i="9"/>
  <c r="R912" i="9"/>
  <c r="S912" i="9"/>
  <c r="T912" i="9"/>
  <c r="R913" i="9"/>
  <c r="S913" i="9"/>
  <c r="T913" i="9"/>
  <c r="R914" i="9"/>
  <c r="S914" i="9"/>
  <c r="T914" i="9"/>
  <c r="R915" i="9"/>
  <c r="S915" i="9"/>
  <c r="T915" i="9"/>
  <c r="R916" i="9"/>
  <c r="S916" i="9"/>
  <c r="T916" i="9"/>
  <c r="R917" i="9"/>
  <c r="S917" i="9"/>
  <c r="T917" i="9"/>
  <c r="R918" i="9"/>
  <c r="S918" i="9"/>
  <c r="T918" i="9"/>
  <c r="R919" i="9"/>
  <c r="S919" i="9"/>
  <c r="T919" i="9"/>
  <c r="R920" i="9"/>
  <c r="S920" i="9"/>
  <c r="T920" i="9"/>
  <c r="R921" i="9"/>
  <c r="S921" i="9"/>
  <c r="T921" i="9"/>
  <c r="R922" i="9"/>
  <c r="S922" i="9"/>
  <c r="T922" i="9"/>
  <c r="R923" i="9"/>
  <c r="S923" i="9"/>
  <c r="T923" i="9"/>
  <c r="R924" i="9"/>
  <c r="S924" i="9"/>
  <c r="T924" i="9"/>
  <c r="R925" i="9"/>
  <c r="S925" i="9"/>
  <c r="T925" i="9"/>
  <c r="R926" i="9"/>
  <c r="S926" i="9"/>
  <c r="T926" i="9"/>
  <c r="R927" i="9"/>
  <c r="S927" i="9"/>
  <c r="T927" i="9"/>
  <c r="R928" i="9"/>
  <c r="S928" i="9"/>
  <c r="T928" i="9"/>
  <c r="R929" i="9"/>
  <c r="S929" i="9"/>
  <c r="T929" i="9"/>
  <c r="R930" i="9"/>
  <c r="S930" i="9"/>
  <c r="T930" i="9"/>
  <c r="R931" i="9"/>
  <c r="S931" i="9"/>
  <c r="T931" i="9"/>
  <c r="R932" i="9"/>
  <c r="S932" i="9"/>
  <c r="T932" i="9"/>
  <c r="R933" i="9"/>
  <c r="S933" i="9"/>
  <c r="T933" i="9"/>
  <c r="R934" i="9"/>
  <c r="S934" i="9"/>
  <c r="T934" i="9"/>
  <c r="R935" i="9"/>
  <c r="S935" i="9"/>
  <c r="T935" i="9"/>
  <c r="R936" i="9"/>
  <c r="S936" i="9"/>
  <c r="T936" i="9"/>
  <c r="R937" i="9"/>
  <c r="S937" i="9"/>
  <c r="T937" i="9"/>
  <c r="R938" i="9"/>
  <c r="S938" i="9"/>
  <c r="T938" i="9"/>
  <c r="R939" i="9"/>
  <c r="S939" i="9"/>
  <c r="T939" i="9"/>
  <c r="R940" i="9"/>
  <c r="S940" i="9"/>
  <c r="T940" i="9"/>
  <c r="R941" i="9"/>
  <c r="S941" i="9"/>
  <c r="T941" i="9"/>
  <c r="R942" i="9"/>
  <c r="S942" i="9"/>
  <c r="T942" i="9"/>
  <c r="R943" i="9"/>
  <c r="S943" i="9"/>
  <c r="T943" i="9"/>
  <c r="R944" i="9"/>
  <c r="S944" i="9"/>
  <c r="T944" i="9"/>
  <c r="R945" i="9"/>
  <c r="S945" i="9"/>
  <c r="T945" i="9"/>
  <c r="R946" i="9"/>
  <c r="S946" i="9"/>
  <c r="T946" i="9"/>
  <c r="R947" i="9"/>
  <c r="S947" i="9"/>
  <c r="T947" i="9"/>
  <c r="R948" i="9"/>
  <c r="S948" i="9"/>
  <c r="T948" i="9"/>
  <c r="R949" i="9"/>
  <c r="S949" i="9"/>
  <c r="T949" i="9"/>
  <c r="R950" i="9"/>
  <c r="S950" i="9"/>
  <c r="T950" i="9"/>
  <c r="R951" i="9"/>
  <c r="S951" i="9"/>
  <c r="T951" i="9"/>
  <c r="R952" i="9"/>
  <c r="S952" i="9"/>
  <c r="T952" i="9"/>
  <c r="R953" i="9"/>
  <c r="S953" i="9"/>
  <c r="T953" i="9"/>
  <c r="R954" i="9"/>
  <c r="S954" i="9"/>
  <c r="T954" i="9"/>
  <c r="R955" i="9"/>
  <c r="S955" i="9"/>
  <c r="T955" i="9"/>
  <c r="R956" i="9"/>
  <c r="S956" i="9"/>
  <c r="T956" i="9"/>
  <c r="R957" i="9"/>
  <c r="S957" i="9"/>
  <c r="T957" i="9"/>
  <c r="R958" i="9"/>
  <c r="S958" i="9"/>
  <c r="T958" i="9"/>
  <c r="R959" i="9"/>
  <c r="S959" i="9"/>
  <c r="T959" i="9"/>
  <c r="R960" i="9"/>
  <c r="S960" i="9"/>
  <c r="T960" i="9"/>
  <c r="R961" i="9"/>
  <c r="S961" i="9"/>
  <c r="T961" i="9"/>
  <c r="R962" i="9"/>
  <c r="S962" i="9"/>
  <c r="T962" i="9"/>
  <c r="R963" i="9"/>
  <c r="S963" i="9"/>
  <c r="T963" i="9"/>
  <c r="R964" i="9"/>
  <c r="S964" i="9"/>
  <c r="T964" i="9"/>
  <c r="R965" i="9"/>
  <c r="S965" i="9"/>
  <c r="T965" i="9"/>
  <c r="R966" i="9"/>
  <c r="S966" i="9"/>
  <c r="T966" i="9"/>
  <c r="R967" i="9"/>
  <c r="S967" i="9"/>
  <c r="T967" i="9"/>
  <c r="R968" i="9"/>
  <c r="S968" i="9"/>
  <c r="T968" i="9"/>
  <c r="R969" i="9"/>
  <c r="S969" i="9"/>
  <c r="T969" i="9"/>
  <c r="R970" i="9"/>
  <c r="S970" i="9"/>
  <c r="T970" i="9"/>
  <c r="R971" i="9"/>
  <c r="S971" i="9"/>
  <c r="T971" i="9"/>
  <c r="R972" i="9"/>
  <c r="S972" i="9"/>
  <c r="T972" i="9"/>
  <c r="R973" i="9"/>
  <c r="S973" i="9"/>
  <c r="T973" i="9"/>
  <c r="R974" i="9"/>
  <c r="S974" i="9"/>
  <c r="T974" i="9"/>
  <c r="R975" i="9"/>
  <c r="S975" i="9"/>
  <c r="T975" i="9"/>
  <c r="R976" i="9"/>
  <c r="S976" i="9"/>
  <c r="T976" i="9"/>
  <c r="R977" i="9"/>
  <c r="S977" i="9"/>
  <c r="T977" i="9"/>
  <c r="R978" i="9"/>
  <c r="S978" i="9"/>
  <c r="T978" i="9"/>
  <c r="R979" i="9"/>
  <c r="S979" i="9"/>
  <c r="T979" i="9"/>
  <c r="R980" i="9"/>
  <c r="S980" i="9"/>
  <c r="T980" i="9"/>
  <c r="R981" i="9"/>
  <c r="S981" i="9"/>
  <c r="T981" i="9"/>
  <c r="R982" i="9"/>
  <c r="S982" i="9"/>
  <c r="T982" i="9"/>
  <c r="R983" i="9"/>
  <c r="S983" i="9"/>
  <c r="T983" i="9"/>
  <c r="R984" i="9"/>
  <c r="S984" i="9"/>
  <c r="T984" i="9"/>
  <c r="R985" i="9"/>
  <c r="S985" i="9"/>
  <c r="T985" i="9"/>
  <c r="R986" i="9"/>
  <c r="S986" i="9"/>
  <c r="T986" i="9"/>
  <c r="R987" i="9"/>
  <c r="S987" i="9"/>
  <c r="T987" i="9"/>
  <c r="R988" i="9"/>
  <c r="S988" i="9"/>
  <c r="T988" i="9"/>
  <c r="R989" i="9"/>
  <c r="S989" i="9"/>
  <c r="T989" i="9"/>
  <c r="R990" i="9"/>
  <c r="S990" i="9"/>
  <c r="T990" i="9"/>
  <c r="R991" i="9"/>
  <c r="S991" i="9"/>
  <c r="T991" i="9"/>
  <c r="R992" i="9"/>
  <c r="S992" i="9"/>
  <c r="T992" i="9"/>
  <c r="R993" i="9"/>
  <c r="S993" i="9"/>
  <c r="T993" i="9"/>
  <c r="R994" i="9"/>
  <c r="S994" i="9"/>
  <c r="T994" i="9"/>
  <c r="R995" i="9"/>
  <c r="S995" i="9"/>
  <c r="T995" i="9"/>
  <c r="R996" i="9"/>
  <c r="S996" i="9"/>
  <c r="T996" i="9"/>
  <c r="R997" i="9"/>
  <c r="S997" i="9"/>
  <c r="T997" i="9"/>
  <c r="R998" i="9"/>
  <c r="S998" i="9"/>
  <c r="T998" i="9"/>
  <c r="R999" i="9"/>
  <c r="S999" i="9"/>
  <c r="T999" i="9"/>
  <c r="R1000" i="9"/>
  <c r="S1000" i="9"/>
  <c r="T1000" i="9"/>
  <c r="R1001" i="9"/>
  <c r="S1001" i="9"/>
  <c r="T1001" i="9"/>
  <c r="R1002" i="9"/>
  <c r="S1002" i="9"/>
  <c r="T1002" i="9"/>
  <c r="R1003" i="9"/>
  <c r="S1003" i="9"/>
  <c r="T1003" i="9"/>
  <c r="R1004" i="9"/>
  <c r="S1004" i="9"/>
  <c r="T1004" i="9"/>
  <c r="R1005" i="9"/>
  <c r="S1005" i="9"/>
  <c r="T1005" i="9"/>
  <c r="R1006" i="9"/>
  <c r="S1006" i="9"/>
  <c r="T1006" i="9"/>
  <c r="R1007" i="9"/>
  <c r="S1007" i="9"/>
  <c r="T1007" i="9"/>
  <c r="R1008" i="9"/>
  <c r="S1008" i="9"/>
  <c r="T1008" i="9"/>
  <c r="R1009" i="9"/>
  <c r="S1009" i="9"/>
  <c r="T1009" i="9"/>
  <c r="R1010" i="9"/>
  <c r="S1010" i="9"/>
  <c r="T1010" i="9"/>
  <c r="R1011" i="9"/>
  <c r="S1011" i="9"/>
  <c r="T1011" i="9"/>
  <c r="R1012" i="9"/>
  <c r="S1012" i="9"/>
  <c r="T1012" i="9"/>
  <c r="R1013" i="9"/>
  <c r="S1013" i="9"/>
  <c r="T1013" i="9"/>
  <c r="R1014" i="9"/>
  <c r="S1014" i="9"/>
  <c r="T1014" i="9"/>
  <c r="R1015" i="9"/>
  <c r="S1015" i="9"/>
  <c r="T1015" i="9"/>
  <c r="R1016" i="9"/>
  <c r="S1016" i="9"/>
  <c r="T1016" i="9"/>
  <c r="R1017" i="9"/>
  <c r="S1017" i="9"/>
  <c r="T1017" i="9"/>
  <c r="R1018" i="9"/>
  <c r="S1018" i="9"/>
  <c r="T1018" i="9"/>
  <c r="R1019" i="9"/>
  <c r="S1019" i="9"/>
  <c r="T1019" i="9"/>
  <c r="R1020" i="9"/>
  <c r="S1020" i="9"/>
  <c r="T1020" i="9"/>
  <c r="R1021" i="9"/>
  <c r="S1021" i="9"/>
  <c r="T1021" i="9"/>
  <c r="R1022" i="9"/>
  <c r="S1022" i="9"/>
  <c r="T1022" i="9"/>
  <c r="U1022" i="9" s="1"/>
  <c r="R1023" i="9"/>
  <c r="S1023" i="9"/>
  <c r="T1023" i="9"/>
  <c r="U1023" i="9" s="1"/>
  <c r="R1024" i="9"/>
  <c r="S1024" i="9"/>
  <c r="T1024" i="9"/>
  <c r="U1024" i="9" s="1"/>
  <c r="R1025" i="9"/>
  <c r="S1025" i="9"/>
  <c r="T1025" i="9"/>
  <c r="U1025" i="9" s="1"/>
  <c r="R1026" i="9"/>
  <c r="S1026" i="9"/>
  <c r="T1026" i="9"/>
  <c r="U1026" i="9" s="1"/>
  <c r="R1027" i="9"/>
  <c r="S1027" i="9"/>
  <c r="T1027" i="9"/>
  <c r="U1027" i="9" s="1"/>
  <c r="R1028" i="9"/>
  <c r="S1028" i="9"/>
  <c r="T1028" i="9"/>
  <c r="U1028" i="9" s="1"/>
  <c r="R1029" i="9"/>
  <c r="S1029" i="9"/>
  <c r="T1029" i="9"/>
  <c r="U1029" i="9" s="1"/>
  <c r="R1030" i="9"/>
  <c r="S1030" i="9"/>
  <c r="T1030" i="9"/>
  <c r="U1030" i="9" s="1"/>
  <c r="R1031" i="9"/>
  <c r="S1031" i="9"/>
  <c r="T1031" i="9"/>
  <c r="U1031" i="9" s="1"/>
  <c r="R1032" i="9"/>
  <c r="S1032" i="9"/>
  <c r="T1032" i="9"/>
  <c r="U1032" i="9" s="1"/>
  <c r="R1033" i="9"/>
  <c r="S1033" i="9"/>
  <c r="T1033" i="9"/>
  <c r="U1033" i="9" s="1"/>
  <c r="R1034" i="9"/>
  <c r="S1034" i="9"/>
  <c r="T1034" i="9"/>
  <c r="U1034" i="9" s="1"/>
  <c r="R1035" i="9"/>
  <c r="S1035" i="9"/>
  <c r="T1035" i="9"/>
  <c r="U1035" i="9" s="1"/>
  <c r="R1036" i="9"/>
  <c r="S1036" i="9"/>
  <c r="T1036" i="9"/>
  <c r="U1036" i="9" s="1"/>
  <c r="R1037" i="9"/>
  <c r="S1037" i="9"/>
  <c r="T1037" i="9"/>
  <c r="U1037" i="9" s="1"/>
  <c r="R1038" i="9"/>
  <c r="S1038" i="9"/>
  <c r="T1038" i="9"/>
  <c r="U1038" i="9" s="1"/>
  <c r="R1039" i="9"/>
  <c r="S1039" i="9"/>
  <c r="T1039" i="9"/>
  <c r="U1039" i="9" s="1"/>
  <c r="R1040" i="9"/>
  <c r="S1040" i="9"/>
  <c r="T1040" i="9"/>
  <c r="U1040" i="9" s="1"/>
  <c r="R1041" i="9"/>
  <c r="S1041" i="9"/>
  <c r="T1041" i="9"/>
  <c r="U1041" i="9" s="1"/>
  <c r="R1042" i="9"/>
  <c r="S1042" i="9"/>
  <c r="T1042" i="9"/>
  <c r="U1042" i="9" s="1"/>
  <c r="R1043" i="9"/>
  <c r="S1043" i="9"/>
  <c r="T1043" i="9"/>
  <c r="U1043" i="9" s="1"/>
  <c r="R1044" i="9"/>
  <c r="S1044" i="9"/>
  <c r="T1044" i="9"/>
  <c r="U1044" i="9" s="1"/>
  <c r="R1045" i="9"/>
  <c r="S1045" i="9"/>
  <c r="T1045" i="9"/>
  <c r="U1045" i="9" s="1"/>
  <c r="R1046" i="9"/>
  <c r="S1046" i="9"/>
  <c r="T1046" i="9"/>
  <c r="U1046" i="9" s="1"/>
  <c r="R1047" i="9"/>
  <c r="S1047" i="9"/>
  <c r="T1047" i="9"/>
  <c r="U1047" i="9" s="1"/>
  <c r="R1048" i="9"/>
  <c r="S1048" i="9"/>
  <c r="T1048" i="9"/>
  <c r="U1048" i="9" s="1"/>
  <c r="R1049" i="9"/>
  <c r="S1049" i="9"/>
  <c r="T1049" i="9"/>
  <c r="U1049" i="9" s="1"/>
  <c r="R1050" i="9"/>
  <c r="S1050" i="9"/>
  <c r="T1050" i="9"/>
  <c r="U1050" i="9" s="1"/>
  <c r="R1051" i="9"/>
  <c r="S1051" i="9"/>
  <c r="T1051" i="9"/>
  <c r="U1051" i="9" s="1"/>
  <c r="R1052" i="9"/>
  <c r="S1052" i="9"/>
  <c r="T1052" i="9"/>
  <c r="U1052" i="9" s="1"/>
  <c r="R1053" i="9"/>
  <c r="S1053" i="9"/>
  <c r="T1053" i="9"/>
  <c r="U1053" i="9" s="1"/>
  <c r="R1054" i="9"/>
  <c r="S1054" i="9"/>
  <c r="T1054" i="9"/>
  <c r="U1054" i="9" s="1"/>
  <c r="R1055" i="9"/>
  <c r="S1055" i="9"/>
  <c r="T1055" i="9"/>
  <c r="U1055" i="9" s="1"/>
  <c r="R1056" i="9"/>
  <c r="S1056" i="9"/>
  <c r="T1056" i="9"/>
  <c r="U1056" i="9" s="1"/>
  <c r="R1057" i="9"/>
  <c r="S1057" i="9"/>
  <c r="T1057" i="9"/>
  <c r="U1057" i="9" s="1"/>
  <c r="R1058" i="9"/>
  <c r="S1058" i="9"/>
  <c r="T1058" i="9"/>
  <c r="U1058" i="9" s="1"/>
  <c r="R1059" i="9"/>
  <c r="S1059" i="9"/>
  <c r="T1059" i="9"/>
  <c r="U1059" i="9" s="1"/>
  <c r="R1060" i="9"/>
  <c r="S1060" i="9"/>
  <c r="T1060" i="9"/>
  <c r="R1061" i="9"/>
  <c r="S1061" i="9"/>
  <c r="T1061" i="9"/>
  <c r="U1061" i="9" s="1"/>
  <c r="R1062" i="9"/>
  <c r="S1062" i="9"/>
  <c r="T1062" i="9"/>
  <c r="U1062" i="9" s="1"/>
  <c r="R1063" i="9"/>
  <c r="S1063" i="9"/>
  <c r="T1063" i="9"/>
  <c r="U1063" i="9" s="1"/>
  <c r="R1064" i="9"/>
  <c r="S1064" i="9"/>
  <c r="T1064" i="9"/>
  <c r="U1064" i="9" s="1"/>
  <c r="R1065" i="9"/>
  <c r="S1065" i="9"/>
  <c r="T1065" i="9"/>
  <c r="U1065" i="9" s="1"/>
  <c r="R1066" i="9"/>
  <c r="S1066" i="9"/>
  <c r="T1066" i="9"/>
  <c r="U1066" i="9" s="1"/>
  <c r="R1067" i="9"/>
  <c r="S1067" i="9"/>
  <c r="T1067" i="9"/>
  <c r="U1067" i="9" s="1"/>
  <c r="R1068" i="9"/>
  <c r="S1068" i="9"/>
  <c r="T1068" i="9"/>
  <c r="R1069" i="9"/>
  <c r="S1069" i="9"/>
  <c r="T1069" i="9"/>
  <c r="U1069" i="9" s="1"/>
  <c r="R1070" i="9"/>
  <c r="S1070" i="9"/>
  <c r="T1070" i="9"/>
  <c r="U1070" i="9" s="1"/>
  <c r="R1071" i="9"/>
  <c r="S1071" i="9"/>
  <c r="T1071" i="9"/>
  <c r="U1071" i="9" s="1"/>
  <c r="R1072" i="9"/>
  <c r="S1072" i="9"/>
  <c r="T1072" i="9"/>
  <c r="U1072" i="9" s="1"/>
  <c r="R1073" i="9"/>
  <c r="S1073" i="9"/>
  <c r="T1073" i="9"/>
  <c r="U1073" i="9" s="1"/>
  <c r="R1074" i="9"/>
  <c r="S1074" i="9"/>
  <c r="T1074" i="9"/>
  <c r="U1074" i="9" s="1"/>
  <c r="R1075" i="9"/>
  <c r="S1075" i="9"/>
  <c r="T1075" i="9"/>
  <c r="U1075" i="9" s="1"/>
  <c r="R1076" i="9"/>
  <c r="S1076" i="9"/>
  <c r="T1076" i="9"/>
  <c r="U1076" i="9" s="1"/>
  <c r="R1077" i="9"/>
  <c r="S1077" i="9"/>
  <c r="T1077" i="9"/>
  <c r="U1077" i="9" s="1"/>
  <c r="R1078" i="9"/>
  <c r="S1078" i="9"/>
  <c r="T1078" i="9"/>
  <c r="U1078" i="9" s="1"/>
  <c r="R1079" i="9"/>
  <c r="S1079" i="9"/>
  <c r="T1079" i="9"/>
  <c r="U1079" i="9" s="1"/>
  <c r="R1080" i="9"/>
  <c r="S1080" i="9"/>
  <c r="T1080" i="9"/>
  <c r="U1080" i="9" s="1"/>
  <c r="R1081" i="9"/>
  <c r="S1081" i="9"/>
  <c r="T1081" i="9"/>
  <c r="U1081" i="9" s="1"/>
  <c r="R1082" i="9"/>
  <c r="S1082" i="9"/>
  <c r="T1082" i="9"/>
  <c r="U1082" i="9" s="1"/>
  <c r="R1083" i="9"/>
  <c r="S1083" i="9"/>
  <c r="T1083" i="9"/>
  <c r="U1083" i="9" s="1"/>
  <c r="R1084" i="9"/>
  <c r="S1084" i="9"/>
  <c r="T1084" i="9"/>
  <c r="U1084" i="9" s="1"/>
  <c r="R1085" i="9"/>
  <c r="S1085" i="9"/>
  <c r="T1085" i="9"/>
  <c r="U1085" i="9" s="1"/>
  <c r="R1086" i="9"/>
  <c r="S1086" i="9"/>
  <c r="T1086" i="9"/>
  <c r="U1086" i="9" s="1"/>
  <c r="R1087" i="9"/>
  <c r="S1087" i="9"/>
  <c r="T1087" i="9"/>
  <c r="U1087" i="9" s="1"/>
  <c r="R1088" i="9"/>
  <c r="S1088" i="9"/>
  <c r="T1088" i="9"/>
  <c r="U1088" i="9" s="1"/>
  <c r="R1089" i="9"/>
  <c r="S1089" i="9"/>
  <c r="T1089" i="9"/>
  <c r="U1089" i="9" s="1"/>
  <c r="R1090" i="9"/>
  <c r="S1090" i="9"/>
  <c r="T1090" i="9"/>
  <c r="U1090" i="9" s="1"/>
  <c r="R1091" i="9"/>
  <c r="S1091" i="9"/>
  <c r="T1091" i="9"/>
  <c r="U1091" i="9" s="1"/>
  <c r="R1092" i="9"/>
  <c r="S1092" i="9"/>
  <c r="T1092" i="9"/>
  <c r="U1092" i="9" s="1"/>
  <c r="R1093" i="9"/>
  <c r="S1093" i="9"/>
  <c r="T1093" i="9"/>
  <c r="U1093" i="9" s="1"/>
  <c r="R1094" i="9"/>
  <c r="S1094" i="9"/>
  <c r="T1094" i="9"/>
  <c r="U1094" i="9" s="1"/>
  <c r="R1095" i="9"/>
  <c r="S1095" i="9"/>
  <c r="T1095" i="9"/>
  <c r="U1095" i="9" s="1"/>
  <c r="R1096" i="9"/>
  <c r="S1096" i="9"/>
  <c r="T1096" i="9"/>
  <c r="U1096" i="9" s="1"/>
  <c r="R1097" i="9"/>
  <c r="S1097" i="9"/>
  <c r="T1097" i="9"/>
  <c r="U1097" i="9" s="1"/>
  <c r="R1098" i="9"/>
  <c r="S1098" i="9"/>
  <c r="T1098" i="9"/>
  <c r="U1098" i="9" s="1"/>
  <c r="R1099" i="9"/>
  <c r="S1099" i="9"/>
  <c r="T1099" i="9"/>
  <c r="U1099" i="9" s="1"/>
  <c r="R1100" i="9"/>
  <c r="S1100" i="9"/>
  <c r="T1100" i="9"/>
  <c r="U1100" i="9" s="1"/>
  <c r="R1101" i="9"/>
  <c r="S1101" i="9"/>
  <c r="T1101" i="9"/>
  <c r="U1101" i="9" s="1"/>
  <c r="R1102" i="9"/>
  <c r="S1102" i="9"/>
  <c r="T1102" i="9"/>
  <c r="U1102" i="9" s="1"/>
  <c r="R1103" i="9"/>
  <c r="S1103" i="9"/>
  <c r="T1103" i="9"/>
  <c r="U1103" i="9" s="1"/>
  <c r="R1104" i="9"/>
  <c r="S1104" i="9"/>
  <c r="T1104" i="9"/>
  <c r="U1104" i="9" s="1"/>
  <c r="R1105" i="9"/>
  <c r="S1105" i="9"/>
  <c r="T1105" i="9"/>
  <c r="U1105" i="9" s="1"/>
  <c r="R1106" i="9"/>
  <c r="S1106" i="9"/>
  <c r="T1106" i="9"/>
  <c r="U1106" i="9" s="1"/>
  <c r="R1107" i="9"/>
  <c r="S1107" i="9"/>
  <c r="T1107" i="9"/>
  <c r="U1107" i="9" s="1"/>
  <c r="R1108" i="9"/>
  <c r="S1108" i="9"/>
  <c r="T1108" i="9"/>
  <c r="U1108" i="9" s="1"/>
  <c r="R1109" i="9"/>
  <c r="S1109" i="9"/>
  <c r="T1109" i="9"/>
  <c r="U1109" i="9" s="1"/>
  <c r="R1110" i="9"/>
  <c r="S1110" i="9"/>
  <c r="T1110" i="9"/>
  <c r="U1110" i="9" s="1"/>
  <c r="R1111" i="9"/>
  <c r="S1111" i="9"/>
  <c r="T1111" i="9"/>
  <c r="U1111" i="9" s="1"/>
  <c r="R1112" i="9"/>
  <c r="S1112" i="9"/>
  <c r="T1112" i="9"/>
  <c r="U1112" i="9" s="1"/>
  <c r="R1113" i="9"/>
  <c r="S1113" i="9"/>
  <c r="T1113" i="9"/>
  <c r="U1113" i="9" s="1"/>
  <c r="R1114" i="9"/>
  <c r="S1114" i="9"/>
  <c r="T1114" i="9"/>
  <c r="U1114" i="9" s="1"/>
  <c r="R1115" i="9"/>
  <c r="S1115" i="9"/>
  <c r="T1115" i="9"/>
  <c r="U1115" i="9" s="1"/>
  <c r="R1116" i="9"/>
  <c r="S1116" i="9"/>
  <c r="T1116" i="9"/>
  <c r="U1116" i="9" s="1"/>
  <c r="R1117" i="9"/>
  <c r="S1117" i="9"/>
  <c r="T1117" i="9"/>
  <c r="U1117" i="9" s="1"/>
  <c r="R1118" i="9"/>
  <c r="S1118" i="9"/>
  <c r="T1118" i="9"/>
  <c r="U1118" i="9" s="1"/>
  <c r="R1119" i="9"/>
  <c r="S1119" i="9"/>
  <c r="T1119" i="9"/>
  <c r="U1119" i="9" s="1"/>
  <c r="R1120" i="9"/>
  <c r="S1120" i="9"/>
  <c r="T1120" i="9"/>
  <c r="U1120" i="9" s="1"/>
  <c r="R1121" i="9"/>
  <c r="S1121" i="9"/>
  <c r="T1121" i="9"/>
  <c r="U1121" i="9" s="1"/>
  <c r="R1122" i="9"/>
  <c r="S1122" i="9"/>
  <c r="T1122" i="9"/>
  <c r="U1122" i="9" s="1"/>
  <c r="R1123" i="9"/>
  <c r="S1123" i="9"/>
  <c r="T1123" i="9"/>
  <c r="U1123" i="9" s="1"/>
  <c r="R1124" i="9"/>
  <c r="S1124" i="9"/>
  <c r="T1124" i="9"/>
  <c r="R1125" i="9"/>
  <c r="S1125" i="9"/>
  <c r="T1125" i="9"/>
  <c r="U1125" i="9" s="1"/>
  <c r="R1126" i="9"/>
  <c r="S1126" i="9"/>
  <c r="T1126" i="9"/>
  <c r="U1126" i="9" s="1"/>
  <c r="R1127" i="9"/>
  <c r="S1127" i="9"/>
  <c r="T1127" i="9"/>
  <c r="U1127" i="9" s="1"/>
  <c r="R1128" i="9"/>
  <c r="S1128" i="9"/>
  <c r="T1128" i="9"/>
  <c r="U1128" i="9" s="1"/>
  <c r="R1129" i="9"/>
  <c r="S1129" i="9"/>
  <c r="T1129" i="9"/>
  <c r="U1129" i="9" s="1"/>
  <c r="R1130" i="9"/>
  <c r="S1130" i="9"/>
  <c r="T1130" i="9"/>
  <c r="U1130" i="9" s="1"/>
  <c r="R1131" i="9"/>
  <c r="S1131" i="9"/>
  <c r="T1131" i="9"/>
  <c r="U1131" i="9" s="1"/>
  <c r="R1132" i="9"/>
  <c r="S1132" i="9"/>
  <c r="T1132" i="9"/>
  <c r="R1133" i="9"/>
  <c r="S1133" i="9"/>
  <c r="T1133" i="9"/>
  <c r="U1133" i="9" s="1"/>
  <c r="R1134" i="9"/>
  <c r="S1134" i="9"/>
  <c r="T1134" i="9"/>
  <c r="U1134" i="9" s="1"/>
  <c r="R1135" i="9"/>
  <c r="S1135" i="9"/>
  <c r="T1135" i="9"/>
  <c r="U1135" i="9" s="1"/>
  <c r="R1136" i="9"/>
  <c r="S1136" i="9"/>
  <c r="T1136" i="9"/>
  <c r="U1136" i="9" s="1"/>
  <c r="R1137" i="9"/>
  <c r="S1137" i="9"/>
  <c r="T1137" i="9"/>
  <c r="U1137" i="9" s="1"/>
  <c r="R1138" i="9"/>
  <c r="S1138" i="9"/>
  <c r="T1138" i="9"/>
  <c r="U1138" i="9" s="1"/>
  <c r="R1139" i="9"/>
  <c r="S1139" i="9"/>
  <c r="T1139" i="9"/>
  <c r="U1139" i="9" s="1"/>
  <c r="R1140" i="9"/>
  <c r="S1140" i="9"/>
  <c r="T1140" i="9"/>
  <c r="U1140" i="9" s="1"/>
  <c r="R1141" i="9"/>
  <c r="S1141" i="9"/>
  <c r="T1141" i="9"/>
  <c r="U1141" i="9" s="1"/>
  <c r="R1142" i="9"/>
  <c r="S1142" i="9"/>
  <c r="T1142" i="9"/>
  <c r="U1142" i="9" s="1"/>
  <c r="R1143" i="9"/>
  <c r="S1143" i="9"/>
  <c r="T1143" i="9"/>
  <c r="U1143" i="9" s="1"/>
  <c r="R1144" i="9"/>
  <c r="S1144" i="9"/>
  <c r="T1144" i="9"/>
  <c r="U1144" i="9" s="1"/>
  <c r="R1145" i="9"/>
  <c r="S1145" i="9"/>
  <c r="T1145" i="9"/>
  <c r="U1145" i="9" s="1"/>
  <c r="R1146" i="9"/>
  <c r="S1146" i="9"/>
  <c r="T1146" i="9"/>
  <c r="U1146" i="9" s="1"/>
  <c r="R1147" i="9"/>
  <c r="S1147" i="9"/>
  <c r="T1147" i="9"/>
  <c r="U1147" i="9" s="1"/>
  <c r="R1148" i="9"/>
  <c r="S1148" i="9"/>
  <c r="T1148" i="9"/>
  <c r="U1148" i="9" s="1"/>
  <c r="R1149" i="9"/>
  <c r="S1149" i="9"/>
  <c r="T1149" i="9"/>
  <c r="U1149" i="9" s="1"/>
  <c r="R1150" i="9"/>
  <c r="S1150" i="9"/>
  <c r="T1150" i="9"/>
  <c r="U1150" i="9" s="1"/>
  <c r="R1151" i="9"/>
  <c r="S1151" i="9"/>
  <c r="T1151" i="9"/>
  <c r="U1151" i="9" s="1"/>
  <c r="R1152" i="9"/>
  <c r="S1152" i="9"/>
  <c r="T1152" i="9"/>
  <c r="U1152" i="9" s="1"/>
  <c r="R1153" i="9"/>
  <c r="S1153" i="9"/>
  <c r="T1153" i="9"/>
  <c r="U1153" i="9" s="1"/>
  <c r="R1154" i="9"/>
  <c r="S1154" i="9"/>
  <c r="T1154" i="9"/>
  <c r="U1154" i="9" s="1"/>
  <c r="R1155" i="9"/>
  <c r="S1155" i="9"/>
  <c r="T1155" i="9"/>
  <c r="U1155" i="9" s="1"/>
  <c r="R1156" i="9"/>
  <c r="S1156" i="9"/>
  <c r="T1156" i="9"/>
  <c r="U1156" i="9" s="1"/>
  <c r="R1157" i="9"/>
  <c r="S1157" i="9"/>
  <c r="T1157" i="9"/>
  <c r="U1157" i="9" s="1"/>
  <c r="R1158" i="9"/>
  <c r="S1158" i="9"/>
  <c r="T1158" i="9"/>
  <c r="U1158" i="9" s="1"/>
  <c r="R1159" i="9"/>
  <c r="S1159" i="9"/>
  <c r="T1159" i="9"/>
  <c r="U1159" i="9" s="1"/>
  <c r="R1160" i="9"/>
  <c r="S1160" i="9"/>
  <c r="T1160" i="9"/>
  <c r="U1160" i="9" s="1"/>
  <c r="R1161" i="9"/>
  <c r="S1161" i="9"/>
  <c r="T1161" i="9"/>
  <c r="U1161" i="9" s="1"/>
  <c r="R1162" i="9"/>
  <c r="S1162" i="9"/>
  <c r="T1162" i="9"/>
  <c r="U1162" i="9" s="1"/>
  <c r="R1163" i="9"/>
  <c r="S1163" i="9"/>
  <c r="T1163" i="9"/>
  <c r="U1163" i="9" s="1"/>
  <c r="R1164" i="9"/>
  <c r="S1164" i="9"/>
  <c r="T1164" i="9"/>
  <c r="U1164" i="9" s="1"/>
  <c r="R1165" i="9"/>
  <c r="S1165" i="9"/>
  <c r="T1165" i="9"/>
  <c r="U1165" i="9" s="1"/>
  <c r="R1166" i="9"/>
  <c r="S1166" i="9"/>
  <c r="T1166" i="9"/>
  <c r="U1166" i="9" s="1"/>
  <c r="R1167" i="9"/>
  <c r="S1167" i="9"/>
  <c r="T1167" i="9"/>
  <c r="U1167" i="9" s="1"/>
  <c r="R1168" i="9"/>
  <c r="S1168" i="9"/>
  <c r="T1168" i="9"/>
  <c r="U1168" i="9" s="1"/>
  <c r="R1169" i="9"/>
  <c r="S1169" i="9"/>
  <c r="T1169" i="9"/>
  <c r="U1169" i="9" s="1"/>
  <c r="R1170" i="9"/>
  <c r="S1170" i="9"/>
  <c r="T1170" i="9"/>
  <c r="U1170" i="9" s="1"/>
  <c r="R1171" i="9"/>
  <c r="S1171" i="9"/>
  <c r="T1171" i="9"/>
  <c r="R1172" i="9"/>
  <c r="S1172" i="9"/>
  <c r="T1172" i="9"/>
  <c r="R1173" i="9"/>
  <c r="S1173" i="9"/>
  <c r="T1173" i="9"/>
  <c r="U1173" i="9" s="1"/>
  <c r="R1174" i="9"/>
  <c r="S1174" i="9"/>
  <c r="T1174" i="9"/>
  <c r="U1174" i="9" s="1"/>
  <c r="R1175" i="9"/>
  <c r="S1175" i="9"/>
  <c r="T1175" i="9"/>
  <c r="U1175" i="9" s="1"/>
  <c r="R1176" i="9"/>
  <c r="S1176" i="9"/>
  <c r="T1176" i="9"/>
  <c r="U1176" i="9" s="1"/>
  <c r="R1177" i="9"/>
  <c r="S1177" i="9"/>
  <c r="T1177" i="9"/>
  <c r="U1177" i="9" s="1"/>
  <c r="R1178" i="9"/>
  <c r="S1178" i="9"/>
  <c r="T1178" i="9"/>
  <c r="U1178" i="9" s="1"/>
  <c r="R1179" i="9"/>
  <c r="S1179" i="9"/>
  <c r="T1179" i="9"/>
  <c r="R1180" i="9"/>
  <c r="S1180" i="9"/>
  <c r="T1180" i="9"/>
  <c r="R1181" i="9"/>
  <c r="S1181" i="9"/>
  <c r="T1181" i="9"/>
  <c r="U1181" i="9" s="1"/>
  <c r="R1182" i="9"/>
  <c r="S1182" i="9"/>
  <c r="T1182" i="9"/>
  <c r="U1182" i="9" s="1"/>
  <c r="R1183" i="9"/>
  <c r="S1183" i="9"/>
  <c r="T1183" i="9"/>
  <c r="U1183" i="9" s="1"/>
  <c r="R1184" i="9"/>
  <c r="S1184" i="9"/>
  <c r="T1184" i="9"/>
  <c r="U1184" i="9" s="1"/>
  <c r="R1185" i="9"/>
  <c r="S1185" i="9"/>
  <c r="T1185" i="9"/>
  <c r="U1185" i="9" s="1"/>
  <c r="R1186" i="9"/>
  <c r="S1186" i="9"/>
  <c r="T1186" i="9"/>
  <c r="U1186" i="9" s="1"/>
  <c r="R1187" i="9"/>
  <c r="S1187" i="9"/>
  <c r="T1187" i="9"/>
  <c r="R1188" i="9"/>
  <c r="S1188" i="9"/>
  <c r="T1188" i="9"/>
  <c r="R1189" i="9"/>
  <c r="S1189" i="9"/>
  <c r="T1189" i="9"/>
  <c r="U1189" i="9" s="1"/>
  <c r="R1190" i="9"/>
  <c r="S1190" i="9"/>
  <c r="T1190" i="9"/>
  <c r="U1190" i="9" s="1"/>
  <c r="R1191" i="9"/>
  <c r="S1191" i="9"/>
  <c r="T1191" i="9"/>
  <c r="U1191" i="9" s="1"/>
  <c r="R1192" i="9"/>
  <c r="S1192" i="9"/>
  <c r="T1192" i="9"/>
  <c r="U1192" i="9" s="1"/>
  <c r="R1193" i="9"/>
  <c r="S1193" i="9"/>
  <c r="T1193" i="9"/>
  <c r="U1193" i="9" s="1"/>
  <c r="R1194" i="9"/>
  <c r="S1194" i="9"/>
  <c r="T1194" i="9"/>
  <c r="U1194" i="9" s="1"/>
  <c r="R1195" i="9"/>
  <c r="S1195" i="9"/>
  <c r="T1195" i="9"/>
  <c r="R1196" i="9"/>
  <c r="S1196" i="9"/>
  <c r="T1196" i="9"/>
  <c r="R1197" i="9"/>
  <c r="S1197" i="9"/>
  <c r="T1197" i="9"/>
  <c r="U1197" i="9" s="1"/>
  <c r="R1198" i="9"/>
  <c r="S1198" i="9"/>
  <c r="T1198" i="9"/>
  <c r="U1198" i="9" s="1"/>
  <c r="R1199" i="9"/>
  <c r="S1199" i="9"/>
  <c r="T1199" i="9"/>
  <c r="U1199" i="9" s="1"/>
  <c r="R1200" i="9"/>
  <c r="S1200" i="9"/>
  <c r="T1200" i="9"/>
  <c r="U1200" i="9" s="1"/>
  <c r="R1201" i="9"/>
  <c r="S1201" i="9"/>
  <c r="T1201" i="9"/>
  <c r="U1201" i="9" s="1"/>
  <c r="R1202" i="9"/>
  <c r="S1202" i="9"/>
  <c r="T1202" i="9"/>
  <c r="U1202" i="9" s="1"/>
  <c r="R1203" i="9"/>
  <c r="S1203" i="9"/>
  <c r="T1203" i="9"/>
  <c r="R1204" i="9"/>
  <c r="S1204" i="9"/>
  <c r="T1204" i="9"/>
  <c r="R1205" i="9"/>
  <c r="S1205" i="9"/>
  <c r="T1205" i="9"/>
  <c r="U1205" i="9" s="1"/>
  <c r="R1206" i="9"/>
  <c r="S1206" i="9"/>
  <c r="T1206" i="9"/>
  <c r="U1206" i="9" s="1"/>
  <c r="R1207" i="9"/>
  <c r="S1207" i="9"/>
  <c r="T1207" i="9"/>
  <c r="U1207" i="9" s="1"/>
  <c r="R1208" i="9"/>
  <c r="S1208" i="9"/>
  <c r="T1208" i="9"/>
  <c r="U1208" i="9" s="1"/>
  <c r="R1209" i="9"/>
  <c r="S1209" i="9"/>
  <c r="T1209" i="9"/>
  <c r="U1209" i="9" s="1"/>
  <c r="R1210" i="9"/>
  <c r="S1210" i="9"/>
  <c r="T1210" i="9"/>
  <c r="U1210" i="9" s="1"/>
  <c r="R1211" i="9"/>
  <c r="S1211" i="9"/>
  <c r="T1211" i="9"/>
  <c r="R1212" i="9"/>
  <c r="S1212" i="9"/>
  <c r="T1212" i="9"/>
  <c r="R1213" i="9"/>
  <c r="S1213" i="9"/>
  <c r="T1213" i="9"/>
  <c r="U1213" i="9" s="1"/>
  <c r="R1214" i="9"/>
  <c r="S1214" i="9"/>
  <c r="T1214" i="9"/>
  <c r="U1214" i="9" s="1"/>
  <c r="R1215" i="9"/>
  <c r="S1215" i="9"/>
  <c r="T1215" i="9"/>
  <c r="U1215" i="9" s="1"/>
  <c r="R1216" i="9"/>
  <c r="S1216" i="9"/>
  <c r="T1216" i="9"/>
  <c r="U1216" i="9" s="1"/>
  <c r="R1217" i="9"/>
  <c r="S1217" i="9"/>
  <c r="T1217" i="9"/>
  <c r="U1217" i="9" s="1"/>
  <c r="R1218" i="9"/>
  <c r="S1218" i="9"/>
  <c r="T1218" i="9"/>
  <c r="U1218" i="9" s="1"/>
  <c r="R1219" i="9"/>
  <c r="S1219" i="9"/>
  <c r="T1219" i="9"/>
  <c r="R1220" i="9"/>
  <c r="S1220" i="9"/>
  <c r="T1220" i="9"/>
  <c r="R1221" i="9"/>
  <c r="S1221" i="9"/>
  <c r="T1221" i="9"/>
  <c r="U1221" i="9" s="1"/>
  <c r="R1222" i="9"/>
  <c r="S1222" i="9"/>
  <c r="T1222" i="9"/>
  <c r="U1222" i="9" s="1"/>
  <c r="R1223" i="9"/>
  <c r="S1223" i="9"/>
  <c r="T1223" i="9"/>
  <c r="U1223" i="9" s="1"/>
  <c r="R1224" i="9"/>
  <c r="S1224" i="9"/>
  <c r="T1224" i="9"/>
  <c r="U1224" i="9" s="1"/>
  <c r="R1225" i="9"/>
  <c r="S1225" i="9"/>
  <c r="T1225" i="9"/>
  <c r="U1225" i="9" s="1"/>
  <c r="R1226" i="9"/>
  <c r="S1226" i="9"/>
  <c r="T1226" i="9"/>
  <c r="U1226" i="9" s="1"/>
  <c r="R1227" i="9"/>
  <c r="S1227" i="9"/>
  <c r="T1227" i="9"/>
  <c r="R1228" i="9"/>
  <c r="S1228" i="9"/>
  <c r="T1228" i="9"/>
  <c r="R1229" i="9"/>
  <c r="S1229" i="9"/>
  <c r="T1229" i="9"/>
  <c r="U1229" i="9" s="1"/>
  <c r="R1230" i="9"/>
  <c r="S1230" i="9"/>
  <c r="T1230" i="9"/>
  <c r="U1230" i="9" s="1"/>
  <c r="R1231" i="9"/>
  <c r="S1231" i="9"/>
  <c r="T1231" i="9"/>
  <c r="U1231" i="9" s="1"/>
  <c r="R1232" i="9"/>
  <c r="S1232" i="9"/>
  <c r="T1232" i="9"/>
  <c r="U1232" i="9" s="1"/>
  <c r="R1233" i="9"/>
  <c r="S1233" i="9"/>
  <c r="T1233" i="9"/>
  <c r="U1233" i="9" s="1"/>
  <c r="R1234" i="9"/>
  <c r="S1234" i="9"/>
  <c r="T1234" i="9"/>
  <c r="U1234" i="9" s="1"/>
  <c r="R1235" i="9"/>
  <c r="S1235" i="9"/>
  <c r="T1235" i="9"/>
  <c r="R1236" i="9"/>
  <c r="S1236" i="9"/>
  <c r="T1236" i="9"/>
  <c r="R1237" i="9"/>
  <c r="S1237" i="9"/>
  <c r="T1237" i="9"/>
  <c r="U1237" i="9" s="1"/>
  <c r="R1238" i="9"/>
  <c r="S1238" i="9"/>
  <c r="T1238" i="9"/>
  <c r="U1238" i="9" s="1"/>
  <c r="R1239" i="9"/>
  <c r="S1239" i="9"/>
  <c r="T1239" i="9"/>
  <c r="U1239" i="9" s="1"/>
  <c r="R1240" i="9"/>
  <c r="S1240" i="9"/>
  <c r="T1240" i="9"/>
  <c r="U1240" i="9" s="1"/>
  <c r="R1241" i="9"/>
  <c r="S1241" i="9"/>
  <c r="T1241" i="9"/>
  <c r="U1241" i="9" s="1"/>
  <c r="R1242" i="9"/>
  <c r="S1242" i="9"/>
  <c r="T1242" i="9"/>
  <c r="U1242" i="9" s="1"/>
  <c r="R1243" i="9"/>
  <c r="S1243" i="9"/>
  <c r="T1243" i="9"/>
  <c r="R1244" i="9"/>
  <c r="S1244" i="9"/>
  <c r="T1244" i="9"/>
  <c r="R1245" i="9"/>
  <c r="S1245" i="9"/>
  <c r="T1245" i="9"/>
  <c r="U1245" i="9" s="1"/>
  <c r="R1246" i="9"/>
  <c r="S1246" i="9"/>
  <c r="T1246" i="9"/>
  <c r="U1246" i="9" s="1"/>
  <c r="R1247" i="9"/>
  <c r="S1247" i="9"/>
  <c r="T1247" i="9"/>
  <c r="U1247" i="9" s="1"/>
  <c r="R1248" i="9"/>
  <c r="S1248" i="9"/>
  <c r="T1248" i="9"/>
  <c r="U1248" i="9" s="1"/>
  <c r="R1249" i="9"/>
  <c r="S1249" i="9"/>
  <c r="T1249" i="9"/>
  <c r="U1249" i="9" s="1"/>
  <c r="R1250" i="9"/>
  <c r="S1250" i="9"/>
  <c r="T1250" i="9"/>
  <c r="U1250" i="9" s="1"/>
  <c r="R1251" i="9"/>
  <c r="S1251" i="9"/>
  <c r="T1251" i="9"/>
  <c r="R1252" i="9"/>
  <c r="S1252" i="9"/>
  <c r="T1252" i="9"/>
  <c r="R1253" i="9"/>
  <c r="S1253" i="9"/>
  <c r="T1253" i="9"/>
  <c r="U1253" i="9" s="1"/>
  <c r="R1254" i="9"/>
  <c r="S1254" i="9"/>
  <c r="T1254" i="9"/>
  <c r="U1254" i="9" s="1"/>
  <c r="R1255" i="9"/>
  <c r="S1255" i="9"/>
  <c r="T1255" i="9"/>
  <c r="U1255" i="9" s="1"/>
  <c r="R1256" i="9"/>
  <c r="S1256" i="9"/>
  <c r="T1256" i="9"/>
  <c r="U1256" i="9" s="1"/>
  <c r="R1257" i="9"/>
  <c r="S1257" i="9"/>
  <c r="T1257" i="9"/>
  <c r="U1257" i="9" s="1"/>
  <c r="R1258" i="9"/>
  <c r="S1258" i="9"/>
  <c r="T1258" i="9"/>
  <c r="U1258" i="9" s="1"/>
  <c r="R1259" i="9"/>
  <c r="S1259" i="9"/>
  <c r="T1259" i="9"/>
  <c r="R1260" i="9"/>
  <c r="S1260" i="9"/>
  <c r="T1260" i="9"/>
  <c r="R1261" i="9"/>
  <c r="S1261" i="9"/>
  <c r="T1261" i="9"/>
  <c r="U1261" i="9" s="1"/>
  <c r="R1262" i="9"/>
  <c r="S1262" i="9"/>
  <c r="T1262" i="9"/>
  <c r="U1262" i="9" s="1"/>
  <c r="R1263" i="9"/>
  <c r="S1263" i="9"/>
  <c r="T1263" i="9"/>
  <c r="U1263" i="9" s="1"/>
  <c r="R1264" i="9"/>
  <c r="S1264" i="9"/>
  <c r="T1264" i="9"/>
  <c r="U1264" i="9" s="1"/>
  <c r="R1265" i="9"/>
  <c r="S1265" i="9"/>
  <c r="T1265" i="9"/>
  <c r="U1265" i="9" s="1"/>
  <c r="R1266" i="9"/>
  <c r="S1266" i="9"/>
  <c r="T1266" i="9"/>
  <c r="U1266" i="9" s="1"/>
  <c r="R1267" i="9"/>
  <c r="S1267" i="9"/>
  <c r="T1267" i="9"/>
  <c r="R1268" i="9"/>
  <c r="S1268" i="9"/>
  <c r="T1268" i="9"/>
  <c r="R1269" i="9"/>
  <c r="S1269" i="9"/>
  <c r="T1269" i="9"/>
  <c r="U1269" i="9" s="1"/>
  <c r="R1270" i="9"/>
  <c r="S1270" i="9"/>
  <c r="T1270" i="9"/>
  <c r="U1270" i="9" s="1"/>
  <c r="R1271" i="9"/>
  <c r="S1271" i="9"/>
  <c r="T1271" i="9"/>
  <c r="U1271" i="9" s="1"/>
  <c r="R1272" i="9"/>
  <c r="S1272" i="9"/>
  <c r="T1272" i="9"/>
  <c r="U1272" i="9" s="1"/>
  <c r="R1273" i="9"/>
  <c r="S1273" i="9"/>
  <c r="T1273" i="9"/>
  <c r="U1273" i="9" s="1"/>
  <c r="R1274" i="9"/>
  <c r="S1274" i="9"/>
  <c r="T1274" i="9"/>
  <c r="U1274" i="9" s="1"/>
  <c r="R1275" i="9"/>
  <c r="S1275" i="9"/>
  <c r="T1275" i="9"/>
  <c r="R1276" i="9"/>
  <c r="S1276" i="9"/>
  <c r="T1276" i="9"/>
  <c r="R1277" i="9"/>
  <c r="S1277" i="9"/>
  <c r="T1277" i="9"/>
  <c r="U1277" i="9" s="1"/>
  <c r="R1278" i="9"/>
  <c r="S1278" i="9"/>
  <c r="T1278" i="9"/>
  <c r="U1278" i="9" s="1"/>
  <c r="R1279" i="9"/>
  <c r="S1279" i="9"/>
  <c r="T1279" i="9"/>
  <c r="U1279" i="9" s="1"/>
  <c r="R1280" i="9"/>
  <c r="S1280" i="9"/>
  <c r="T1280" i="9"/>
  <c r="U1280" i="9" s="1"/>
  <c r="R1281" i="9"/>
  <c r="S1281" i="9"/>
  <c r="T1281" i="9"/>
  <c r="U1281" i="9" s="1"/>
  <c r="R1282" i="9"/>
  <c r="S1282" i="9"/>
  <c r="T1282" i="9"/>
  <c r="U1282" i="9" s="1"/>
  <c r="R1283" i="9"/>
  <c r="S1283" i="9"/>
  <c r="T1283" i="9"/>
  <c r="R1284" i="9"/>
  <c r="S1284" i="9"/>
  <c r="T1284" i="9"/>
  <c r="R1285" i="9"/>
  <c r="S1285" i="9"/>
  <c r="T1285" i="9"/>
  <c r="U1285" i="9" s="1"/>
  <c r="R1286" i="9"/>
  <c r="S1286" i="9"/>
  <c r="T1286" i="9"/>
  <c r="U1286" i="9" s="1"/>
  <c r="R1287" i="9"/>
  <c r="S1287" i="9"/>
  <c r="T1287" i="9"/>
  <c r="U1287" i="9" s="1"/>
  <c r="R1288" i="9"/>
  <c r="S1288" i="9"/>
  <c r="T1288" i="9"/>
  <c r="U1288" i="9" s="1"/>
  <c r="R1289" i="9"/>
  <c r="S1289" i="9"/>
  <c r="T1289" i="9"/>
  <c r="U1289" i="9" s="1"/>
  <c r="R1290" i="9"/>
  <c r="S1290" i="9"/>
  <c r="T1290" i="9"/>
  <c r="U1290" i="9" s="1"/>
  <c r="R1291" i="9"/>
  <c r="S1291" i="9"/>
  <c r="T1291" i="9"/>
  <c r="R1292" i="9"/>
  <c r="S1292" i="9"/>
  <c r="T1292" i="9"/>
  <c r="R1293" i="9"/>
  <c r="S1293" i="9"/>
  <c r="T1293" i="9"/>
  <c r="U1293" i="9" s="1"/>
  <c r="R1294" i="9"/>
  <c r="S1294" i="9"/>
  <c r="T1294" i="9"/>
  <c r="U1294" i="9" s="1"/>
  <c r="R1295" i="9"/>
  <c r="S1295" i="9"/>
  <c r="T1295" i="9"/>
  <c r="U1295" i="9" s="1"/>
  <c r="R1296" i="9"/>
  <c r="S1296" i="9"/>
  <c r="T1296" i="9"/>
  <c r="U1296" i="9" s="1"/>
  <c r="R1297" i="9"/>
  <c r="S1297" i="9"/>
  <c r="T1297" i="9"/>
  <c r="U1297" i="9" s="1"/>
  <c r="R1298" i="9"/>
  <c r="S1298" i="9"/>
  <c r="T1298" i="9"/>
  <c r="R1299" i="9"/>
  <c r="S1299" i="9"/>
  <c r="T1299" i="9"/>
  <c r="R1300" i="9"/>
  <c r="S1300" i="9"/>
  <c r="T1300" i="9"/>
  <c r="R1301" i="9"/>
  <c r="S1301" i="9"/>
  <c r="T1301" i="9"/>
  <c r="R1302" i="9"/>
  <c r="S1302" i="9"/>
  <c r="T1302" i="9"/>
  <c r="R1303" i="9"/>
  <c r="S1303" i="9"/>
  <c r="T1303" i="9"/>
  <c r="R1304" i="9"/>
  <c r="S1304" i="9"/>
  <c r="T1304" i="9"/>
  <c r="R1305" i="9"/>
  <c r="S1305" i="9"/>
  <c r="T1305" i="9"/>
  <c r="R1306" i="9"/>
  <c r="S1306" i="9"/>
  <c r="T1306" i="9"/>
  <c r="R1307" i="9"/>
  <c r="S1307" i="9"/>
  <c r="T1307" i="9"/>
  <c r="R1308" i="9"/>
  <c r="S1308" i="9"/>
  <c r="T1308" i="9"/>
  <c r="R1309" i="9"/>
  <c r="S1309" i="9"/>
  <c r="T1309" i="9"/>
  <c r="R1310" i="9"/>
  <c r="S1310" i="9"/>
  <c r="T1310" i="9"/>
  <c r="R1311" i="9"/>
  <c r="S1311" i="9"/>
  <c r="T1311" i="9"/>
  <c r="R1312" i="9"/>
  <c r="S1312" i="9"/>
  <c r="T1312" i="9"/>
  <c r="R1313" i="9"/>
  <c r="S1313" i="9"/>
  <c r="T1313" i="9"/>
  <c r="R1314" i="9"/>
  <c r="S1314" i="9"/>
  <c r="T1314" i="9"/>
  <c r="R1315" i="9"/>
  <c r="S1315" i="9"/>
  <c r="T1315" i="9"/>
  <c r="R1316" i="9"/>
  <c r="S1316" i="9"/>
  <c r="T1316" i="9"/>
  <c r="R1317" i="9"/>
  <c r="S1317" i="9"/>
  <c r="T1317" i="9"/>
  <c r="R1318" i="9"/>
  <c r="S1318" i="9"/>
  <c r="T1318" i="9"/>
  <c r="R1319" i="9"/>
  <c r="S1319" i="9"/>
  <c r="T1319" i="9"/>
  <c r="R1320" i="9"/>
  <c r="S1320" i="9"/>
  <c r="T1320" i="9"/>
  <c r="S1321" i="9"/>
  <c r="T1321" i="9"/>
  <c r="R1322" i="9"/>
  <c r="S1322" i="9"/>
  <c r="T1322" i="9"/>
  <c r="R1323" i="9"/>
  <c r="S1323" i="9"/>
  <c r="T1323" i="9"/>
  <c r="R1324" i="9"/>
  <c r="S1324" i="9"/>
  <c r="T1324" i="9"/>
  <c r="S1325" i="9"/>
  <c r="T1325" i="9"/>
  <c r="T2" i="9"/>
  <c r="S2" i="9"/>
  <c r="R2" i="9"/>
  <c r="K1322" i="9" l="1"/>
  <c r="K1321" i="9"/>
  <c r="K1320" i="9"/>
  <c r="K1319" i="9"/>
  <c r="K1318" i="9"/>
  <c r="Q173" i="5" l="1"/>
  <c r="K1317" i="9"/>
  <c r="K1316" i="9"/>
  <c r="K1309" i="9"/>
  <c r="K1310" i="9"/>
  <c r="K1311" i="9"/>
  <c r="K1312" i="9"/>
  <c r="K1313" i="9"/>
  <c r="K1314" i="9"/>
  <c r="K1315" i="9"/>
  <c r="K1308" i="9"/>
  <c r="K1307" i="9"/>
  <c r="K1306" i="9"/>
  <c r="Q171" i="5"/>
  <c r="Q172" i="5"/>
  <c r="K1305" i="9"/>
  <c r="K1304" i="9"/>
  <c r="K1303" i="9"/>
  <c r="K1302" i="9"/>
  <c r="K1301" i="9"/>
  <c r="K1300" i="9"/>
  <c r="Q168" i="5"/>
  <c r="Q169" i="5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282" i="9"/>
  <c r="K1281" i="9"/>
  <c r="K1280" i="9"/>
  <c r="K1279" i="9"/>
  <c r="K1278" i="9"/>
  <c r="K1277" i="9"/>
  <c r="K1276" i="9"/>
  <c r="K1275" i="9"/>
  <c r="K1274" i="9"/>
  <c r="K1273" i="9"/>
  <c r="G1273" i="9"/>
  <c r="D1273" i="9"/>
  <c r="K1272" i="9"/>
  <c r="G1272" i="9"/>
  <c r="D1272" i="9"/>
  <c r="K1271" i="9"/>
  <c r="G1271" i="9"/>
  <c r="D1271" i="9"/>
  <c r="K1270" i="9"/>
  <c r="G1270" i="9"/>
  <c r="D1270" i="9"/>
  <c r="K1269" i="9"/>
  <c r="G1269" i="9"/>
  <c r="D1269" i="9"/>
  <c r="K1268" i="9"/>
  <c r="G1268" i="9"/>
  <c r="D1268" i="9"/>
  <c r="K1267" i="9"/>
  <c r="G1267" i="9"/>
  <c r="D1267" i="9"/>
  <c r="K1266" i="9"/>
  <c r="G1266" i="9"/>
  <c r="D1266" i="9"/>
  <c r="K1265" i="9"/>
  <c r="G1265" i="9"/>
  <c r="D1265" i="9"/>
  <c r="K1264" i="9"/>
  <c r="G1264" i="9"/>
  <c r="D1264" i="9"/>
  <c r="K1263" i="9"/>
  <c r="G1263" i="9"/>
  <c r="D1263" i="9"/>
  <c r="K1262" i="9"/>
  <c r="G1262" i="9"/>
  <c r="D1262" i="9"/>
  <c r="K1261" i="9"/>
  <c r="G1261" i="9"/>
  <c r="D1261" i="9"/>
  <c r="K1260" i="9"/>
  <c r="G1260" i="9"/>
  <c r="D1260" i="9"/>
  <c r="K1259" i="9"/>
  <c r="G1259" i="9"/>
  <c r="D1259" i="9"/>
  <c r="K1258" i="9"/>
  <c r="G1258" i="9"/>
  <c r="D1258" i="9"/>
  <c r="K1257" i="9"/>
  <c r="G1257" i="9"/>
  <c r="D1257" i="9"/>
  <c r="K1256" i="9"/>
  <c r="G1256" i="9"/>
  <c r="D1256" i="9"/>
  <c r="K1255" i="9"/>
  <c r="G1255" i="9"/>
  <c r="D1255" i="9"/>
  <c r="K1254" i="9"/>
  <c r="G1254" i="9"/>
  <c r="D1254" i="9"/>
  <c r="K1253" i="9"/>
  <c r="G1253" i="9"/>
  <c r="D1253" i="9"/>
  <c r="K1252" i="9"/>
  <c r="G1252" i="9"/>
  <c r="D1252" i="9"/>
  <c r="K1251" i="9"/>
  <c r="G1251" i="9"/>
  <c r="D1251" i="9"/>
  <c r="K1250" i="9"/>
  <c r="G1250" i="9"/>
  <c r="D1250" i="9"/>
  <c r="K1249" i="9"/>
  <c r="G1249" i="9"/>
  <c r="D1249" i="9"/>
  <c r="K1248" i="9"/>
  <c r="G1248" i="9"/>
  <c r="D1248" i="9"/>
  <c r="K1247" i="9"/>
  <c r="G1247" i="9"/>
  <c r="D1247" i="9"/>
  <c r="K1246" i="9"/>
  <c r="G1246" i="9"/>
  <c r="D1246" i="9"/>
  <c r="K1245" i="9"/>
  <c r="G1245" i="9"/>
  <c r="D1245" i="9"/>
  <c r="K1244" i="9"/>
  <c r="G1244" i="9"/>
  <c r="D1244" i="9"/>
  <c r="K1243" i="9"/>
  <c r="G1243" i="9"/>
  <c r="D1243" i="9"/>
  <c r="K1242" i="9"/>
  <c r="G1242" i="9"/>
  <c r="D1242" i="9"/>
  <c r="K1241" i="9"/>
  <c r="G1241" i="9"/>
  <c r="D1241" i="9"/>
  <c r="K1240" i="9"/>
  <c r="G1240" i="9"/>
  <c r="D1240" i="9"/>
  <c r="K1239" i="9"/>
  <c r="G1239" i="9"/>
  <c r="D1239" i="9"/>
  <c r="K1238" i="9"/>
  <c r="G1238" i="9"/>
  <c r="D1238" i="9"/>
  <c r="K1237" i="9"/>
  <c r="G1237" i="9"/>
  <c r="D1237" i="9"/>
  <c r="K1236" i="9"/>
  <c r="G1236" i="9"/>
  <c r="D1236" i="9"/>
  <c r="K1235" i="9"/>
  <c r="G1235" i="9"/>
  <c r="D1235" i="9"/>
  <c r="K1234" i="9"/>
  <c r="G1234" i="9"/>
  <c r="D1234" i="9"/>
  <c r="K1233" i="9"/>
  <c r="G1233" i="9"/>
  <c r="D1233" i="9"/>
  <c r="K1232" i="9"/>
  <c r="G1232" i="9"/>
  <c r="D1232" i="9"/>
  <c r="K1231" i="9"/>
  <c r="G1231" i="9"/>
  <c r="D1231" i="9"/>
  <c r="K1230" i="9"/>
  <c r="G1230" i="9"/>
  <c r="D1230" i="9"/>
  <c r="K1229" i="9"/>
  <c r="G1229" i="9"/>
  <c r="D1229" i="9"/>
  <c r="K1228" i="9"/>
  <c r="G1228" i="9"/>
  <c r="D1228" i="9"/>
  <c r="K1227" i="9"/>
  <c r="G1227" i="9"/>
  <c r="D1227" i="9"/>
  <c r="K1226" i="9"/>
  <c r="G1226" i="9"/>
  <c r="D1226" i="9"/>
  <c r="K1225" i="9"/>
  <c r="G1225" i="9"/>
  <c r="D1225" i="9"/>
  <c r="K1224" i="9"/>
  <c r="G1224" i="9"/>
  <c r="D1224" i="9"/>
  <c r="K1223" i="9"/>
  <c r="G1223" i="9"/>
  <c r="D1223" i="9"/>
  <c r="K1222" i="9"/>
  <c r="G1222" i="9"/>
  <c r="D1222" i="9"/>
  <c r="K1221" i="9"/>
  <c r="G1221" i="9"/>
  <c r="D1221" i="9"/>
  <c r="K1220" i="9"/>
  <c r="G1220" i="9"/>
  <c r="D1220" i="9"/>
  <c r="K1219" i="9"/>
  <c r="G1219" i="9"/>
  <c r="D1219" i="9"/>
  <c r="K1218" i="9"/>
  <c r="G1218" i="9"/>
  <c r="D1218" i="9"/>
  <c r="K1217" i="9"/>
  <c r="G1217" i="9"/>
  <c r="D1217" i="9"/>
  <c r="K1216" i="9"/>
  <c r="G1216" i="9"/>
  <c r="D1216" i="9"/>
  <c r="K1215" i="9"/>
  <c r="G1215" i="9"/>
  <c r="D1215" i="9"/>
  <c r="K1214" i="9"/>
  <c r="G1214" i="9"/>
  <c r="D1214" i="9"/>
  <c r="K1213" i="9"/>
  <c r="G1213" i="9"/>
  <c r="D1213" i="9"/>
  <c r="K1212" i="9"/>
  <c r="G1212" i="9"/>
  <c r="D1212" i="9"/>
  <c r="K1211" i="9"/>
  <c r="G1211" i="9"/>
  <c r="D1211" i="9"/>
  <c r="K1210" i="9"/>
  <c r="G1210" i="9"/>
  <c r="D1210" i="9"/>
  <c r="K1209" i="9"/>
  <c r="G1209" i="9"/>
  <c r="D1209" i="9"/>
  <c r="K1208" i="9"/>
  <c r="G1208" i="9"/>
  <c r="D1208" i="9"/>
  <c r="K1207" i="9"/>
  <c r="G1207" i="9"/>
  <c r="D1207" i="9"/>
  <c r="K1206" i="9"/>
  <c r="G1206" i="9"/>
  <c r="D1206" i="9"/>
  <c r="K1205" i="9"/>
  <c r="G1205" i="9"/>
  <c r="D1205" i="9"/>
  <c r="K1204" i="9"/>
  <c r="G1204" i="9"/>
  <c r="D1204" i="9"/>
  <c r="K1203" i="9"/>
  <c r="G1203" i="9"/>
  <c r="D1203" i="9"/>
  <c r="K1202" i="9"/>
  <c r="G1202" i="9"/>
  <c r="D1202" i="9"/>
  <c r="K1201" i="9"/>
  <c r="G1201" i="9"/>
  <c r="D1201" i="9"/>
  <c r="K1200" i="9"/>
  <c r="G1200" i="9"/>
  <c r="D1200" i="9"/>
  <c r="K1199" i="9"/>
  <c r="G1199" i="9"/>
  <c r="D1199" i="9"/>
  <c r="K1198" i="9"/>
  <c r="G1198" i="9"/>
  <c r="D1198" i="9"/>
  <c r="K1197" i="9"/>
  <c r="G1197" i="9"/>
  <c r="D1197" i="9"/>
  <c r="K1196" i="9"/>
  <c r="G1196" i="9"/>
  <c r="K1195" i="9"/>
  <c r="G1195" i="9"/>
  <c r="K1194" i="9"/>
  <c r="G1194" i="9"/>
  <c r="K1193" i="9"/>
  <c r="G1193" i="9"/>
  <c r="K1192" i="9"/>
  <c r="G1192" i="9"/>
  <c r="K1191" i="9"/>
  <c r="G1191" i="9"/>
  <c r="K1190" i="9"/>
  <c r="G1190" i="9"/>
  <c r="K1189" i="9"/>
  <c r="G1189" i="9"/>
  <c r="K1188" i="9"/>
  <c r="G1188" i="9"/>
  <c r="K1187" i="9"/>
  <c r="G1187" i="9"/>
  <c r="D1187" i="9"/>
  <c r="K1186" i="9"/>
  <c r="G1186" i="9"/>
  <c r="D1186" i="9"/>
  <c r="K1185" i="9"/>
  <c r="G1185" i="9"/>
  <c r="D1185" i="9"/>
  <c r="K1184" i="9"/>
  <c r="G1184" i="9"/>
  <c r="D1184" i="9"/>
  <c r="K1183" i="9"/>
  <c r="G1183" i="9"/>
  <c r="D1183" i="9"/>
  <c r="K1182" i="9"/>
  <c r="G1182" i="9"/>
  <c r="D1182" i="9"/>
  <c r="K1181" i="9"/>
  <c r="G1181" i="9"/>
  <c r="D1181" i="9"/>
  <c r="K1180" i="9"/>
  <c r="G1180" i="9"/>
  <c r="D1180" i="9"/>
  <c r="K1179" i="9"/>
  <c r="G1179" i="9"/>
  <c r="D1179" i="9"/>
  <c r="K1178" i="9"/>
  <c r="G1178" i="9"/>
  <c r="D1178" i="9"/>
  <c r="K1177" i="9"/>
  <c r="G1177" i="9"/>
  <c r="D1177" i="9"/>
  <c r="K1176" i="9"/>
  <c r="G1176" i="9"/>
  <c r="D1176" i="9"/>
  <c r="K1175" i="9"/>
  <c r="G1175" i="9"/>
  <c r="D1175" i="9"/>
  <c r="K1174" i="9"/>
  <c r="G1174" i="9"/>
  <c r="D1174" i="9"/>
  <c r="K1173" i="9"/>
  <c r="G1173" i="9"/>
  <c r="D1173" i="9"/>
  <c r="K1172" i="9"/>
  <c r="G1172" i="9"/>
  <c r="D1172" i="9"/>
  <c r="K1171" i="9"/>
  <c r="G1171" i="9"/>
  <c r="D1171" i="9"/>
  <c r="K1170" i="9"/>
  <c r="G1170" i="9"/>
  <c r="D1170" i="9"/>
  <c r="K1169" i="9"/>
  <c r="G1169" i="9"/>
  <c r="D1169" i="9"/>
  <c r="K1168" i="9"/>
  <c r="G1168" i="9"/>
  <c r="D1168" i="9"/>
  <c r="K1167" i="9"/>
  <c r="G1167" i="9"/>
  <c r="D1167" i="9"/>
  <c r="K1166" i="9"/>
  <c r="G1166" i="9"/>
  <c r="D1166" i="9"/>
  <c r="K1165" i="9"/>
  <c r="G1165" i="9"/>
  <c r="D1165" i="9"/>
  <c r="K1164" i="9"/>
  <c r="G1164" i="9"/>
  <c r="D1164" i="9"/>
  <c r="K1163" i="9"/>
  <c r="G1163" i="9"/>
  <c r="D1163" i="9"/>
  <c r="K1162" i="9"/>
  <c r="G1162" i="9"/>
  <c r="D1162" i="9"/>
  <c r="K1161" i="9"/>
  <c r="G1161" i="9"/>
  <c r="D1161" i="9"/>
  <c r="K1160" i="9"/>
  <c r="G1160" i="9"/>
  <c r="D1160" i="9"/>
  <c r="K1159" i="9"/>
  <c r="G1159" i="9"/>
  <c r="D1159" i="9"/>
  <c r="K1158" i="9"/>
  <c r="G1158" i="9"/>
  <c r="D1158" i="9"/>
  <c r="K1157" i="9"/>
  <c r="G1157" i="9"/>
  <c r="D1157" i="9"/>
  <c r="K1156" i="9"/>
  <c r="G1156" i="9"/>
  <c r="D1156" i="9"/>
  <c r="K1155" i="9"/>
  <c r="G1155" i="9"/>
  <c r="D1155" i="9"/>
  <c r="K1154" i="9"/>
  <c r="G1154" i="9"/>
  <c r="D1154" i="9"/>
  <c r="K1153" i="9"/>
  <c r="G1153" i="9"/>
  <c r="D1153" i="9"/>
  <c r="K1152" i="9"/>
  <c r="G1152" i="9"/>
  <c r="D1152" i="9"/>
  <c r="K1151" i="9"/>
  <c r="G1151" i="9"/>
  <c r="D1151" i="9"/>
  <c r="K1150" i="9"/>
  <c r="G1150" i="9"/>
  <c r="D1150" i="9"/>
  <c r="K1149" i="9"/>
  <c r="G1149" i="9"/>
  <c r="D1149" i="9"/>
  <c r="K1148" i="9"/>
  <c r="G1148" i="9"/>
  <c r="D1148" i="9"/>
  <c r="K1147" i="9"/>
  <c r="G1147" i="9"/>
  <c r="D1147" i="9"/>
  <c r="K1146" i="9"/>
  <c r="G1146" i="9"/>
  <c r="D1146" i="9"/>
  <c r="K1145" i="9"/>
  <c r="G1145" i="9"/>
  <c r="D1145" i="9"/>
  <c r="K1144" i="9"/>
  <c r="G1144" i="9"/>
  <c r="D1144" i="9"/>
  <c r="K1143" i="9"/>
  <c r="G1143" i="9"/>
  <c r="D1143" i="9"/>
  <c r="K1142" i="9"/>
  <c r="G1142" i="9"/>
  <c r="D1142" i="9"/>
  <c r="K1141" i="9"/>
  <c r="G1141" i="9"/>
  <c r="D1141" i="9"/>
  <c r="K1140" i="9"/>
  <c r="G1140" i="9"/>
  <c r="D1140" i="9"/>
  <c r="K1139" i="9"/>
  <c r="G1139" i="9"/>
  <c r="D1139" i="9"/>
  <c r="K1138" i="9"/>
  <c r="G1138" i="9"/>
  <c r="D1138" i="9"/>
  <c r="K1137" i="9"/>
  <c r="G1137" i="9"/>
  <c r="D1137" i="9"/>
  <c r="K1136" i="9"/>
  <c r="G1136" i="9"/>
  <c r="D1136" i="9"/>
  <c r="K1135" i="9"/>
  <c r="G1135" i="9"/>
  <c r="D1135" i="9"/>
  <c r="K1134" i="9"/>
  <c r="G1134" i="9"/>
  <c r="D1134" i="9"/>
  <c r="K1133" i="9"/>
  <c r="G1133" i="9"/>
  <c r="D1133" i="9"/>
  <c r="K1132" i="9"/>
  <c r="G1132" i="9"/>
  <c r="D1132" i="9"/>
  <c r="K1131" i="9"/>
  <c r="G1131" i="9"/>
  <c r="D1131" i="9"/>
  <c r="K1130" i="9"/>
  <c r="G1130" i="9"/>
  <c r="D1130" i="9"/>
  <c r="K1129" i="9"/>
  <c r="G1129" i="9"/>
  <c r="D1129" i="9"/>
  <c r="K1128" i="9"/>
  <c r="G1128" i="9"/>
  <c r="D1128" i="9"/>
  <c r="K1127" i="9"/>
  <c r="G1127" i="9"/>
  <c r="D1127" i="9"/>
  <c r="K1126" i="9"/>
  <c r="G1126" i="9"/>
  <c r="D1126" i="9"/>
  <c r="K1125" i="9"/>
  <c r="G1125" i="9"/>
  <c r="D1125" i="9"/>
  <c r="K1124" i="9"/>
  <c r="G1124" i="9"/>
  <c r="D1124" i="9"/>
  <c r="K1123" i="9"/>
  <c r="G1123" i="9"/>
  <c r="D1123" i="9"/>
  <c r="K1122" i="9"/>
  <c r="G1122" i="9"/>
  <c r="D1122" i="9"/>
  <c r="K1121" i="9"/>
  <c r="G1121" i="9"/>
  <c r="D1121" i="9"/>
  <c r="K1120" i="9"/>
  <c r="G1120" i="9"/>
  <c r="D1120" i="9"/>
  <c r="K1119" i="9"/>
  <c r="G1119" i="9"/>
  <c r="D1119" i="9"/>
  <c r="K1118" i="9"/>
  <c r="G1118" i="9"/>
  <c r="D1118" i="9"/>
  <c r="K1117" i="9"/>
  <c r="G1117" i="9"/>
  <c r="D1117" i="9"/>
  <c r="K1116" i="9"/>
  <c r="G1116" i="9"/>
  <c r="D1116" i="9"/>
  <c r="K1115" i="9"/>
  <c r="G1115" i="9"/>
  <c r="D1115" i="9"/>
  <c r="K1114" i="9"/>
  <c r="G1114" i="9"/>
  <c r="D1114" i="9"/>
  <c r="K1113" i="9"/>
  <c r="G1113" i="9"/>
  <c r="D1113" i="9"/>
  <c r="K1112" i="9"/>
  <c r="G1112" i="9"/>
  <c r="D1112" i="9"/>
  <c r="K1111" i="9"/>
  <c r="G1111" i="9"/>
  <c r="D1111" i="9"/>
  <c r="K1110" i="9"/>
  <c r="G1110" i="9"/>
  <c r="D1110" i="9"/>
  <c r="K1109" i="9"/>
  <c r="G1109" i="9"/>
  <c r="D1109" i="9"/>
  <c r="K1108" i="9"/>
  <c r="G1108" i="9"/>
  <c r="D1108" i="9"/>
  <c r="K1107" i="9"/>
  <c r="G1107" i="9"/>
  <c r="D1107" i="9"/>
  <c r="K1106" i="9"/>
  <c r="G1106" i="9"/>
  <c r="D1106" i="9"/>
  <c r="K1105" i="9"/>
  <c r="G1105" i="9"/>
  <c r="D1105" i="9"/>
  <c r="K1104" i="9"/>
  <c r="G1104" i="9"/>
  <c r="D1104" i="9"/>
  <c r="K1103" i="9"/>
  <c r="G1103" i="9"/>
  <c r="D1103" i="9"/>
  <c r="K1102" i="9"/>
  <c r="G1102" i="9"/>
  <c r="D1102" i="9"/>
  <c r="K1101" i="9"/>
  <c r="G1101" i="9"/>
  <c r="D1101" i="9"/>
  <c r="K1100" i="9"/>
  <c r="G1100" i="9"/>
  <c r="D1100" i="9"/>
  <c r="K1099" i="9"/>
  <c r="G1099" i="9"/>
  <c r="D1099" i="9"/>
  <c r="K1098" i="9"/>
  <c r="G1098" i="9"/>
  <c r="D1098" i="9"/>
  <c r="K1097" i="9"/>
  <c r="G1097" i="9"/>
  <c r="D1097" i="9"/>
  <c r="K1096" i="9"/>
  <c r="G1096" i="9"/>
  <c r="D1096" i="9"/>
  <c r="K1095" i="9"/>
  <c r="G1095" i="9"/>
  <c r="D1095" i="9"/>
  <c r="K1094" i="9"/>
  <c r="G1094" i="9"/>
  <c r="D1094" i="9"/>
  <c r="K1093" i="9"/>
  <c r="G1093" i="9"/>
  <c r="D1093" i="9"/>
  <c r="K1092" i="9"/>
  <c r="G1092" i="9"/>
  <c r="D1092" i="9"/>
  <c r="K1091" i="9"/>
  <c r="G1091" i="9"/>
  <c r="D1091" i="9"/>
  <c r="K1090" i="9"/>
  <c r="G1090" i="9"/>
  <c r="D1090" i="9"/>
  <c r="K1089" i="9"/>
  <c r="G1089" i="9"/>
  <c r="D1089" i="9"/>
  <c r="K1088" i="9"/>
  <c r="G1088" i="9"/>
  <c r="D1088" i="9"/>
  <c r="K1087" i="9"/>
  <c r="G1087" i="9"/>
  <c r="D1087" i="9"/>
  <c r="K1086" i="9"/>
  <c r="G1086" i="9"/>
  <c r="D1086" i="9"/>
  <c r="K1085" i="9"/>
  <c r="G1085" i="9"/>
  <c r="D1085" i="9"/>
  <c r="K1084" i="9"/>
  <c r="G1084" i="9"/>
  <c r="D1084" i="9"/>
  <c r="K1083" i="9"/>
  <c r="G1083" i="9"/>
  <c r="D1083" i="9"/>
  <c r="K1082" i="9"/>
  <c r="G1082" i="9"/>
  <c r="D1082" i="9"/>
  <c r="K1081" i="9"/>
  <c r="G1081" i="9"/>
  <c r="D1081" i="9"/>
  <c r="K1080" i="9"/>
  <c r="G1080" i="9"/>
  <c r="D1080" i="9"/>
  <c r="K1079" i="9"/>
  <c r="G1079" i="9"/>
  <c r="D1079" i="9"/>
  <c r="K1078" i="9"/>
  <c r="G1078" i="9"/>
  <c r="D1078" i="9"/>
  <c r="K1077" i="9"/>
  <c r="G1077" i="9"/>
  <c r="D1077" i="9"/>
  <c r="K1076" i="9"/>
  <c r="G1076" i="9"/>
  <c r="D1076" i="9"/>
  <c r="K1075" i="9"/>
  <c r="G1075" i="9"/>
  <c r="D1075" i="9"/>
  <c r="K1074" i="9"/>
  <c r="G1074" i="9"/>
  <c r="D1074" i="9"/>
  <c r="K1073" i="9"/>
  <c r="G1073" i="9"/>
  <c r="D1073" i="9"/>
  <c r="K1072" i="9"/>
  <c r="G1072" i="9"/>
  <c r="D1072" i="9"/>
  <c r="K1071" i="9"/>
  <c r="G1071" i="9"/>
  <c r="D1071" i="9"/>
  <c r="K1070" i="9"/>
  <c r="G1070" i="9"/>
  <c r="D1070" i="9"/>
  <c r="K1069" i="9"/>
  <c r="G1069" i="9"/>
  <c r="D1069" i="9"/>
  <c r="K1068" i="9"/>
  <c r="G1068" i="9"/>
  <c r="D1068" i="9"/>
  <c r="K1067" i="9"/>
  <c r="G1067" i="9"/>
  <c r="D1067" i="9"/>
  <c r="K1066" i="9"/>
  <c r="G1066" i="9"/>
  <c r="D1066" i="9"/>
  <c r="K1065" i="9"/>
  <c r="G1065" i="9"/>
  <c r="D1065" i="9"/>
  <c r="K1064" i="9"/>
  <c r="G1064" i="9"/>
  <c r="D1064" i="9"/>
  <c r="K1063" i="9"/>
  <c r="G1063" i="9"/>
  <c r="D1063" i="9"/>
  <c r="K1062" i="9"/>
  <c r="G1062" i="9"/>
  <c r="D1062" i="9"/>
  <c r="K1061" i="9"/>
  <c r="G1061" i="9"/>
  <c r="D1061" i="9"/>
  <c r="K1060" i="9"/>
  <c r="G1060" i="9"/>
  <c r="D1060" i="9"/>
  <c r="K1059" i="9"/>
  <c r="G1059" i="9"/>
  <c r="D1059" i="9"/>
  <c r="K1058" i="9"/>
  <c r="G1058" i="9"/>
  <c r="D1058" i="9"/>
  <c r="K1057" i="9"/>
  <c r="G1057" i="9"/>
  <c r="D1057" i="9"/>
  <c r="K1056" i="9"/>
  <c r="G1056" i="9"/>
  <c r="D1056" i="9"/>
  <c r="K1055" i="9"/>
  <c r="G1055" i="9"/>
  <c r="D1055" i="9"/>
  <c r="K1054" i="9"/>
  <c r="G1054" i="9"/>
  <c r="D1054" i="9"/>
  <c r="K1053" i="9"/>
  <c r="G1053" i="9"/>
  <c r="D1053" i="9"/>
  <c r="K1052" i="9"/>
  <c r="G1052" i="9"/>
  <c r="D1052" i="9"/>
  <c r="K1051" i="9"/>
  <c r="G1051" i="9"/>
  <c r="D1051" i="9"/>
  <c r="K1050" i="9"/>
  <c r="G1050" i="9"/>
  <c r="D1050" i="9"/>
  <c r="K1049" i="9"/>
  <c r="G1049" i="9"/>
  <c r="D1049" i="9"/>
  <c r="K1048" i="9"/>
  <c r="G1048" i="9"/>
  <c r="D1048" i="9"/>
  <c r="K1047" i="9"/>
  <c r="G1047" i="9"/>
  <c r="D1047" i="9"/>
  <c r="K1046" i="9"/>
  <c r="G1046" i="9"/>
  <c r="D1046" i="9"/>
  <c r="K1045" i="9"/>
  <c r="G1045" i="9"/>
  <c r="D1045" i="9"/>
  <c r="K1044" i="9"/>
  <c r="G1044" i="9"/>
  <c r="D1044" i="9"/>
  <c r="K1043" i="9"/>
  <c r="G1043" i="9"/>
  <c r="D1043" i="9"/>
  <c r="K1042" i="9"/>
  <c r="G1042" i="9"/>
  <c r="D1042" i="9"/>
  <c r="K1041" i="9"/>
  <c r="G1041" i="9"/>
  <c r="D1041" i="9"/>
  <c r="K1040" i="9"/>
  <c r="G1040" i="9"/>
  <c r="D1040" i="9"/>
  <c r="K1039" i="9"/>
  <c r="G1039" i="9"/>
  <c r="D1039" i="9"/>
  <c r="K1038" i="9"/>
  <c r="G1038" i="9"/>
  <c r="D1038" i="9"/>
  <c r="K1037" i="9"/>
  <c r="G1037" i="9"/>
  <c r="D1037" i="9"/>
  <c r="K1036" i="9"/>
  <c r="G1036" i="9"/>
  <c r="D1036" i="9"/>
  <c r="K1035" i="9"/>
  <c r="G1035" i="9"/>
  <c r="D1035" i="9"/>
  <c r="K1034" i="9"/>
  <c r="G1034" i="9"/>
  <c r="D1034" i="9"/>
  <c r="K1033" i="9"/>
  <c r="G1033" i="9"/>
  <c r="D1033" i="9"/>
  <c r="K1032" i="9"/>
  <c r="G1032" i="9"/>
  <c r="D1032" i="9"/>
  <c r="K1031" i="9"/>
  <c r="G1031" i="9"/>
  <c r="D1031" i="9"/>
  <c r="K1030" i="9"/>
  <c r="G1030" i="9"/>
  <c r="D1030" i="9"/>
  <c r="K1029" i="9"/>
  <c r="G1029" i="9"/>
  <c r="D1029" i="9"/>
  <c r="K1028" i="9"/>
  <c r="G1028" i="9"/>
  <c r="D1028" i="9"/>
  <c r="K1027" i="9"/>
  <c r="G1027" i="9"/>
  <c r="D1027" i="9"/>
  <c r="K1026" i="9"/>
  <c r="G1026" i="9"/>
  <c r="D1026" i="9"/>
  <c r="K1025" i="9"/>
  <c r="G1025" i="9"/>
  <c r="D1025" i="9"/>
  <c r="K1024" i="9"/>
  <c r="G1024" i="9"/>
  <c r="D1024" i="9"/>
  <c r="K1023" i="9"/>
  <c r="G1023" i="9"/>
  <c r="D1023" i="9"/>
  <c r="K1022" i="9"/>
  <c r="G1022" i="9"/>
  <c r="D1022" i="9"/>
  <c r="K1021" i="9"/>
  <c r="G1021" i="9"/>
  <c r="D1021" i="9"/>
  <c r="K1020" i="9"/>
  <c r="G1020" i="9"/>
  <c r="D1020" i="9"/>
  <c r="K1019" i="9"/>
  <c r="G1019" i="9"/>
  <c r="D1019" i="9"/>
  <c r="K1018" i="9"/>
  <c r="G1018" i="9"/>
  <c r="D1018" i="9"/>
  <c r="K1017" i="9"/>
  <c r="G1017" i="9"/>
  <c r="D1017" i="9"/>
  <c r="K1016" i="9"/>
  <c r="G1016" i="9"/>
  <c r="D1016" i="9"/>
  <c r="K1015" i="9"/>
  <c r="G1015" i="9"/>
  <c r="D1015" i="9"/>
  <c r="K1014" i="9"/>
  <c r="G1014" i="9"/>
  <c r="D1014" i="9"/>
  <c r="K1013" i="9"/>
  <c r="J1013" i="9"/>
  <c r="G1013" i="9"/>
  <c r="D1013" i="9"/>
  <c r="K1012" i="9"/>
  <c r="J1012" i="9"/>
  <c r="G1012" i="9"/>
  <c r="D1012" i="9"/>
  <c r="K1011" i="9"/>
  <c r="J1011" i="9"/>
  <c r="G1011" i="9"/>
  <c r="D1011" i="9"/>
  <c r="K1010" i="9"/>
  <c r="J1010" i="9"/>
  <c r="G1010" i="9"/>
  <c r="D1010" i="9"/>
  <c r="K1009" i="9"/>
  <c r="J1009" i="9"/>
  <c r="G1009" i="9"/>
  <c r="D1009" i="9"/>
  <c r="K1008" i="9"/>
  <c r="J1008" i="9"/>
  <c r="G1008" i="9"/>
  <c r="D1008" i="9"/>
  <c r="K1007" i="9"/>
  <c r="J1007" i="9"/>
  <c r="G1007" i="9"/>
  <c r="D1007" i="9"/>
  <c r="K1006" i="9"/>
  <c r="J1006" i="9"/>
  <c r="G1006" i="9"/>
  <c r="D1006" i="9"/>
  <c r="K1005" i="9"/>
  <c r="J1005" i="9"/>
  <c r="G1005" i="9"/>
  <c r="D1005" i="9"/>
  <c r="K1004" i="9"/>
  <c r="J1004" i="9"/>
  <c r="G1004" i="9"/>
  <c r="D1004" i="9"/>
  <c r="K1003" i="9"/>
  <c r="J1003" i="9"/>
  <c r="G1003" i="9"/>
  <c r="D1003" i="9"/>
  <c r="K1002" i="9"/>
  <c r="J1002" i="9"/>
  <c r="G1002" i="9"/>
  <c r="D1002" i="9"/>
  <c r="K1001" i="9"/>
  <c r="J1001" i="9"/>
  <c r="G1001" i="9"/>
  <c r="D1001" i="9"/>
  <c r="K1000" i="9"/>
  <c r="J1000" i="9"/>
  <c r="G1000" i="9"/>
  <c r="D1000" i="9"/>
  <c r="K999" i="9"/>
  <c r="J999" i="9"/>
  <c r="G999" i="9"/>
  <c r="D999" i="9"/>
  <c r="K998" i="9"/>
  <c r="J998" i="9"/>
  <c r="G998" i="9"/>
  <c r="D998" i="9"/>
  <c r="K997" i="9"/>
  <c r="J997" i="9"/>
  <c r="G997" i="9"/>
  <c r="D997" i="9"/>
  <c r="K996" i="9"/>
  <c r="J996" i="9"/>
  <c r="G996" i="9"/>
  <c r="D996" i="9"/>
  <c r="K995" i="9"/>
  <c r="J995" i="9"/>
  <c r="G995" i="9"/>
  <c r="D995" i="9"/>
  <c r="K994" i="9"/>
  <c r="J994" i="9"/>
  <c r="G994" i="9"/>
  <c r="D994" i="9"/>
  <c r="K993" i="9"/>
  <c r="J993" i="9"/>
  <c r="G993" i="9"/>
  <c r="D993" i="9"/>
  <c r="K992" i="9"/>
  <c r="J992" i="9"/>
  <c r="G992" i="9"/>
  <c r="D992" i="9"/>
  <c r="K991" i="9"/>
  <c r="J991" i="9"/>
  <c r="G991" i="9"/>
  <c r="D991" i="9"/>
  <c r="K990" i="9"/>
  <c r="J990" i="9"/>
  <c r="G990" i="9"/>
  <c r="D990" i="9"/>
  <c r="K989" i="9"/>
  <c r="J989" i="9"/>
  <c r="G989" i="9"/>
  <c r="D989" i="9"/>
  <c r="K988" i="9"/>
  <c r="J988" i="9"/>
  <c r="G988" i="9"/>
  <c r="D988" i="9"/>
  <c r="K987" i="9"/>
  <c r="J987" i="9"/>
  <c r="G987" i="9"/>
  <c r="D987" i="9"/>
  <c r="K986" i="9"/>
  <c r="J986" i="9"/>
  <c r="G986" i="9"/>
  <c r="D986" i="9"/>
  <c r="K985" i="9"/>
  <c r="J985" i="9"/>
  <c r="G985" i="9"/>
  <c r="D985" i="9"/>
  <c r="K984" i="9"/>
  <c r="J984" i="9"/>
  <c r="G984" i="9"/>
  <c r="D984" i="9"/>
  <c r="K983" i="9"/>
  <c r="J983" i="9"/>
  <c r="G983" i="9"/>
  <c r="D983" i="9"/>
  <c r="K982" i="9"/>
  <c r="J982" i="9"/>
  <c r="G982" i="9"/>
  <c r="D982" i="9"/>
  <c r="K981" i="9"/>
  <c r="J981" i="9"/>
  <c r="G981" i="9"/>
  <c r="D981" i="9"/>
  <c r="K980" i="9"/>
  <c r="J980" i="9"/>
  <c r="G980" i="9"/>
  <c r="D980" i="9"/>
  <c r="K979" i="9"/>
  <c r="J979" i="9"/>
  <c r="G979" i="9"/>
  <c r="D979" i="9"/>
  <c r="K978" i="9"/>
  <c r="J978" i="9"/>
  <c r="G978" i="9"/>
  <c r="D978" i="9"/>
  <c r="K977" i="9"/>
  <c r="J977" i="9"/>
  <c r="G977" i="9"/>
  <c r="D977" i="9"/>
  <c r="K976" i="9"/>
  <c r="J976" i="9"/>
  <c r="G976" i="9"/>
  <c r="D976" i="9"/>
  <c r="K975" i="9"/>
  <c r="J975" i="9"/>
  <c r="G975" i="9"/>
  <c r="D975" i="9"/>
  <c r="K974" i="9"/>
  <c r="J974" i="9"/>
  <c r="G974" i="9"/>
  <c r="D974" i="9"/>
  <c r="K973" i="9"/>
  <c r="J973" i="9"/>
  <c r="G973" i="9"/>
  <c r="D973" i="9"/>
  <c r="K972" i="9"/>
  <c r="J972" i="9"/>
  <c r="G972" i="9"/>
  <c r="D972" i="9"/>
  <c r="K971" i="9"/>
  <c r="J971" i="9"/>
  <c r="G971" i="9"/>
  <c r="D971" i="9"/>
  <c r="K970" i="9"/>
  <c r="J970" i="9"/>
  <c r="G970" i="9"/>
  <c r="D970" i="9"/>
  <c r="K969" i="9"/>
  <c r="J969" i="9"/>
  <c r="G969" i="9"/>
  <c r="D969" i="9"/>
  <c r="K968" i="9"/>
  <c r="J968" i="9"/>
  <c r="G968" i="9"/>
  <c r="D968" i="9"/>
  <c r="K967" i="9"/>
  <c r="J967" i="9"/>
  <c r="G967" i="9"/>
  <c r="D967" i="9"/>
  <c r="K966" i="9"/>
  <c r="J966" i="9"/>
  <c r="G966" i="9"/>
  <c r="D966" i="9"/>
  <c r="K965" i="9"/>
  <c r="J965" i="9"/>
  <c r="G965" i="9"/>
  <c r="D965" i="9"/>
  <c r="K964" i="9"/>
  <c r="J964" i="9"/>
  <c r="G964" i="9"/>
  <c r="D964" i="9"/>
  <c r="K963" i="9"/>
  <c r="J963" i="9"/>
  <c r="G963" i="9"/>
  <c r="D963" i="9"/>
  <c r="K962" i="9"/>
  <c r="J962" i="9"/>
  <c r="G962" i="9"/>
  <c r="D962" i="9"/>
  <c r="K961" i="9"/>
  <c r="J961" i="9"/>
  <c r="G961" i="9"/>
  <c r="D961" i="9"/>
  <c r="K960" i="9"/>
  <c r="J960" i="9"/>
  <c r="G960" i="9"/>
  <c r="D960" i="9"/>
  <c r="K959" i="9"/>
  <c r="J959" i="9"/>
  <c r="G959" i="9"/>
  <c r="D959" i="9"/>
  <c r="K958" i="9"/>
  <c r="J958" i="9"/>
  <c r="G958" i="9"/>
  <c r="D958" i="9"/>
  <c r="K957" i="9"/>
  <c r="J957" i="9"/>
  <c r="G957" i="9"/>
  <c r="D957" i="9"/>
  <c r="K956" i="9"/>
  <c r="J956" i="9"/>
  <c r="G956" i="9"/>
  <c r="D956" i="9"/>
  <c r="K955" i="9"/>
  <c r="J955" i="9"/>
  <c r="G955" i="9"/>
  <c r="D955" i="9"/>
  <c r="K954" i="9"/>
  <c r="J954" i="9"/>
  <c r="G954" i="9"/>
  <c r="D954" i="9"/>
  <c r="K953" i="9"/>
  <c r="J953" i="9"/>
  <c r="G953" i="9"/>
  <c r="D953" i="9"/>
  <c r="K952" i="9"/>
  <c r="J952" i="9"/>
  <c r="G952" i="9"/>
  <c r="D952" i="9"/>
  <c r="K951" i="9"/>
  <c r="J951" i="9"/>
  <c r="G951" i="9"/>
  <c r="D951" i="9"/>
  <c r="K950" i="9"/>
  <c r="J950" i="9"/>
  <c r="G950" i="9"/>
  <c r="D950" i="9"/>
  <c r="K949" i="9"/>
  <c r="J949" i="9"/>
  <c r="G949" i="9"/>
  <c r="D949" i="9"/>
  <c r="K948" i="9"/>
  <c r="J948" i="9"/>
  <c r="G948" i="9"/>
  <c r="D948" i="9"/>
  <c r="K947" i="9"/>
  <c r="J947" i="9"/>
  <c r="G947" i="9"/>
  <c r="D947" i="9"/>
  <c r="K946" i="9"/>
  <c r="J946" i="9"/>
  <c r="G946" i="9"/>
  <c r="D946" i="9"/>
  <c r="K945" i="9"/>
  <c r="J945" i="9"/>
  <c r="G945" i="9"/>
  <c r="D945" i="9"/>
  <c r="K944" i="9"/>
  <c r="J944" i="9"/>
  <c r="G944" i="9"/>
  <c r="D944" i="9"/>
  <c r="K943" i="9"/>
  <c r="J943" i="9"/>
  <c r="G943" i="9"/>
  <c r="D943" i="9"/>
  <c r="K942" i="9"/>
  <c r="J942" i="9"/>
  <c r="G942" i="9"/>
  <c r="D942" i="9"/>
  <c r="K941" i="9"/>
  <c r="J941" i="9"/>
  <c r="G941" i="9"/>
  <c r="D941" i="9"/>
  <c r="K940" i="9"/>
  <c r="J940" i="9"/>
  <c r="G940" i="9"/>
  <c r="D940" i="9"/>
  <c r="K939" i="9"/>
  <c r="J939" i="9"/>
  <c r="G939" i="9"/>
  <c r="D939" i="9"/>
  <c r="K938" i="9"/>
  <c r="J938" i="9"/>
  <c r="G938" i="9"/>
  <c r="D938" i="9"/>
  <c r="K937" i="9"/>
  <c r="J937" i="9"/>
  <c r="G937" i="9"/>
  <c r="D937" i="9"/>
  <c r="K936" i="9"/>
  <c r="J936" i="9"/>
  <c r="G936" i="9"/>
  <c r="D936" i="9"/>
  <c r="K935" i="9"/>
  <c r="J935" i="9"/>
  <c r="G935" i="9"/>
  <c r="D935" i="9"/>
  <c r="K934" i="9"/>
  <c r="J934" i="9"/>
  <c r="G934" i="9"/>
  <c r="D934" i="9"/>
  <c r="K933" i="9"/>
  <c r="J933" i="9"/>
  <c r="G933" i="9"/>
  <c r="D933" i="9"/>
  <c r="K932" i="9"/>
  <c r="J932" i="9"/>
  <c r="G932" i="9"/>
  <c r="D932" i="9"/>
  <c r="K931" i="9"/>
  <c r="J931" i="9"/>
  <c r="G931" i="9"/>
  <c r="D931" i="9"/>
  <c r="K930" i="9"/>
  <c r="J930" i="9"/>
  <c r="G930" i="9"/>
  <c r="D930" i="9"/>
  <c r="K929" i="9"/>
  <c r="J929" i="9"/>
  <c r="G929" i="9"/>
  <c r="D929" i="9"/>
  <c r="K928" i="9"/>
  <c r="J928" i="9"/>
  <c r="G928" i="9"/>
  <c r="D928" i="9"/>
  <c r="K927" i="9"/>
  <c r="J927" i="9"/>
  <c r="G927" i="9"/>
  <c r="D927" i="9"/>
  <c r="K926" i="9"/>
  <c r="J926" i="9"/>
  <c r="G926" i="9"/>
  <c r="D926" i="9"/>
  <c r="K925" i="9"/>
  <c r="J925" i="9"/>
  <c r="G925" i="9"/>
  <c r="D925" i="9"/>
  <c r="K924" i="9"/>
  <c r="J924" i="9"/>
  <c r="G924" i="9"/>
  <c r="D924" i="9"/>
  <c r="K923" i="9"/>
  <c r="J923" i="9"/>
  <c r="G923" i="9"/>
  <c r="D923" i="9"/>
  <c r="K922" i="9"/>
  <c r="J922" i="9"/>
  <c r="G922" i="9"/>
  <c r="D922" i="9"/>
  <c r="K921" i="9"/>
  <c r="J921" i="9"/>
  <c r="G921" i="9"/>
  <c r="D921" i="9"/>
  <c r="K920" i="9"/>
  <c r="J920" i="9"/>
  <c r="G920" i="9"/>
  <c r="D920" i="9"/>
  <c r="K919" i="9"/>
  <c r="J919" i="9"/>
  <c r="G919" i="9"/>
  <c r="D919" i="9"/>
  <c r="K918" i="9"/>
  <c r="J918" i="9"/>
  <c r="G918" i="9"/>
  <c r="D918" i="9"/>
  <c r="K917" i="9"/>
  <c r="J917" i="9"/>
  <c r="G917" i="9"/>
  <c r="D917" i="9"/>
  <c r="K916" i="9"/>
  <c r="J916" i="9"/>
  <c r="G916" i="9"/>
  <c r="D916" i="9"/>
  <c r="K915" i="9"/>
  <c r="J915" i="9"/>
  <c r="G915" i="9"/>
  <c r="D915" i="9"/>
  <c r="K914" i="9"/>
  <c r="J914" i="9"/>
  <c r="G914" i="9"/>
  <c r="D914" i="9"/>
  <c r="K913" i="9"/>
  <c r="J913" i="9"/>
  <c r="G913" i="9"/>
  <c r="D913" i="9"/>
  <c r="K912" i="9"/>
  <c r="J912" i="9"/>
  <c r="G912" i="9"/>
  <c r="D912" i="9"/>
  <c r="K911" i="9"/>
  <c r="J911" i="9"/>
  <c r="G911" i="9"/>
  <c r="D911" i="9"/>
  <c r="K910" i="9"/>
  <c r="J910" i="9"/>
  <c r="G910" i="9"/>
  <c r="D910" i="9"/>
  <c r="K909" i="9"/>
  <c r="J909" i="9"/>
  <c r="G909" i="9"/>
  <c r="D909" i="9"/>
  <c r="K908" i="9"/>
  <c r="J908" i="9"/>
  <c r="G908" i="9"/>
  <c r="D908" i="9"/>
  <c r="K907" i="9"/>
  <c r="J907" i="9"/>
  <c r="G907" i="9"/>
  <c r="D907" i="9"/>
  <c r="K906" i="9"/>
  <c r="J906" i="9"/>
  <c r="G906" i="9"/>
  <c r="D906" i="9"/>
  <c r="K905" i="9"/>
  <c r="J905" i="9"/>
  <c r="G905" i="9"/>
  <c r="D905" i="9"/>
  <c r="K904" i="9"/>
  <c r="J904" i="9"/>
  <c r="G904" i="9"/>
  <c r="D904" i="9"/>
  <c r="K903" i="9"/>
  <c r="J903" i="9"/>
  <c r="G903" i="9"/>
  <c r="D903" i="9"/>
  <c r="K902" i="9"/>
  <c r="J902" i="9"/>
  <c r="G902" i="9"/>
  <c r="D902" i="9"/>
  <c r="K901" i="9"/>
  <c r="J901" i="9"/>
  <c r="G901" i="9"/>
  <c r="D901" i="9"/>
  <c r="K900" i="9"/>
  <c r="J900" i="9"/>
  <c r="G900" i="9"/>
  <c r="D900" i="9"/>
  <c r="K899" i="9"/>
  <c r="J899" i="9"/>
  <c r="G899" i="9"/>
  <c r="D899" i="9"/>
  <c r="K898" i="9"/>
  <c r="J898" i="9"/>
  <c r="G898" i="9"/>
  <c r="D898" i="9"/>
  <c r="K897" i="9"/>
  <c r="J897" i="9"/>
  <c r="G897" i="9"/>
  <c r="D897" i="9"/>
  <c r="K896" i="9"/>
  <c r="J896" i="9"/>
  <c r="G896" i="9"/>
  <c r="D896" i="9"/>
  <c r="K895" i="9"/>
  <c r="J895" i="9"/>
  <c r="G895" i="9"/>
  <c r="D895" i="9"/>
  <c r="K894" i="9"/>
  <c r="J894" i="9"/>
  <c r="G894" i="9"/>
  <c r="D894" i="9"/>
  <c r="K893" i="9"/>
  <c r="J893" i="9"/>
  <c r="G893" i="9"/>
  <c r="D893" i="9"/>
  <c r="K892" i="9"/>
  <c r="J892" i="9"/>
  <c r="G892" i="9"/>
  <c r="D892" i="9"/>
  <c r="K891" i="9"/>
  <c r="J891" i="9"/>
  <c r="G891" i="9"/>
  <c r="D891" i="9"/>
  <c r="K890" i="9"/>
  <c r="J890" i="9"/>
  <c r="G890" i="9"/>
  <c r="D890" i="9"/>
  <c r="K889" i="9"/>
  <c r="J889" i="9"/>
  <c r="G889" i="9"/>
  <c r="D889" i="9"/>
  <c r="K888" i="9"/>
  <c r="J888" i="9"/>
  <c r="G888" i="9"/>
  <c r="D888" i="9"/>
  <c r="K887" i="9"/>
  <c r="J887" i="9"/>
  <c r="G887" i="9"/>
  <c r="D887" i="9"/>
  <c r="K886" i="9"/>
  <c r="J886" i="9"/>
  <c r="G886" i="9"/>
  <c r="D886" i="9"/>
  <c r="K885" i="9"/>
  <c r="J885" i="9"/>
  <c r="G885" i="9"/>
  <c r="D885" i="9"/>
  <c r="K884" i="9"/>
  <c r="J884" i="9"/>
  <c r="G884" i="9"/>
  <c r="D884" i="9"/>
  <c r="K883" i="9"/>
  <c r="J883" i="9"/>
  <c r="G883" i="9"/>
  <c r="D883" i="9"/>
  <c r="K882" i="9"/>
  <c r="J882" i="9"/>
  <c r="G882" i="9"/>
  <c r="D882" i="9"/>
  <c r="K881" i="9"/>
  <c r="J881" i="9"/>
  <c r="G881" i="9"/>
  <c r="D881" i="9"/>
  <c r="K880" i="9"/>
  <c r="J880" i="9"/>
  <c r="G880" i="9"/>
  <c r="D880" i="9"/>
  <c r="K879" i="9"/>
  <c r="J879" i="9"/>
  <c r="G879" i="9"/>
  <c r="D879" i="9"/>
  <c r="K878" i="9"/>
  <c r="J878" i="9"/>
  <c r="G878" i="9"/>
  <c r="D878" i="9"/>
  <c r="K877" i="9"/>
  <c r="J877" i="9"/>
  <c r="G877" i="9"/>
  <c r="D877" i="9"/>
  <c r="K876" i="9"/>
  <c r="J876" i="9"/>
  <c r="G876" i="9"/>
  <c r="D876" i="9"/>
  <c r="K875" i="9"/>
  <c r="J875" i="9"/>
  <c r="G875" i="9"/>
  <c r="D875" i="9"/>
  <c r="K874" i="9"/>
  <c r="J874" i="9"/>
  <c r="G874" i="9"/>
  <c r="D874" i="9"/>
  <c r="K873" i="9"/>
  <c r="J873" i="9"/>
  <c r="G873" i="9"/>
  <c r="D873" i="9"/>
  <c r="K872" i="9"/>
  <c r="J872" i="9"/>
  <c r="G872" i="9"/>
  <c r="D872" i="9"/>
  <c r="K871" i="9"/>
  <c r="J871" i="9"/>
  <c r="G871" i="9"/>
  <c r="D871" i="9"/>
  <c r="K870" i="9"/>
  <c r="J870" i="9"/>
  <c r="G870" i="9"/>
  <c r="D870" i="9"/>
  <c r="K869" i="9"/>
  <c r="J869" i="9"/>
  <c r="G869" i="9"/>
  <c r="D869" i="9"/>
  <c r="K868" i="9"/>
  <c r="J868" i="9"/>
  <c r="G868" i="9"/>
  <c r="D868" i="9"/>
  <c r="K867" i="9"/>
  <c r="J867" i="9"/>
  <c r="G867" i="9"/>
  <c r="D867" i="9"/>
  <c r="K866" i="9"/>
  <c r="J866" i="9"/>
  <c r="G866" i="9"/>
  <c r="D866" i="9"/>
  <c r="K865" i="9"/>
  <c r="J865" i="9"/>
  <c r="G865" i="9"/>
  <c r="D865" i="9"/>
  <c r="K864" i="9"/>
  <c r="J864" i="9"/>
  <c r="G864" i="9"/>
  <c r="D864" i="9"/>
  <c r="K863" i="9"/>
  <c r="J863" i="9"/>
  <c r="G863" i="9"/>
  <c r="D863" i="9"/>
  <c r="K862" i="9"/>
  <c r="J862" i="9"/>
  <c r="G862" i="9"/>
  <c r="D862" i="9"/>
  <c r="K861" i="9"/>
  <c r="J861" i="9"/>
  <c r="G861" i="9"/>
  <c r="D861" i="9"/>
  <c r="K860" i="9"/>
  <c r="J860" i="9"/>
  <c r="G860" i="9"/>
  <c r="D860" i="9"/>
  <c r="K859" i="9"/>
  <c r="J859" i="9"/>
  <c r="G859" i="9"/>
  <c r="D859" i="9"/>
  <c r="K858" i="9"/>
  <c r="J858" i="9"/>
  <c r="G858" i="9"/>
  <c r="D858" i="9"/>
  <c r="K857" i="9"/>
  <c r="J857" i="9"/>
  <c r="G857" i="9"/>
  <c r="D857" i="9"/>
  <c r="K856" i="9"/>
  <c r="J856" i="9"/>
  <c r="G856" i="9"/>
  <c r="D856" i="9"/>
  <c r="K855" i="9"/>
  <c r="J855" i="9"/>
  <c r="G855" i="9"/>
  <c r="D855" i="9"/>
  <c r="K854" i="9"/>
  <c r="J854" i="9"/>
  <c r="G854" i="9"/>
  <c r="D854" i="9"/>
  <c r="K853" i="9"/>
  <c r="J853" i="9"/>
  <c r="G853" i="9"/>
  <c r="D853" i="9"/>
  <c r="K852" i="9"/>
  <c r="J852" i="9"/>
  <c r="G852" i="9"/>
  <c r="D852" i="9"/>
  <c r="K851" i="9"/>
  <c r="J851" i="9"/>
  <c r="G851" i="9"/>
  <c r="D851" i="9"/>
  <c r="K850" i="9"/>
  <c r="J850" i="9"/>
  <c r="G850" i="9"/>
  <c r="D850" i="9"/>
  <c r="K849" i="9"/>
  <c r="J849" i="9"/>
  <c r="G849" i="9"/>
  <c r="D849" i="9"/>
  <c r="K848" i="9"/>
  <c r="J848" i="9"/>
  <c r="G848" i="9"/>
  <c r="D848" i="9"/>
  <c r="K847" i="9"/>
  <c r="J847" i="9"/>
  <c r="G847" i="9"/>
  <c r="D847" i="9"/>
  <c r="K846" i="9"/>
  <c r="J846" i="9"/>
  <c r="G846" i="9"/>
  <c r="D846" i="9"/>
  <c r="K845" i="9"/>
  <c r="J845" i="9"/>
  <c r="G845" i="9"/>
  <c r="D845" i="9"/>
  <c r="K844" i="9"/>
  <c r="J844" i="9"/>
  <c r="G844" i="9"/>
  <c r="D844" i="9"/>
  <c r="K843" i="9"/>
  <c r="J843" i="9"/>
  <c r="G843" i="9"/>
  <c r="D843" i="9"/>
  <c r="K842" i="9"/>
  <c r="J842" i="9"/>
  <c r="G842" i="9"/>
  <c r="D842" i="9"/>
  <c r="K841" i="9"/>
  <c r="J841" i="9"/>
  <c r="G841" i="9"/>
  <c r="D841" i="9"/>
  <c r="K840" i="9"/>
  <c r="J840" i="9"/>
  <c r="G840" i="9"/>
  <c r="D840" i="9"/>
  <c r="K839" i="9"/>
  <c r="J839" i="9"/>
  <c r="G839" i="9"/>
  <c r="D839" i="9"/>
  <c r="K838" i="9"/>
  <c r="J838" i="9"/>
  <c r="G838" i="9"/>
  <c r="D838" i="9"/>
  <c r="K837" i="9"/>
  <c r="J837" i="9"/>
  <c r="G837" i="9"/>
  <c r="D837" i="9"/>
  <c r="K836" i="9"/>
  <c r="J836" i="9"/>
  <c r="G836" i="9"/>
  <c r="D836" i="9"/>
  <c r="K835" i="9"/>
  <c r="J835" i="9"/>
  <c r="G835" i="9"/>
  <c r="D835" i="9"/>
  <c r="K834" i="9"/>
  <c r="J834" i="9"/>
  <c r="G834" i="9"/>
  <c r="D834" i="9"/>
  <c r="K833" i="9"/>
  <c r="J833" i="9"/>
  <c r="G833" i="9"/>
  <c r="D833" i="9"/>
  <c r="K832" i="9"/>
  <c r="J832" i="9"/>
  <c r="G832" i="9"/>
  <c r="D832" i="9"/>
  <c r="K831" i="9"/>
  <c r="J831" i="9"/>
  <c r="G831" i="9"/>
  <c r="D831" i="9"/>
  <c r="K830" i="9"/>
  <c r="J830" i="9"/>
  <c r="G830" i="9"/>
  <c r="D830" i="9"/>
  <c r="K829" i="9"/>
  <c r="J829" i="9"/>
  <c r="G829" i="9"/>
  <c r="D829" i="9"/>
  <c r="K828" i="9"/>
  <c r="J828" i="9"/>
  <c r="G828" i="9"/>
  <c r="D828" i="9"/>
  <c r="K827" i="9"/>
  <c r="J827" i="9"/>
  <c r="G827" i="9"/>
  <c r="D827" i="9"/>
  <c r="K826" i="9"/>
  <c r="J826" i="9"/>
  <c r="G826" i="9"/>
  <c r="D826" i="9"/>
  <c r="K825" i="9"/>
  <c r="J825" i="9"/>
  <c r="G825" i="9"/>
  <c r="D825" i="9"/>
  <c r="K824" i="9"/>
  <c r="J824" i="9"/>
  <c r="G824" i="9"/>
  <c r="D824" i="9"/>
  <c r="K823" i="9"/>
  <c r="J823" i="9"/>
  <c r="G823" i="9"/>
  <c r="D823" i="9"/>
  <c r="K822" i="9"/>
  <c r="J822" i="9"/>
  <c r="G822" i="9"/>
  <c r="D822" i="9"/>
  <c r="K821" i="9"/>
  <c r="J821" i="9"/>
  <c r="G821" i="9"/>
  <c r="D821" i="9"/>
  <c r="K820" i="9"/>
  <c r="J820" i="9"/>
  <c r="G820" i="9"/>
  <c r="D820" i="9"/>
  <c r="K819" i="9"/>
  <c r="J819" i="9"/>
  <c r="G819" i="9"/>
  <c r="D819" i="9"/>
  <c r="K818" i="9"/>
  <c r="J818" i="9"/>
  <c r="G818" i="9"/>
  <c r="D818" i="9"/>
  <c r="K817" i="9"/>
  <c r="J817" i="9"/>
  <c r="G817" i="9"/>
  <c r="D817" i="9"/>
  <c r="K816" i="9"/>
  <c r="J816" i="9"/>
  <c r="G816" i="9"/>
  <c r="D816" i="9"/>
  <c r="K815" i="9"/>
  <c r="J815" i="9"/>
  <c r="G815" i="9"/>
  <c r="D815" i="9"/>
  <c r="K814" i="9"/>
  <c r="J814" i="9"/>
  <c r="G814" i="9"/>
  <c r="D814" i="9"/>
  <c r="K813" i="9"/>
  <c r="J813" i="9"/>
  <c r="G813" i="9"/>
  <c r="D813" i="9"/>
  <c r="K812" i="9"/>
  <c r="J812" i="9"/>
  <c r="G812" i="9"/>
  <c r="D812" i="9"/>
  <c r="K811" i="9"/>
  <c r="J811" i="9"/>
  <c r="G811" i="9"/>
  <c r="D811" i="9"/>
  <c r="K810" i="9"/>
  <c r="J810" i="9"/>
  <c r="G810" i="9"/>
  <c r="D810" i="9"/>
  <c r="K809" i="9"/>
  <c r="J809" i="9"/>
  <c r="G809" i="9"/>
  <c r="D809" i="9"/>
  <c r="K808" i="9"/>
  <c r="J808" i="9"/>
  <c r="G808" i="9"/>
  <c r="D808" i="9"/>
  <c r="K807" i="9"/>
  <c r="J807" i="9"/>
  <c r="G807" i="9"/>
  <c r="D807" i="9"/>
  <c r="K806" i="9"/>
  <c r="J806" i="9"/>
  <c r="G806" i="9"/>
  <c r="D806" i="9"/>
  <c r="K805" i="9"/>
  <c r="J805" i="9"/>
  <c r="G805" i="9"/>
  <c r="D805" i="9"/>
  <c r="K804" i="9"/>
  <c r="J804" i="9"/>
  <c r="G804" i="9"/>
  <c r="D804" i="9"/>
  <c r="K803" i="9"/>
  <c r="J803" i="9"/>
  <c r="G803" i="9"/>
  <c r="D803" i="9"/>
  <c r="K802" i="9"/>
  <c r="J802" i="9"/>
  <c r="G802" i="9"/>
  <c r="D802" i="9"/>
  <c r="K801" i="9"/>
  <c r="J801" i="9"/>
  <c r="G801" i="9"/>
  <c r="D801" i="9"/>
  <c r="K800" i="9"/>
  <c r="J800" i="9"/>
  <c r="G800" i="9"/>
  <c r="D800" i="9"/>
  <c r="K799" i="9"/>
  <c r="J799" i="9"/>
  <c r="G799" i="9"/>
  <c r="D799" i="9"/>
  <c r="K798" i="9"/>
  <c r="J798" i="9"/>
  <c r="G798" i="9"/>
  <c r="D798" i="9"/>
  <c r="K797" i="9"/>
  <c r="J797" i="9"/>
  <c r="G797" i="9"/>
  <c r="D797" i="9"/>
  <c r="K796" i="9"/>
  <c r="J796" i="9"/>
  <c r="G796" i="9"/>
  <c r="D796" i="9"/>
  <c r="K795" i="9"/>
  <c r="J795" i="9"/>
  <c r="G795" i="9"/>
  <c r="D795" i="9"/>
  <c r="K794" i="9"/>
  <c r="J794" i="9"/>
  <c r="G794" i="9"/>
  <c r="D794" i="9"/>
  <c r="K793" i="9"/>
  <c r="J793" i="9"/>
  <c r="G793" i="9"/>
  <c r="D793" i="9"/>
  <c r="K792" i="9"/>
  <c r="J792" i="9"/>
  <c r="G792" i="9"/>
  <c r="D792" i="9"/>
  <c r="K791" i="9"/>
  <c r="J791" i="9"/>
  <c r="G791" i="9"/>
  <c r="D791" i="9"/>
  <c r="K790" i="9"/>
  <c r="J790" i="9"/>
  <c r="G790" i="9"/>
  <c r="D790" i="9"/>
  <c r="K789" i="9"/>
  <c r="J789" i="9"/>
  <c r="G789" i="9"/>
  <c r="D789" i="9"/>
  <c r="K788" i="9"/>
  <c r="J788" i="9"/>
  <c r="G788" i="9"/>
  <c r="D788" i="9"/>
  <c r="K787" i="9"/>
  <c r="J787" i="9"/>
  <c r="G787" i="9"/>
  <c r="D787" i="9"/>
  <c r="K786" i="9"/>
  <c r="J786" i="9"/>
  <c r="G786" i="9"/>
  <c r="D786" i="9"/>
  <c r="K785" i="9"/>
  <c r="J785" i="9"/>
  <c r="G785" i="9"/>
  <c r="D785" i="9"/>
  <c r="K784" i="9"/>
  <c r="J784" i="9"/>
  <c r="G784" i="9"/>
  <c r="D784" i="9"/>
  <c r="K783" i="9"/>
  <c r="J783" i="9"/>
  <c r="G783" i="9"/>
  <c r="D783" i="9"/>
  <c r="K782" i="9"/>
  <c r="J782" i="9"/>
  <c r="G782" i="9"/>
  <c r="D782" i="9"/>
  <c r="K781" i="9"/>
  <c r="J781" i="9"/>
  <c r="G781" i="9"/>
  <c r="D781" i="9"/>
  <c r="K780" i="9"/>
  <c r="J780" i="9"/>
  <c r="G780" i="9"/>
  <c r="D780" i="9"/>
  <c r="K779" i="9"/>
  <c r="J779" i="9"/>
  <c r="G779" i="9"/>
  <c r="D779" i="9"/>
  <c r="K778" i="9"/>
  <c r="J778" i="9"/>
  <c r="G778" i="9"/>
  <c r="D778" i="9"/>
  <c r="K777" i="9"/>
  <c r="J777" i="9"/>
  <c r="G777" i="9"/>
  <c r="D777" i="9"/>
  <c r="K776" i="9"/>
  <c r="G776" i="9"/>
  <c r="D776" i="9"/>
  <c r="K775" i="9"/>
  <c r="G775" i="9"/>
  <c r="D775" i="9"/>
  <c r="K774" i="9"/>
  <c r="G774" i="9"/>
  <c r="D774" i="9"/>
  <c r="K773" i="9"/>
  <c r="G773" i="9"/>
  <c r="D773" i="9"/>
  <c r="K772" i="9"/>
  <c r="G772" i="9"/>
  <c r="D772" i="9"/>
  <c r="K771" i="9"/>
  <c r="G771" i="9"/>
  <c r="D771" i="9"/>
  <c r="K770" i="9"/>
  <c r="G770" i="9"/>
  <c r="D770" i="9"/>
  <c r="K769" i="9"/>
  <c r="G769" i="9"/>
  <c r="D769" i="9"/>
  <c r="K768" i="9"/>
  <c r="G768" i="9"/>
  <c r="D768" i="9"/>
  <c r="K767" i="9"/>
  <c r="G767" i="9"/>
  <c r="D767" i="9"/>
  <c r="K766" i="9"/>
  <c r="G766" i="9"/>
  <c r="D766" i="9"/>
  <c r="K765" i="9"/>
  <c r="G765" i="9"/>
  <c r="D765" i="9"/>
  <c r="K764" i="9"/>
  <c r="G764" i="9"/>
  <c r="D764" i="9"/>
  <c r="K763" i="9"/>
  <c r="G763" i="9"/>
  <c r="D763" i="9"/>
  <c r="K762" i="9"/>
  <c r="G762" i="9"/>
  <c r="D762" i="9"/>
  <c r="K761" i="9"/>
  <c r="G761" i="9"/>
  <c r="D761" i="9"/>
  <c r="K760" i="9"/>
  <c r="G760" i="9"/>
  <c r="D760" i="9"/>
  <c r="K759" i="9"/>
  <c r="G759" i="9"/>
  <c r="D759" i="9"/>
  <c r="K758" i="9"/>
  <c r="G758" i="9"/>
  <c r="D758" i="9"/>
  <c r="K757" i="9"/>
  <c r="G757" i="9"/>
  <c r="D757" i="9"/>
  <c r="K756" i="9"/>
  <c r="G756" i="9"/>
  <c r="D756" i="9"/>
  <c r="K755" i="9"/>
  <c r="G755" i="9"/>
  <c r="D755" i="9"/>
  <c r="K754" i="9"/>
  <c r="G754" i="9"/>
  <c r="D754" i="9"/>
  <c r="K753" i="9"/>
  <c r="G753" i="9"/>
  <c r="D753" i="9"/>
  <c r="K752" i="9"/>
  <c r="G752" i="9"/>
  <c r="D752" i="9"/>
  <c r="K751" i="9"/>
  <c r="G751" i="9"/>
  <c r="D751" i="9"/>
  <c r="K750" i="9"/>
  <c r="G750" i="9"/>
  <c r="D750" i="9"/>
  <c r="K749" i="9"/>
  <c r="G749" i="9"/>
  <c r="D749" i="9"/>
  <c r="K748" i="9"/>
  <c r="G748" i="9"/>
  <c r="D748" i="9"/>
  <c r="K747" i="9"/>
  <c r="G747" i="9"/>
  <c r="D747" i="9"/>
  <c r="K746" i="9"/>
  <c r="G746" i="9"/>
  <c r="D746" i="9"/>
  <c r="K745" i="9"/>
  <c r="G745" i="9"/>
  <c r="D745" i="9"/>
  <c r="K744" i="9"/>
  <c r="G744" i="9"/>
  <c r="D744" i="9"/>
  <c r="K743" i="9"/>
  <c r="G743" i="9"/>
  <c r="D743" i="9"/>
  <c r="K742" i="9"/>
  <c r="G742" i="9"/>
  <c r="D742" i="9"/>
  <c r="K741" i="9"/>
  <c r="G741" i="9"/>
  <c r="D741" i="9"/>
  <c r="K740" i="9"/>
  <c r="G740" i="9"/>
  <c r="D740" i="9"/>
  <c r="K739" i="9"/>
  <c r="G739" i="9"/>
  <c r="D739" i="9"/>
  <c r="K738" i="9"/>
  <c r="G738" i="9"/>
  <c r="D738" i="9"/>
  <c r="K737" i="9"/>
  <c r="G737" i="9"/>
  <c r="D737" i="9"/>
  <c r="K736" i="9"/>
  <c r="G736" i="9"/>
  <c r="D736" i="9"/>
  <c r="K735" i="9"/>
  <c r="G735" i="9"/>
  <c r="D735" i="9"/>
  <c r="K734" i="9"/>
  <c r="G734" i="9"/>
  <c r="D734" i="9"/>
  <c r="K733" i="9"/>
  <c r="G733" i="9"/>
  <c r="D733" i="9"/>
  <c r="K732" i="9"/>
  <c r="G732" i="9"/>
  <c r="D732" i="9"/>
  <c r="K731" i="9"/>
  <c r="G731" i="9"/>
  <c r="D731" i="9"/>
  <c r="K730" i="9"/>
  <c r="G730" i="9"/>
  <c r="D730" i="9"/>
  <c r="K729" i="9"/>
  <c r="G729" i="9"/>
  <c r="D729" i="9"/>
  <c r="K728" i="9"/>
  <c r="G728" i="9"/>
  <c r="D728" i="9"/>
  <c r="K727" i="9"/>
  <c r="G727" i="9"/>
  <c r="D727" i="9"/>
  <c r="K726" i="9"/>
  <c r="G726" i="9"/>
  <c r="D726" i="9"/>
  <c r="K725" i="9"/>
  <c r="G725" i="9"/>
  <c r="D725" i="9"/>
  <c r="K724" i="9"/>
  <c r="G724" i="9"/>
  <c r="D724" i="9"/>
  <c r="K723" i="9"/>
  <c r="G723" i="9"/>
  <c r="D723" i="9"/>
  <c r="K722" i="9"/>
  <c r="G722" i="9"/>
  <c r="D722" i="9"/>
  <c r="K721" i="9"/>
  <c r="G721" i="9"/>
  <c r="D721" i="9"/>
  <c r="K720" i="9"/>
  <c r="G720" i="9"/>
  <c r="D720" i="9"/>
  <c r="K719" i="9"/>
  <c r="G719" i="9"/>
  <c r="D719" i="9"/>
  <c r="K718" i="9"/>
  <c r="G718" i="9"/>
  <c r="D718" i="9"/>
  <c r="K717" i="9"/>
  <c r="G717" i="9"/>
  <c r="D717" i="9"/>
  <c r="K716" i="9"/>
  <c r="G716" i="9"/>
  <c r="D716" i="9"/>
  <c r="K715" i="9"/>
  <c r="G715" i="9"/>
  <c r="D715" i="9"/>
  <c r="K714" i="9"/>
  <c r="G714" i="9"/>
  <c r="D714" i="9"/>
  <c r="K713" i="9"/>
  <c r="G713" i="9"/>
  <c r="D713" i="9"/>
  <c r="K712" i="9"/>
  <c r="G712" i="9"/>
  <c r="D712" i="9"/>
  <c r="K711" i="9"/>
  <c r="G711" i="9"/>
  <c r="D711" i="9"/>
  <c r="K710" i="9"/>
  <c r="G710" i="9"/>
  <c r="D710" i="9"/>
  <c r="K709" i="9"/>
  <c r="G709" i="9"/>
  <c r="D709" i="9"/>
  <c r="K708" i="9"/>
  <c r="G708" i="9"/>
  <c r="D708" i="9"/>
  <c r="K707" i="9"/>
  <c r="G707" i="9"/>
  <c r="D707" i="9"/>
  <c r="K706" i="9"/>
  <c r="G706" i="9"/>
  <c r="D706" i="9"/>
  <c r="K705" i="9"/>
  <c r="G705" i="9"/>
  <c r="D705" i="9"/>
  <c r="K704" i="9"/>
  <c r="G704" i="9"/>
  <c r="D704" i="9"/>
  <c r="K703" i="9"/>
  <c r="G703" i="9"/>
  <c r="D703" i="9"/>
  <c r="K702" i="9"/>
  <c r="G702" i="9"/>
  <c r="D702" i="9"/>
  <c r="K701" i="9"/>
  <c r="G701" i="9"/>
  <c r="D701" i="9"/>
  <c r="K700" i="9"/>
  <c r="G700" i="9"/>
  <c r="D700" i="9"/>
  <c r="K699" i="9"/>
  <c r="G699" i="9"/>
  <c r="D699" i="9"/>
  <c r="K698" i="9"/>
  <c r="G698" i="9"/>
  <c r="D698" i="9"/>
  <c r="K697" i="9"/>
  <c r="G697" i="9"/>
  <c r="D697" i="9"/>
  <c r="K696" i="9"/>
  <c r="G696" i="9"/>
  <c r="D696" i="9"/>
  <c r="K695" i="9"/>
  <c r="G695" i="9"/>
  <c r="D695" i="9"/>
  <c r="K694" i="9"/>
  <c r="G694" i="9"/>
  <c r="D694" i="9"/>
  <c r="K693" i="9"/>
  <c r="G693" i="9"/>
  <c r="D693" i="9"/>
  <c r="K692" i="9"/>
  <c r="G692" i="9"/>
  <c r="D692" i="9"/>
  <c r="K691" i="9"/>
  <c r="G691" i="9"/>
  <c r="D691" i="9"/>
  <c r="K690" i="9"/>
  <c r="G690" i="9"/>
  <c r="D690" i="9"/>
  <c r="K689" i="9"/>
  <c r="G689" i="9"/>
  <c r="D689" i="9"/>
  <c r="K688" i="9"/>
  <c r="G688" i="9"/>
  <c r="D688" i="9"/>
  <c r="K687" i="9"/>
  <c r="G687" i="9"/>
  <c r="D687" i="9"/>
  <c r="K686" i="9"/>
  <c r="G686" i="9"/>
  <c r="D686" i="9"/>
  <c r="K685" i="9"/>
  <c r="G685" i="9"/>
  <c r="D685" i="9"/>
  <c r="K684" i="9"/>
  <c r="G684" i="9"/>
  <c r="D684" i="9"/>
  <c r="K683" i="9"/>
  <c r="G683" i="9"/>
  <c r="D683" i="9"/>
  <c r="K682" i="9"/>
  <c r="G682" i="9"/>
  <c r="D682" i="9"/>
  <c r="K681" i="9"/>
  <c r="G681" i="9"/>
  <c r="D681" i="9"/>
  <c r="K680" i="9"/>
  <c r="G680" i="9"/>
  <c r="D680" i="9"/>
  <c r="K679" i="9"/>
  <c r="G679" i="9"/>
  <c r="D679" i="9"/>
  <c r="K678" i="9"/>
  <c r="G678" i="9"/>
  <c r="D678" i="9"/>
  <c r="K677" i="9"/>
  <c r="G677" i="9"/>
  <c r="D677" i="9"/>
  <c r="K676" i="9"/>
  <c r="G676" i="9"/>
  <c r="D676" i="9"/>
  <c r="K675" i="9"/>
  <c r="G675" i="9"/>
  <c r="D675" i="9"/>
  <c r="K674" i="9"/>
  <c r="G674" i="9"/>
  <c r="D674" i="9"/>
  <c r="K673" i="9"/>
  <c r="G673" i="9"/>
  <c r="D673" i="9"/>
  <c r="K672" i="9"/>
  <c r="G672" i="9"/>
  <c r="D672" i="9"/>
  <c r="K671" i="9"/>
  <c r="G671" i="9"/>
  <c r="D671" i="9"/>
  <c r="K670" i="9"/>
  <c r="G670" i="9"/>
  <c r="D670" i="9"/>
  <c r="K669" i="9"/>
  <c r="G669" i="9"/>
  <c r="D669" i="9"/>
  <c r="K668" i="9"/>
  <c r="G668" i="9"/>
  <c r="D668" i="9"/>
  <c r="K667" i="9"/>
  <c r="G667" i="9"/>
  <c r="D667" i="9"/>
  <c r="K666" i="9"/>
  <c r="G666" i="9"/>
  <c r="D666" i="9"/>
  <c r="K665" i="9"/>
  <c r="G665" i="9"/>
  <c r="D665" i="9"/>
  <c r="K664" i="9"/>
  <c r="G664" i="9"/>
  <c r="D664" i="9"/>
  <c r="K663" i="9"/>
  <c r="G663" i="9"/>
  <c r="D663" i="9"/>
  <c r="K662" i="9"/>
  <c r="G662" i="9"/>
  <c r="D662" i="9"/>
  <c r="K661" i="9"/>
  <c r="G661" i="9"/>
  <c r="D661" i="9"/>
  <c r="K660" i="9"/>
  <c r="G660" i="9"/>
  <c r="D660" i="9"/>
  <c r="K659" i="9"/>
  <c r="G659" i="9"/>
  <c r="D659" i="9"/>
  <c r="K658" i="9"/>
  <c r="G658" i="9"/>
  <c r="D658" i="9"/>
  <c r="K657" i="9"/>
  <c r="G657" i="9"/>
  <c r="D657" i="9"/>
  <c r="K656" i="9"/>
  <c r="G656" i="9"/>
  <c r="D656" i="9"/>
  <c r="K655" i="9"/>
  <c r="G655" i="9"/>
  <c r="D655" i="9"/>
  <c r="K654" i="9"/>
  <c r="G654" i="9"/>
  <c r="D654" i="9"/>
  <c r="K653" i="9"/>
  <c r="G653" i="9"/>
  <c r="D653" i="9"/>
  <c r="K652" i="9"/>
  <c r="G652" i="9"/>
  <c r="D652" i="9"/>
  <c r="K651" i="9"/>
  <c r="G651" i="9"/>
  <c r="D651" i="9"/>
  <c r="K650" i="9"/>
  <c r="G650" i="9"/>
  <c r="D650" i="9"/>
  <c r="K649" i="9"/>
  <c r="G649" i="9"/>
  <c r="D649" i="9"/>
  <c r="K648" i="9"/>
  <c r="G648" i="9"/>
  <c r="D648" i="9"/>
  <c r="K647" i="9"/>
  <c r="G647" i="9"/>
  <c r="D647" i="9"/>
  <c r="K646" i="9"/>
  <c r="G646" i="9"/>
  <c r="D646" i="9"/>
  <c r="K645" i="9"/>
  <c r="G645" i="9"/>
  <c r="D645" i="9"/>
  <c r="K644" i="9"/>
  <c r="G644" i="9"/>
  <c r="D644" i="9"/>
  <c r="K643" i="9"/>
  <c r="G643" i="9"/>
  <c r="D643" i="9"/>
  <c r="K642" i="9"/>
  <c r="G642" i="9"/>
  <c r="D642" i="9"/>
  <c r="K641" i="9"/>
  <c r="G641" i="9"/>
  <c r="D641" i="9"/>
  <c r="K640" i="9"/>
  <c r="G640" i="9"/>
  <c r="D640" i="9"/>
  <c r="K639" i="9"/>
  <c r="G639" i="9"/>
  <c r="D639" i="9"/>
  <c r="K638" i="9"/>
  <c r="G638" i="9"/>
  <c r="D638" i="9"/>
  <c r="K637" i="9"/>
  <c r="G637" i="9"/>
  <c r="D637" i="9"/>
  <c r="K636" i="9"/>
  <c r="G636" i="9"/>
  <c r="D636" i="9"/>
  <c r="K635" i="9"/>
  <c r="G635" i="9"/>
  <c r="D635" i="9"/>
  <c r="K634" i="9"/>
  <c r="G634" i="9"/>
  <c r="D634" i="9"/>
  <c r="K633" i="9"/>
  <c r="G633" i="9"/>
  <c r="D633" i="9"/>
  <c r="K632" i="9"/>
  <c r="G632" i="9"/>
  <c r="D632" i="9"/>
  <c r="K631" i="9"/>
  <c r="G631" i="9"/>
  <c r="D631" i="9"/>
  <c r="K630" i="9"/>
  <c r="G630" i="9"/>
  <c r="D630" i="9"/>
  <c r="K629" i="9"/>
  <c r="G629" i="9"/>
  <c r="D629" i="9"/>
  <c r="K628" i="9"/>
  <c r="G628" i="9"/>
  <c r="D628" i="9"/>
  <c r="K627" i="9"/>
  <c r="G627" i="9"/>
  <c r="D627" i="9"/>
  <c r="K626" i="9"/>
  <c r="G626" i="9"/>
  <c r="D626" i="9"/>
  <c r="K625" i="9"/>
  <c r="G625" i="9"/>
  <c r="D625" i="9"/>
  <c r="K624" i="9"/>
  <c r="G624" i="9"/>
  <c r="D624" i="9"/>
  <c r="K623" i="9"/>
  <c r="G623" i="9"/>
  <c r="D623" i="9"/>
  <c r="K622" i="9"/>
  <c r="G622" i="9"/>
  <c r="D622" i="9"/>
  <c r="K621" i="9"/>
  <c r="G621" i="9"/>
  <c r="D621" i="9"/>
  <c r="K620" i="9"/>
  <c r="G620" i="9"/>
  <c r="D620" i="9"/>
  <c r="K619" i="9"/>
  <c r="G619" i="9"/>
  <c r="D619" i="9"/>
  <c r="K618" i="9"/>
  <c r="G618" i="9"/>
  <c r="D618" i="9"/>
  <c r="K617" i="9"/>
  <c r="G617" i="9"/>
  <c r="D617" i="9"/>
  <c r="K616" i="9"/>
  <c r="G616" i="9"/>
  <c r="D616" i="9"/>
  <c r="K615" i="9"/>
  <c r="G615" i="9"/>
  <c r="D615" i="9"/>
  <c r="K614" i="9"/>
  <c r="G614" i="9"/>
  <c r="D614" i="9"/>
  <c r="K613" i="9"/>
  <c r="G613" i="9"/>
  <c r="D613" i="9"/>
  <c r="K612" i="9"/>
  <c r="G612" i="9"/>
  <c r="D612" i="9"/>
  <c r="K611" i="9"/>
  <c r="G611" i="9"/>
  <c r="D611" i="9"/>
  <c r="K610" i="9"/>
  <c r="G610" i="9"/>
  <c r="D610" i="9"/>
  <c r="K609" i="9"/>
  <c r="G609" i="9"/>
  <c r="D609" i="9"/>
  <c r="K608" i="9"/>
  <c r="G608" i="9"/>
  <c r="D608" i="9"/>
  <c r="K607" i="9"/>
  <c r="G607" i="9"/>
  <c r="D607" i="9"/>
  <c r="K606" i="9"/>
  <c r="G606" i="9"/>
  <c r="D606" i="9"/>
  <c r="K605" i="9"/>
  <c r="G605" i="9"/>
  <c r="D605" i="9"/>
  <c r="K604" i="9"/>
  <c r="G604" i="9"/>
  <c r="D604" i="9"/>
  <c r="K603" i="9"/>
  <c r="G603" i="9"/>
  <c r="D603" i="9"/>
  <c r="K602" i="9"/>
  <c r="G602" i="9"/>
  <c r="D602" i="9"/>
  <c r="K601" i="9"/>
  <c r="G601" i="9"/>
  <c r="D601" i="9"/>
  <c r="K600" i="9"/>
  <c r="G600" i="9"/>
  <c r="D600" i="9"/>
  <c r="K599" i="9"/>
  <c r="G599" i="9"/>
  <c r="D599" i="9"/>
  <c r="K598" i="9"/>
  <c r="G598" i="9"/>
  <c r="D598" i="9"/>
  <c r="K597" i="9"/>
  <c r="G597" i="9"/>
  <c r="D597" i="9"/>
  <c r="K596" i="9"/>
  <c r="G596" i="9"/>
  <c r="D596" i="9"/>
  <c r="K595" i="9"/>
  <c r="G595" i="9"/>
  <c r="D595" i="9"/>
  <c r="K594" i="9"/>
  <c r="G594" i="9"/>
  <c r="D594" i="9"/>
  <c r="K593" i="9"/>
  <c r="G593" i="9"/>
  <c r="D593" i="9"/>
  <c r="K592" i="9"/>
  <c r="G592" i="9"/>
  <c r="D592" i="9"/>
  <c r="K591" i="9"/>
  <c r="G591" i="9"/>
  <c r="D591" i="9"/>
  <c r="K590" i="9"/>
  <c r="G590" i="9"/>
  <c r="D590" i="9"/>
  <c r="K589" i="9"/>
  <c r="G589" i="9"/>
  <c r="D589" i="9"/>
  <c r="K588" i="9"/>
  <c r="G588" i="9"/>
  <c r="D588" i="9"/>
  <c r="K587" i="9"/>
  <c r="G587" i="9"/>
  <c r="D587" i="9"/>
  <c r="K586" i="9"/>
  <c r="G586" i="9"/>
  <c r="D586" i="9"/>
  <c r="K585" i="9"/>
  <c r="G585" i="9"/>
  <c r="D585" i="9"/>
  <c r="K584" i="9"/>
  <c r="G584" i="9"/>
  <c r="D584" i="9"/>
  <c r="K583" i="9"/>
  <c r="G583" i="9"/>
  <c r="D583" i="9"/>
  <c r="K582" i="9"/>
  <c r="G582" i="9"/>
  <c r="D582" i="9"/>
  <c r="K581" i="9"/>
  <c r="G581" i="9"/>
  <c r="D581" i="9"/>
  <c r="K580" i="9"/>
  <c r="G580" i="9"/>
  <c r="D580" i="9"/>
  <c r="K579" i="9"/>
  <c r="G579" i="9"/>
  <c r="D579" i="9"/>
  <c r="K578" i="9"/>
  <c r="G578" i="9"/>
  <c r="D578" i="9"/>
  <c r="K577" i="9"/>
  <c r="G577" i="9"/>
  <c r="D577" i="9"/>
  <c r="K576" i="9"/>
  <c r="G576" i="9"/>
  <c r="D576" i="9"/>
  <c r="K575" i="9"/>
  <c r="G575" i="9"/>
  <c r="D575" i="9"/>
  <c r="K574" i="9"/>
  <c r="G574" i="9"/>
  <c r="D574" i="9"/>
  <c r="K573" i="9"/>
  <c r="G573" i="9"/>
  <c r="D573" i="9"/>
  <c r="K572" i="9"/>
  <c r="G572" i="9"/>
  <c r="D572" i="9"/>
  <c r="K571" i="9"/>
  <c r="G571" i="9"/>
  <c r="D571" i="9"/>
  <c r="K570" i="9"/>
  <c r="G570" i="9"/>
  <c r="D570" i="9"/>
  <c r="K569" i="9"/>
  <c r="G569" i="9"/>
  <c r="D569" i="9"/>
  <c r="K568" i="9"/>
  <c r="G568" i="9"/>
  <c r="D568" i="9"/>
  <c r="K567" i="9"/>
  <c r="G567" i="9"/>
  <c r="D567" i="9"/>
  <c r="K566" i="9"/>
  <c r="G566" i="9"/>
  <c r="D566" i="9"/>
  <c r="K565" i="9"/>
  <c r="G565" i="9"/>
  <c r="D565" i="9"/>
  <c r="K564" i="9"/>
  <c r="G564" i="9"/>
  <c r="D564" i="9"/>
  <c r="K563" i="9"/>
  <c r="G563" i="9"/>
  <c r="D563" i="9"/>
  <c r="K562" i="9"/>
  <c r="G562" i="9"/>
  <c r="D562" i="9"/>
  <c r="K561" i="9"/>
  <c r="G561" i="9"/>
  <c r="D561" i="9"/>
  <c r="K560" i="9"/>
  <c r="G560" i="9"/>
  <c r="D560" i="9"/>
  <c r="K559" i="9"/>
  <c r="G559" i="9"/>
  <c r="D559" i="9"/>
  <c r="K558" i="9"/>
  <c r="G558" i="9"/>
  <c r="D558" i="9"/>
  <c r="K557" i="9"/>
  <c r="G557" i="9"/>
  <c r="D557" i="9"/>
  <c r="K556" i="9"/>
  <c r="G556" i="9"/>
  <c r="D556" i="9"/>
  <c r="K555" i="9"/>
  <c r="G555" i="9"/>
  <c r="D555" i="9"/>
  <c r="K554" i="9"/>
  <c r="G554" i="9"/>
  <c r="D554" i="9"/>
  <c r="K553" i="9"/>
  <c r="G553" i="9"/>
  <c r="D553" i="9"/>
  <c r="K552" i="9"/>
  <c r="G552" i="9"/>
  <c r="D552" i="9"/>
  <c r="K551" i="9"/>
  <c r="G551" i="9"/>
  <c r="D551" i="9"/>
  <c r="K550" i="9"/>
  <c r="G550" i="9"/>
  <c r="D550" i="9"/>
  <c r="K549" i="9"/>
  <c r="G549" i="9"/>
  <c r="D549" i="9"/>
  <c r="K548" i="9"/>
  <c r="G548" i="9"/>
  <c r="D548" i="9"/>
  <c r="K547" i="9"/>
  <c r="G547" i="9"/>
  <c r="D547" i="9"/>
  <c r="K546" i="9"/>
  <c r="G546" i="9"/>
  <c r="D546" i="9"/>
  <c r="K545" i="9"/>
  <c r="G545" i="9"/>
  <c r="D545" i="9"/>
  <c r="K544" i="9"/>
  <c r="G544" i="9"/>
  <c r="D544" i="9"/>
  <c r="K543" i="9"/>
  <c r="G543" i="9"/>
  <c r="D543" i="9"/>
  <c r="K542" i="9"/>
  <c r="G542" i="9"/>
  <c r="D542" i="9"/>
  <c r="K541" i="9"/>
  <c r="G541" i="9"/>
  <c r="D541" i="9"/>
  <c r="K540" i="9"/>
  <c r="G540" i="9"/>
  <c r="D540" i="9"/>
  <c r="K539" i="9"/>
  <c r="G539" i="9"/>
  <c r="D539" i="9"/>
  <c r="K538" i="9"/>
  <c r="G538" i="9"/>
  <c r="D538" i="9"/>
  <c r="K537" i="9"/>
  <c r="G537" i="9"/>
  <c r="D537" i="9"/>
  <c r="K536" i="9"/>
  <c r="G536" i="9"/>
  <c r="D536" i="9"/>
  <c r="K535" i="9"/>
  <c r="G535" i="9"/>
  <c r="D535" i="9"/>
  <c r="K534" i="9"/>
  <c r="G534" i="9"/>
  <c r="D534" i="9"/>
  <c r="K533" i="9"/>
  <c r="G533" i="9"/>
  <c r="D533" i="9"/>
  <c r="K532" i="9"/>
  <c r="G532" i="9"/>
  <c r="D532" i="9"/>
  <c r="K531" i="9"/>
  <c r="G531" i="9"/>
  <c r="D531" i="9"/>
  <c r="K530" i="9"/>
  <c r="G530" i="9"/>
  <c r="D530" i="9"/>
  <c r="K529" i="9"/>
  <c r="G529" i="9"/>
  <c r="D529" i="9"/>
  <c r="K528" i="9"/>
  <c r="G528" i="9"/>
  <c r="D528" i="9"/>
  <c r="K527" i="9"/>
  <c r="G527" i="9"/>
  <c r="D527" i="9"/>
  <c r="K526" i="9"/>
  <c r="G526" i="9"/>
  <c r="D526" i="9"/>
  <c r="K525" i="9"/>
  <c r="G525" i="9"/>
  <c r="D525" i="9"/>
  <c r="K524" i="9"/>
  <c r="G524" i="9"/>
  <c r="D524" i="9"/>
  <c r="K523" i="9"/>
  <c r="G523" i="9"/>
  <c r="D523" i="9"/>
  <c r="K522" i="9"/>
  <c r="G522" i="9"/>
  <c r="D522" i="9"/>
  <c r="K521" i="9"/>
  <c r="G521" i="9"/>
  <c r="D521" i="9"/>
  <c r="K520" i="9"/>
  <c r="G520" i="9"/>
  <c r="D520" i="9"/>
  <c r="K519" i="9"/>
  <c r="G519" i="9"/>
  <c r="D519" i="9"/>
  <c r="K518" i="9"/>
  <c r="G518" i="9"/>
  <c r="D518" i="9"/>
  <c r="K517" i="9"/>
  <c r="G517" i="9"/>
  <c r="D517" i="9"/>
  <c r="K516" i="9"/>
  <c r="G516" i="9"/>
  <c r="D516" i="9"/>
  <c r="K515" i="9"/>
  <c r="G515" i="9"/>
  <c r="D515" i="9"/>
  <c r="K514" i="9"/>
  <c r="G514" i="9"/>
  <c r="D514" i="9"/>
  <c r="K513" i="9"/>
  <c r="G513" i="9"/>
  <c r="D513" i="9"/>
  <c r="K512" i="9"/>
  <c r="G512" i="9"/>
  <c r="D512" i="9"/>
  <c r="K511" i="9"/>
  <c r="G511" i="9"/>
  <c r="D511" i="9"/>
  <c r="K510" i="9"/>
  <c r="G510" i="9"/>
  <c r="D510" i="9"/>
  <c r="K509" i="9"/>
  <c r="G509" i="9"/>
  <c r="D509" i="9"/>
  <c r="K508" i="9"/>
  <c r="G508" i="9"/>
  <c r="D508" i="9"/>
  <c r="K507" i="9"/>
  <c r="G507" i="9"/>
  <c r="D507" i="9"/>
  <c r="K506" i="9"/>
  <c r="G506" i="9"/>
  <c r="D506" i="9"/>
  <c r="K505" i="9"/>
  <c r="G505" i="9"/>
  <c r="D505" i="9"/>
  <c r="K504" i="9"/>
  <c r="G504" i="9"/>
  <c r="D504" i="9"/>
  <c r="K503" i="9"/>
  <c r="G503" i="9"/>
  <c r="D503" i="9"/>
  <c r="K502" i="9"/>
  <c r="G502" i="9"/>
  <c r="D502" i="9"/>
  <c r="K501" i="9"/>
  <c r="G501" i="9"/>
  <c r="D501" i="9"/>
  <c r="K500" i="9"/>
  <c r="G500" i="9"/>
  <c r="D500" i="9"/>
  <c r="K499" i="9"/>
  <c r="G499" i="9"/>
  <c r="D499" i="9"/>
  <c r="K498" i="9"/>
  <c r="G498" i="9"/>
  <c r="D498" i="9"/>
  <c r="K497" i="9"/>
  <c r="G497" i="9"/>
  <c r="D497" i="9"/>
  <c r="K496" i="9"/>
  <c r="G496" i="9"/>
  <c r="D496" i="9"/>
  <c r="K495" i="9"/>
  <c r="G495" i="9"/>
  <c r="D495" i="9"/>
  <c r="K494" i="9"/>
  <c r="G494" i="9"/>
  <c r="D494" i="9"/>
  <c r="K493" i="9"/>
  <c r="G493" i="9"/>
  <c r="D493" i="9"/>
  <c r="K492" i="9"/>
  <c r="G492" i="9"/>
  <c r="D492" i="9"/>
  <c r="K491" i="9"/>
  <c r="G491" i="9"/>
  <c r="D491" i="9"/>
  <c r="K490" i="9"/>
  <c r="G490" i="9"/>
  <c r="D490" i="9"/>
  <c r="K489" i="9"/>
  <c r="G489" i="9"/>
  <c r="D489" i="9"/>
  <c r="K488" i="9"/>
  <c r="G488" i="9"/>
  <c r="D488" i="9"/>
  <c r="K487" i="9"/>
  <c r="G487" i="9"/>
  <c r="D487" i="9"/>
  <c r="K486" i="9"/>
  <c r="G486" i="9"/>
  <c r="D486" i="9"/>
  <c r="K485" i="9"/>
  <c r="G485" i="9"/>
  <c r="D485" i="9"/>
  <c r="K484" i="9"/>
  <c r="G484" i="9"/>
  <c r="D484" i="9"/>
  <c r="K483" i="9"/>
  <c r="G483" i="9"/>
  <c r="D483" i="9"/>
  <c r="K482" i="9"/>
  <c r="G482" i="9"/>
  <c r="D482" i="9"/>
  <c r="K481" i="9"/>
  <c r="G481" i="9"/>
  <c r="D481" i="9"/>
  <c r="K480" i="9"/>
  <c r="G480" i="9"/>
  <c r="D480" i="9"/>
  <c r="K479" i="9"/>
  <c r="G479" i="9"/>
  <c r="D479" i="9"/>
  <c r="K478" i="9"/>
  <c r="G478" i="9"/>
  <c r="D478" i="9"/>
  <c r="K477" i="9"/>
  <c r="G477" i="9"/>
  <c r="D477" i="9"/>
  <c r="K476" i="9"/>
  <c r="G476" i="9"/>
  <c r="D476" i="9"/>
  <c r="K475" i="9"/>
  <c r="G475" i="9"/>
  <c r="D475" i="9"/>
  <c r="K474" i="9"/>
  <c r="G474" i="9"/>
  <c r="D474" i="9"/>
  <c r="K473" i="9"/>
  <c r="G473" i="9"/>
  <c r="D473" i="9"/>
  <c r="K472" i="9"/>
  <c r="G472" i="9"/>
  <c r="D472" i="9"/>
  <c r="K471" i="9"/>
  <c r="G471" i="9"/>
  <c r="D471" i="9"/>
  <c r="K470" i="9"/>
  <c r="G470" i="9"/>
  <c r="D470" i="9"/>
  <c r="K469" i="9"/>
  <c r="G469" i="9"/>
  <c r="D469" i="9"/>
  <c r="K468" i="9"/>
  <c r="G468" i="9"/>
  <c r="D468" i="9"/>
  <c r="K467" i="9"/>
  <c r="G467" i="9"/>
  <c r="D467" i="9"/>
  <c r="K466" i="9"/>
  <c r="G466" i="9"/>
  <c r="D466" i="9"/>
  <c r="K465" i="9"/>
  <c r="G465" i="9"/>
  <c r="D465" i="9"/>
  <c r="K464" i="9"/>
  <c r="G464" i="9"/>
  <c r="D464" i="9"/>
  <c r="K463" i="9"/>
  <c r="G463" i="9"/>
  <c r="D463" i="9"/>
  <c r="K462" i="9"/>
  <c r="G462" i="9"/>
  <c r="D462" i="9"/>
  <c r="K461" i="9"/>
  <c r="G461" i="9"/>
  <c r="D461" i="9"/>
  <c r="K460" i="9"/>
  <c r="G460" i="9"/>
  <c r="D460" i="9"/>
  <c r="K459" i="9"/>
  <c r="G459" i="9"/>
  <c r="D459" i="9"/>
  <c r="K458" i="9"/>
  <c r="G458" i="9"/>
  <c r="D458" i="9"/>
  <c r="K457" i="9"/>
  <c r="G457" i="9"/>
  <c r="D457" i="9"/>
  <c r="K456" i="9"/>
  <c r="G456" i="9"/>
  <c r="D456" i="9"/>
  <c r="K455" i="9"/>
  <c r="G455" i="9"/>
  <c r="D455" i="9"/>
  <c r="K454" i="9"/>
  <c r="G454" i="9"/>
  <c r="D454" i="9"/>
  <c r="K453" i="9"/>
  <c r="G453" i="9"/>
  <c r="D453" i="9"/>
  <c r="K452" i="9"/>
  <c r="G452" i="9"/>
  <c r="D452" i="9"/>
  <c r="K451" i="9"/>
  <c r="G451" i="9"/>
  <c r="D451" i="9"/>
  <c r="K450" i="9"/>
  <c r="G450" i="9"/>
  <c r="D450" i="9"/>
  <c r="K449" i="9"/>
  <c r="G449" i="9"/>
  <c r="D449" i="9"/>
  <c r="K448" i="9"/>
  <c r="G448" i="9"/>
  <c r="D448" i="9"/>
  <c r="K447" i="9"/>
  <c r="G447" i="9"/>
  <c r="D447" i="9"/>
  <c r="K446" i="9"/>
  <c r="G446" i="9"/>
  <c r="D446" i="9"/>
  <c r="K445" i="9"/>
  <c r="G445" i="9"/>
  <c r="D445" i="9"/>
  <c r="K444" i="9"/>
  <c r="G444" i="9"/>
  <c r="D444" i="9"/>
  <c r="K443" i="9"/>
  <c r="G443" i="9"/>
  <c r="D443" i="9"/>
  <c r="K442" i="9"/>
  <c r="G442" i="9"/>
  <c r="D442" i="9"/>
  <c r="K441" i="9"/>
  <c r="G441" i="9"/>
  <c r="D441" i="9"/>
  <c r="K440" i="9"/>
  <c r="G440" i="9"/>
  <c r="D440" i="9"/>
  <c r="K439" i="9"/>
  <c r="G439" i="9"/>
  <c r="D439" i="9"/>
  <c r="K438" i="9"/>
  <c r="G438" i="9"/>
  <c r="D438" i="9"/>
  <c r="K437" i="9"/>
  <c r="G437" i="9"/>
  <c r="D437" i="9"/>
  <c r="K436" i="9"/>
  <c r="G436" i="9"/>
  <c r="D436" i="9"/>
  <c r="K435" i="9"/>
  <c r="G435" i="9"/>
  <c r="D435" i="9"/>
  <c r="K434" i="9"/>
  <c r="G434" i="9"/>
  <c r="D434" i="9"/>
  <c r="K433" i="9"/>
  <c r="G433" i="9"/>
  <c r="D433" i="9"/>
  <c r="K432" i="9"/>
  <c r="G432" i="9"/>
  <c r="D432" i="9"/>
  <c r="K431" i="9"/>
  <c r="G431" i="9"/>
  <c r="D431" i="9"/>
  <c r="K430" i="9"/>
  <c r="G430" i="9"/>
  <c r="D430" i="9"/>
  <c r="K429" i="9"/>
  <c r="G429" i="9"/>
  <c r="D429" i="9"/>
  <c r="K428" i="9"/>
  <c r="G428" i="9"/>
  <c r="D428" i="9"/>
  <c r="K427" i="9"/>
  <c r="G427" i="9"/>
  <c r="D427" i="9"/>
  <c r="K426" i="9"/>
  <c r="G426" i="9"/>
  <c r="D426" i="9"/>
  <c r="K425" i="9"/>
  <c r="G425" i="9"/>
  <c r="D425" i="9"/>
  <c r="K424" i="9"/>
  <c r="G424" i="9"/>
  <c r="D424" i="9"/>
  <c r="K423" i="9"/>
  <c r="G423" i="9"/>
  <c r="D423" i="9"/>
  <c r="K422" i="9"/>
  <c r="G422" i="9"/>
  <c r="D422" i="9"/>
  <c r="K421" i="9"/>
  <c r="G421" i="9"/>
  <c r="D421" i="9"/>
  <c r="K420" i="9"/>
  <c r="G420" i="9"/>
  <c r="D420" i="9"/>
  <c r="K419" i="9"/>
  <c r="G419" i="9"/>
  <c r="D419" i="9"/>
  <c r="K418" i="9"/>
  <c r="G418" i="9"/>
  <c r="D418" i="9"/>
  <c r="K417" i="9"/>
  <c r="G417" i="9"/>
  <c r="D417" i="9"/>
  <c r="K416" i="9"/>
  <c r="G416" i="9"/>
  <c r="D416" i="9"/>
  <c r="K415" i="9"/>
  <c r="G415" i="9"/>
  <c r="D415" i="9"/>
  <c r="K414" i="9"/>
  <c r="G414" i="9"/>
  <c r="D414" i="9"/>
  <c r="K413" i="9"/>
  <c r="G413" i="9"/>
  <c r="D413" i="9"/>
  <c r="K412" i="9"/>
  <c r="G412" i="9"/>
  <c r="D412" i="9"/>
  <c r="K411" i="9"/>
  <c r="G411" i="9"/>
  <c r="D411" i="9"/>
  <c r="K410" i="9"/>
  <c r="G410" i="9"/>
  <c r="D410" i="9"/>
  <c r="K409" i="9"/>
  <c r="G409" i="9"/>
  <c r="D409" i="9"/>
  <c r="K408" i="9"/>
  <c r="G408" i="9"/>
  <c r="D408" i="9"/>
  <c r="K407" i="9"/>
  <c r="G407" i="9"/>
  <c r="D407" i="9"/>
  <c r="K406" i="9"/>
  <c r="G406" i="9"/>
  <c r="D406" i="9"/>
  <c r="K405" i="9"/>
  <c r="G405" i="9"/>
  <c r="D405" i="9"/>
  <c r="K404" i="9"/>
  <c r="G404" i="9"/>
  <c r="D404" i="9"/>
  <c r="K403" i="9"/>
  <c r="G403" i="9"/>
  <c r="D403" i="9"/>
  <c r="K402" i="9"/>
  <c r="G402" i="9"/>
  <c r="D402" i="9"/>
  <c r="K401" i="9"/>
  <c r="G401" i="9"/>
  <c r="D401" i="9"/>
  <c r="K400" i="9"/>
  <c r="G400" i="9"/>
  <c r="D400" i="9"/>
  <c r="K399" i="9"/>
  <c r="G399" i="9"/>
  <c r="D399" i="9"/>
  <c r="K398" i="9"/>
  <c r="G398" i="9"/>
  <c r="D398" i="9"/>
  <c r="K397" i="9"/>
  <c r="G397" i="9"/>
  <c r="D397" i="9"/>
  <c r="K396" i="9"/>
  <c r="G396" i="9"/>
  <c r="D396" i="9"/>
  <c r="K395" i="9"/>
  <c r="G395" i="9"/>
  <c r="D395" i="9"/>
  <c r="K394" i="9"/>
  <c r="G394" i="9"/>
  <c r="D394" i="9"/>
  <c r="K393" i="9"/>
  <c r="G393" i="9"/>
  <c r="D393" i="9"/>
  <c r="K392" i="9"/>
  <c r="G392" i="9"/>
  <c r="D392" i="9"/>
  <c r="K391" i="9"/>
  <c r="G391" i="9"/>
  <c r="D391" i="9"/>
  <c r="K390" i="9"/>
  <c r="G390" i="9"/>
  <c r="D390" i="9"/>
  <c r="K389" i="9"/>
  <c r="G389" i="9"/>
  <c r="D389" i="9"/>
  <c r="K388" i="9"/>
  <c r="G388" i="9"/>
  <c r="D388" i="9"/>
  <c r="K387" i="9"/>
  <c r="G387" i="9"/>
  <c r="D387" i="9"/>
  <c r="K386" i="9"/>
  <c r="G386" i="9"/>
  <c r="D386" i="9"/>
  <c r="K385" i="9"/>
  <c r="G385" i="9"/>
  <c r="D385" i="9"/>
  <c r="K384" i="9"/>
  <c r="G384" i="9"/>
  <c r="D384" i="9"/>
  <c r="K383" i="9"/>
  <c r="G383" i="9"/>
  <c r="D383" i="9"/>
  <c r="K382" i="9"/>
  <c r="G382" i="9"/>
  <c r="D382" i="9"/>
  <c r="K381" i="9"/>
  <c r="G381" i="9"/>
  <c r="D381" i="9"/>
  <c r="K380" i="9"/>
  <c r="G380" i="9"/>
  <c r="D380" i="9"/>
  <c r="K379" i="9"/>
  <c r="G379" i="9"/>
  <c r="D379" i="9"/>
  <c r="K378" i="9"/>
  <c r="G378" i="9"/>
  <c r="D378" i="9"/>
  <c r="K377" i="9"/>
  <c r="G377" i="9"/>
  <c r="D377" i="9"/>
  <c r="K376" i="9"/>
  <c r="G376" i="9"/>
  <c r="D376" i="9"/>
  <c r="K375" i="9"/>
  <c r="G375" i="9"/>
  <c r="D375" i="9"/>
  <c r="K374" i="9"/>
  <c r="G374" i="9"/>
  <c r="D374" i="9"/>
  <c r="K373" i="9"/>
  <c r="G373" i="9"/>
  <c r="D373" i="9"/>
  <c r="K372" i="9"/>
  <c r="G372" i="9"/>
  <c r="D372" i="9"/>
  <c r="K371" i="9"/>
  <c r="G371" i="9"/>
  <c r="D371" i="9"/>
  <c r="K370" i="9"/>
  <c r="G370" i="9"/>
  <c r="D370" i="9"/>
  <c r="K369" i="9"/>
  <c r="G369" i="9"/>
  <c r="D369" i="9"/>
  <c r="K368" i="9"/>
  <c r="G368" i="9"/>
  <c r="D368" i="9"/>
  <c r="K367" i="9"/>
  <c r="G367" i="9"/>
  <c r="D367" i="9"/>
  <c r="K366" i="9"/>
  <c r="G366" i="9"/>
  <c r="D366" i="9"/>
  <c r="K365" i="9"/>
  <c r="G365" i="9"/>
  <c r="D365" i="9"/>
  <c r="K364" i="9"/>
  <c r="G364" i="9"/>
  <c r="D364" i="9"/>
  <c r="K363" i="9"/>
  <c r="G363" i="9"/>
  <c r="D363" i="9"/>
  <c r="K362" i="9"/>
  <c r="G362" i="9"/>
  <c r="D362" i="9"/>
  <c r="K361" i="9"/>
  <c r="G361" i="9"/>
  <c r="D361" i="9"/>
  <c r="K360" i="9"/>
  <c r="G360" i="9"/>
  <c r="D360" i="9"/>
  <c r="K359" i="9"/>
  <c r="G359" i="9"/>
  <c r="D359" i="9"/>
  <c r="K358" i="9"/>
  <c r="G358" i="9"/>
  <c r="D358" i="9"/>
  <c r="K357" i="9"/>
  <c r="G357" i="9"/>
  <c r="D357" i="9"/>
  <c r="K356" i="9"/>
  <c r="G356" i="9"/>
  <c r="D356" i="9"/>
  <c r="K355" i="9"/>
  <c r="G355" i="9"/>
  <c r="D355" i="9"/>
  <c r="K354" i="9"/>
  <c r="G354" i="9"/>
  <c r="D354" i="9"/>
  <c r="K353" i="9"/>
  <c r="G353" i="9"/>
  <c r="D353" i="9"/>
  <c r="K352" i="9"/>
  <c r="G352" i="9"/>
  <c r="D352" i="9"/>
  <c r="K351" i="9"/>
  <c r="G351" i="9"/>
  <c r="D351" i="9"/>
  <c r="K350" i="9"/>
  <c r="G350" i="9"/>
  <c r="D350" i="9"/>
  <c r="K349" i="9"/>
  <c r="G349" i="9"/>
  <c r="D349" i="9"/>
  <c r="K348" i="9"/>
  <c r="G348" i="9"/>
  <c r="D348" i="9"/>
  <c r="K347" i="9"/>
  <c r="G347" i="9"/>
  <c r="D347" i="9"/>
  <c r="K346" i="9"/>
  <c r="G346" i="9"/>
  <c r="D346" i="9"/>
  <c r="K345" i="9"/>
  <c r="G345" i="9"/>
  <c r="D345" i="9"/>
  <c r="K344" i="9"/>
  <c r="G344" i="9"/>
  <c r="D344" i="9"/>
  <c r="K343" i="9"/>
  <c r="G343" i="9"/>
  <c r="D343" i="9"/>
  <c r="K342" i="9"/>
  <c r="G342" i="9"/>
  <c r="D342" i="9"/>
  <c r="K341" i="9"/>
  <c r="G341" i="9"/>
  <c r="D341" i="9"/>
  <c r="K340" i="9"/>
  <c r="G340" i="9"/>
  <c r="D340" i="9"/>
  <c r="K339" i="9"/>
  <c r="G339" i="9"/>
  <c r="D339" i="9"/>
  <c r="K338" i="9"/>
  <c r="G338" i="9"/>
  <c r="D338" i="9"/>
  <c r="K337" i="9"/>
  <c r="G337" i="9"/>
  <c r="D337" i="9"/>
  <c r="K336" i="9"/>
  <c r="G336" i="9"/>
  <c r="D336" i="9"/>
  <c r="K335" i="9"/>
  <c r="G335" i="9"/>
  <c r="D335" i="9"/>
  <c r="K334" i="9"/>
  <c r="G334" i="9"/>
  <c r="D334" i="9"/>
  <c r="K333" i="9"/>
  <c r="G333" i="9"/>
  <c r="D333" i="9"/>
  <c r="K332" i="9"/>
  <c r="G332" i="9"/>
  <c r="D332" i="9"/>
  <c r="K331" i="9"/>
  <c r="G331" i="9"/>
  <c r="D331" i="9"/>
  <c r="K330" i="9"/>
  <c r="G330" i="9"/>
  <c r="D330" i="9"/>
  <c r="K329" i="9"/>
  <c r="G329" i="9"/>
  <c r="D329" i="9"/>
  <c r="K328" i="9"/>
  <c r="G328" i="9"/>
  <c r="D328" i="9"/>
  <c r="K327" i="9"/>
  <c r="G327" i="9"/>
  <c r="D327" i="9"/>
  <c r="K326" i="9"/>
  <c r="G326" i="9"/>
  <c r="D326" i="9"/>
  <c r="K325" i="9"/>
  <c r="G325" i="9"/>
  <c r="D325" i="9"/>
  <c r="K324" i="9"/>
  <c r="G324" i="9"/>
  <c r="D324" i="9"/>
  <c r="K323" i="9"/>
  <c r="G323" i="9"/>
  <c r="D323" i="9"/>
  <c r="K322" i="9"/>
  <c r="G322" i="9"/>
  <c r="D322" i="9"/>
  <c r="K321" i="9"/>
  <c r="G321" i="9"/>
  <c r="D321" i="9"/>
  <c r="K320" i="9"/>
  <c r="G320" i="9"/>
  <c r="D320" i="9"/>
  <c r="K319" i="9"/>
  <c r="G319" i="9"/>
  <c r="D319" i="9"/>
  <c r="K318" i="9"/>
  <c r="G318" i="9"/>
  <c r="D318" i="9"/>
  <c r="K317" i="9"/>
  <c r="G317" i="9"/>
  <c r="D317" i="9"/>
  <c r="K316" i="9"/>
  <c r="G316" i="9"/>
  <c r="D316" i="9"/>
  <c r="K315" i="9"/>
  <c r="G315" i="9"/>
  <c r="D315" i="9"/>
  <c r="K314" i="9"/>
  <c r="G314" i="9"/>
  <c r="D314" i="9"/>
  <c r="K313" i="9"/>
  <c r="G313" i="9"/>
  <c r="D313" i="9"/>
  <c r="K312" i="9"/>
  <c r="G312" i="9"/>
  <c r="D312" i="9"/>
  <c r="K311" i="9"/>
  <c r="G311" i="9"/>
  <c r="D311" i="9"/>
  <c r="K310" i="9"/>
  <c r="G310" i="9"/>
  <c r="D310" i="9"/>
  <c r="K309" i="9"/>
  <c r="G309" i="9"/>
  <c r="D309" i="9"/>
  <c r="K308" i="9"/>
  <c r="G308" i="9"/>
  <c r="D308" i="9"/>
  <c r="K307" i="9"/>
  <c r="G307" i="9"/>
  <c r="D307" i="9"/>
  <c r="K306" i="9"/>
  <c r="G306" i="9"/>
  <c r="D306" i="9"/>
  <c r="K305" i="9"/>
  <c r="G305" i="9"/>
  <c r="D305" i="9"/>
  <c r="K304" i="9"/>
  <c r="G304" i="9"/>
  <c r="D304" i="9"/>
  <c r="K303" i="9"/>
  <c r="G303" i="9"/>
  <c r="D303" i="9"/>
  <c r="K302" i="9"/>
  <c r="G302" i="9"/>
  <c r="D302" i="9"/>
  <c r="K301" i="9"/>
  <c r="G301" i="9"/>
  <c r="D301" i="9"/>
  <c r="K300" i="9"/>
  <c r="G300" i="9"/>
  <c r="D300" i="9"/>
  <c r="K299" i="9"/>
  <c r="G299" i="9"/>
  <c r="D299" i="9"/>
  <c r="K298" i="9"/>
  <c r="G298" i="9"/>
  <c r="D298" i="9"/>
  <c r="K297" i="9"/>
  <c r="G297" i="9"/>
  <c r="D297" i="9"/>
  <c r="K296" i="9"/>
  <c r="G296" i="9"/>
  <c r="D296" i="9"/>
  <c r="K295" i="9"/>
  <c r="G295" i="9"/>
  <c r="D295" i="9"/>
  <c r="K294" i="9"/>
  <c r="G294" i="9"/>
  <c r="D294" i="9"/>
  <c r="K293" i="9"/>
  <c r="G293" i="9"/>
  <c r="D293" i="9"/>
  <c r="K292" i="9"/>
  <c r="G292" i="9"/>
  <c r="D292" i="9"/>
  <c r="K291" i="9"/>
  <c r="G291" i="9"/>
  <c r="D291" i="9"/>
  <c r="K290" i="9"/>
  <c r="G290" i="9"/>
  <c r="D290" i="9"/>
  <c r="K289" i="9"/>
  <c r="G289" i="9"/>
  <c r="D289" i="9"/>
  <c r="K288" i="9"/>
  <c r="G288" i="9"/>
  <c r="D288" i="9"/>
  <c r="K287" i="9"/>
  <c r="G287" i="9"/>
  <c r="D287" i="9"/>
  <c r="K286" i="9"/>
  <c r="G286" i="9"/>
  <c r="D286" i="9"/>
  <c r="K285" i="9"/>
  <c r="G285" i="9"/>
  <c r="D285" i="9"/>
  <c r="K284" i="9"/>
  <c r="G284" i="9"/>
  <c r="D284" i="9"/>
  <c r="K283" i="9"/>
  <c r="G283" i="9"/>
  <c r="D283" i="9"/>
  <c r="K282" i="9"/>
  <c r="G282" i="9"/>
  <c r="D282" i="9"/>
  <c r="K281" i="9"/>
  <c r="G281" i="9"/>
  <c r="D281" i="9"/>
  <c r="K280" i="9"/>
  <c r="G280" i="9"/>
  <c r="D280" i="9"/>
  <c r="K279" i="9"/>
  <c r="G279" i="9"/>
  <c r="D279" i="9"/>
  <c r="K278" i="9"/>
  <c r="G278" i="9"/>
  <c r="D278" i="9"/>
  <c r="K277" i="9"/>
  <c r="G277" i="9"/>
  <c r="D277" i="9"/>
  <c r="K276" i="9"/>
  <c r="G276" i="9"/>
  <c r="D276" i="9"/>
  <c r="K275" i="9"/>
  <c r="G275" i="9"/>
  <c r="D275" i="9"/>
  <c r="K274" i="9"/>
  <c r="G274" i="9"/>
  <c r="D274" i="9"/>
  <c r="K273" i="9"/>
  <c r="G273" i="9"/>
  <c r="D273" i="9"/>
  <c r="K272" i="9"/>
  <c r="G272" i="9"/>
  <c r="D272" i="9"/>
  <c r="K271" i="9"/>
  <c r="G271" i="9"/>
  <c r="D271" i="9"/>
  <c r="K270" i="9"/>
  <c r="G270" i="9"/>
  <c r="D270" i="9"/>
  <c r="K269" i="9"/>
  <c r="G269" i="9"/>
  <c r="D269" i="9"/>
  <c r="K268" i="9"/>
  <c r="G268" i="9"/>
  <c r="D268" i="9"/>
  <c r="K267" i="9"/>
  <c r="G267" i="9"/>
  <c r="D267" i="9"/>
  <c r="K266" i="9"/>
  <c r="G266" i="9"/>
  <c r="D266" i="9"/>
  <c r="K265" i="9"/>
  <c r="G265" i="9"/>
  <c r="D265" i="9"/>
  <c r="K264" i="9"/>
  <c r="G264" i="9"/>
  <c r="D264" i="9"/>
  <c r="K263" i="9"/>
  <c r="G263" i="9"/>
  <c r="D263" i="9"/>
  <c r="K262" i="9"/>
  <c r="G262" i="9"/>
  <c r="D262" i="9"/>
  <c r="K261" i="9"/>
  <c r="G261" i="9"/>
  <c r="D261" i="9"/>
  <c r="K260" i="9"/>
  <c r="G260" i="9"/>
  <c r="D260" i="9"/>
  <c r="K259" i="9"/>
  <c r="G259" i="9"/>
  <c r="D259" i="9"/>
  <c r="K258" i="9"/>
  <c r="G258" i="9"/>
  <c r="D258" i="9"/>
  <c r="K257" i="9"/>
  <c r="G257" i="9"/>
  <c r="D257" i="9"/>
  <c r="K256" i="9"/>
  <c r="G256" i="9"/>
  <c r="D256" i="9"/>
  <c r="K255" i="9"/>
  <c r="G255" i="9"/>
  <c r="D255" i="9"/>
  <c r="K254" i="9"/>
  <c r="G254" i="9"/>
  <c r="D254" i="9"/>
  <c r="K253" i="9"/>
  <c r="G253" i="9"/>
  <c r="D253" i="9"/>
  <c r="K252" i="9"/>
  <c r="G252" i="9"/>
  <c r="D252" i="9"/>
  <c r="K251" i="9"/>
  <c r="G251" i="9"/>
  <c r="D251" i="9"/>
  <c r="K250" i="9"/>
  <c r="G250" i="9"/>
  <c r="D250" i="9"/>
  <c r="K249" i="9"/>
  <c r="G249" i="9"/>
  <c r="D249" i="9"/>
  <c r="K248" i="9"/>
  <c r="G248" i="9"/>
  <c r="D248" i="9"/>
  <c r="K247" i="9"/>
  <c r="G247" i="9"/>
  <c r="D247" i="9"/>
  <c r="K246" i="9"/>
  <c r="G246" i="9"/>
  <c r="D246" i="9"/>
  <c r="K245" i="9"/>
  <c r="G245" i="9"/>
  <c r="D245" i="9"/>
  <c r="K244" i="9"/>
  <c r="G244" i="9"/>
  <c r="D244" i="9"/>
  <c r="K243" i="9"/>
  <c r="G243" i="9"/>
  <c r="D243" i="9"/>
  <c r="K242" i="9"/>
  <c r="G242" i="9"/>
  <c r="D242" i="9"/>
  <c r="K241" i="9"/>
  <c r="G241" i="9"/>
  <c r="D241" i="9"/>
  <c r="K240" i="9"/>
  <c r="G240" i="9"/>
  <c r="D240" i="9"/>
  <c r="K239" i="9"/>
  <c r="G239" i="9"/>
  <c r="D239" i="9"/>
  <c r="K238" i="9"/>
  <c r="G238" i="9"/>
  <c r="D238" i="9"/>
  <c r="K237" i="9"/>
  <c r="G237" i="9"/>
  <c r="D237" i="9"/>
  <c r="K236" i="9"/>
  <c r="G236" i="9"/>
  <c r="D236" i="9"/>
  <c r="K235" i="9"/>
  <c r="G235" i="9"/>
  <c r="D235" i="9"/>
  <c r="K234" i="9"/>
  <c r="G234" i="9"/>
  <c r="D234" i="9"/>
  <c r="K233" i="9"/>
  <c r="G233" i="9"/>
  <c r="D233" i="9"/>
  <c r="K232" i="9"/>
  <c r="G232" i="9"/>
  <c r="D232" i="9"/>
  <c r="K231" i="9"/>
  <c r="G231" i="9"/>
  <c r="D231" i="9"/>
  <c r="K230" i="9"/>
  <c r="G230" i="9"/>
  <c r="D230" i="9"/>
  <c r="K229" i="9"/>
  <c r="G229" i="9"/>
  <c r="D229" i="9"/>
  <c r="K228" i="9"/>
  <c r="G228" i="9"/>
  <c r="D228" i="9"/>
  <c r="K227" i="9"/>
  <c r="G227" i="9"/>
  <c r="D227" i="9"/>
  <c r="K226" i="9"/>
  <c r="G226" i="9"/>
  <c r="D226" i="9"/>
  <c r="K225" i="9"/>
  <c r="G225" i="9"/>
  <c r="D225" i="9"/>
  <c r="K224" i="9"/>
  <c r="G224" i="9"/>
  <c r="D224" i="9"/>
  <c r="K223" i="9"/>
  <c r="G223" i="9"/>
  <c r="D223" i="9"/>
  <c r="K222" i="9"/>
  <c r="G222" i="9"/>
  <c r="D222" i="9"/>
  <c r="K221" i="9"/>
  <c r="G221" i="9"/>
  <c r="D221" i="9"/>
  <c r="K220" i="9"/>
  <c r="G220" i="9"/>
  <c r="D220" i="9"/>
  <c r="K219" i="9"/>
  <c r="G219" i="9"/>
  <c r="D219" i="9"/>
  <c r="K218" i="9"/>
  <c r="G218" i="9"/>
  <c r="D218" i="9"/>
  <c r="K217" i="9"/>
  <c r="G217" i="9"/>
  <c r="D217" i="9"/>
  <c r="K216" i="9"/>
  <c r="G216" i="9"/>
  <c r="D216" i="9"/>
  <c r="K215" i="9"/>
  <c r="G215" i="9"/>
  <c r="D215" i="9"/>
  <c r="K214" i="9"/>
  <c r="G214" i="9"/>
  <c r="D214" i="9"/>
  <c r="K213" i="9"/>
  <c r="G213" i="9"/>
  <c r="D213" i="9"/>
  <c r="K212" i="9"/>
  <c r="G212" i="9"/>
  <c r="D212" i="9"/>
  <c r="K211" i="9"/>
  <c r="G211" i="9"/>
  <c r="D211" i="9"/>
  <c r="K210" i="9"/>
  <c r="G210" i="9"/>
  <c r="D210" i="9"/>
  <c r="K209" i="9"/>
  <c r="G209" i="9"/>
  <c r="D209" i="9"/>
  <c r="K208" i="9"/>
  <c r="G208" i="9"/>
  <c r="D208" i="9"/>
  <c r="K207" i="9"/>
  <c r="G207" i="9"/>
  <c r="D207" i="9"/>
  <c r="K206" i="9"/>
  <c r="G206" i="9"/>
  <c r="D206" i="9"/>
  <c r="K205" i="9"/>
  <c r="G205" i="9"/>
  <c r="D205" i="9"/>
  <c r="K204" i="9"/>
  <c r="G204" i="9"/>
  <c r="D204" i="9"/>
  <c r="K203" i="9"/>
  <c r="G203" i="9"/>
  <c r="D203" i="9"/>
  <c r="K202" i="9"/>
  <c r="G202" i="9"/>
  <c r="D202" i="9"/>
  <c r="K201" i="9"/>
  <c r="G201" i="9"/>
  <c r="D201" i="9"/>
  <c r="K200" i="9"/>
  <c r="G200" i="9"/>
  <c r="D200" i="9"/>
  <c r="K199" i="9"/>
  <c r="G199" i="9"/>
  <c r="D199" i="9"/>
  <c r="K198" i="9"/>
  <c r="G198" i="9"/>
  <c r="D198" i="9"/>
  <c r="K197" i="9"/>
  <c r="G197" i="9"/>
  <c r="D197" i="9"/>
  <c r="K196" i="9"/>
  <c r="G196" i="9"/>
  <c r="D196" i="9"/>
  <c r="K195" i="9"/>
  <c r="G195" i="9"/>
  <c r="D195" i="9"/>
  <c r="K194" i="9"/>
  <c r="G194" i="9"/>
  <c r="D194" i="9"/>
  <c r="K193" i="9"/>
  <c r="G193" i="9"/>
  <c r="D193" i="9"/>
  <c r="K192" i="9"/>
  <c r="G192" i="9"/>
  <c r="D192" i="9"/>
  <c r="K191" i="9"/>
  <c r="G191" i="9"/>
  <c r="D191" i="9"/>
  <c r="K190" i="9"/>
  <c r="G190" i="9"/>
  <c r="D190" i="9"/>
  <c r="K189" i="9"/>
  <c r="G189" i="9"/>
  <c r="D189" i="9"/>
  <c r="K188" i="9"/>
  <c r="G188" i="9"/>
  <c r="D188" i="9"/>
  <c r="K187" i="9"/>
  <c r="G187" i="9"/>
  <c r="D187" i="9"/>
  <c r="K186" i="9"/>
  <c r="G186" i="9"/>
  <c r="D186" i="9"/>
  <c r="K185" i="9"/>
  <c r="G185" i="9"/>
  <c r="D185" i="9"/>
  <c r="K184" i="9"/>
  <c r="G184" i="9"/>
  <c r="D184" i="9"/>
  <c r="K183" i="9"/>
  <c r="G183" i="9"/>
  <c r="D183" i="9"/>
  <c r="K182" i="9"/>
  <c r="G182" i="9"/>
  <c r="D182" i="9"/>
  <c r="K181" i="9"/>
  <c r="G181" i="9"/>
  <c r="D181" i="9"/>
  <c r="K180" i="9"/>
  <c r="G180" i="9"/>
  <c r="D180" i="9"/>
  <c r="K179" i="9"/>
  <c r="G179" i="9"/>
  <c r="D179" i="9"/>
  <c r="K178" i="9"/>
  <c r="G178" i="9"/>
  <c r="D178" i="9"/>
  <c r="K177" i="9"/>
  <c r="G177" i="9"/>
  <c r="D177" i="9"/>
  <c r="K176" i="9"/>
  <c r="G176" i="9"/>
  <c r="D176" i="9"/>
  <c r="K175" i="9"/>
  <c r="G175" i="9"/>
  <c r="D175" i="9"/>
  <c r="K174" i="9"/>
  <c r="G174" i="9"/>
  <c r="D174" i="9"/>
  <c r="K173" i="9"/>
  <c r="G173" i="9"/>
  <c r="D173" i="9"/>
  <c r="K172" i="9"/>
  <c r="G172" i="9"/>
  <c r="D172" i="9"/>
  <c r="K171" i="9"/>
  <c r="G171" i="9"/>
  <c r="D171" i="9"/>
  <c r="K170" i="9"/>
  <c r="G170" i="9"/>
  <c r="D170" i="9"/>
  <c r="K169" i="9"/>
  <c r="G169" i="9"/>
  <c r="D169" i="9"/>
  <c r="K168" i="9"/>
  <c r="G168" i="9"/>
  <c r="D168" i="9"/>
  <c r="K167" i="9"/>
  <c r="G167" i="9"/>
  <c r="D167" i="9"/>
  <c r="K166" i="9"/>
  <c r="G166" i="9"/>
  <c r="D166" i="9"/>
  <c r="K165" i="9"/>
  <c r="G165" i="9"/>
  <c r="D165" i="9"/>
  <c r="K164" i="9"/>
  <c r="G164" i="9"/>
  <c r="D164" i="9"/>
  <c r="K163" i="9"/>
  <c r="G163" i="9"/>
  <c r="D163" i="9"/>
  <c r="K162" i="9"/>
  <c r="G162" i="9"/>
  <c r="D162" i="9"/>
  <c r="K161" i="9"/>
  <c r="G161" i="9"/>
  <c r="D161" i="9"/>
  <c r="K160" i="9"/>
  <c r="G160" i="9"/>
  <c r="D160" i="9"/>
  <c r="K159" i="9"/>
  <c r="G159" i="9"/>
  <c r="D159" i="9"/>
  <c r="K158" i="9"/>
  <c r="G158" i="9"/>
  <c r="D158" i="9"/>
  <c r="K157" i="9"/>
  <c r="G157" i="9"/>
  <c r="D157" i="9"/>
  <c r="K156" i="9"/>
  <c r="G156" i="9"/>
  <c r="D156" i="9"/>
  <c r="K155" i="9"/>
  <c r="G155" i="9"/>
  <c r="D155" i="9"/>
  <c r="K154" i="9"/>
  <c r="G154" i="9"/>
  <c r="D154" i="9"/>
  <c r="K153" i="9"/>
  <c r="G153" i="9"/>
  <c r="D153" i="9"/>
  <c r="K152" i="9"/>
  <c r="G152" i="9"/>
  <c r="D152" i="9"/>
  <c r="K151" i="9"/>
  <c r="G151" i="9"/>
  <c r="D151" i="9"/>
  <c r="K150" i="9"/>
  <c r="G150" i="9"/>
  <c r="D150" i="9"/>
  <c r="K149" i="9"/>
  <c r="G149" i="9"/>
  <c r="D149" i="9"/>
  <c r="K148" i="9"/>
  <c r="G148" i="9"/>
  <c r="D148" i="9"/>
  <c r="K147" i="9"/>
  <c r="G147" i="9"/>
  <c r="D147" i="9"/>
  <c r="K146" i="9"/>
  <c r="G146" i="9"/>
  <c r="D146" i="9"/>
  <c r="K145" i="9"/>
  <c r="G145" i="9"/>
  <c r="D145" i="9"/>
  <c r="K144" i="9"/>
  <c r="G144" i="9"/>
  <c r="D144" i="9"/>
  <c r="K143" i="9"/>
  <c r="G143" i="9"/>
  <c r="D143" i="9"/>
  <c r="K142" i="9"/>
  <c r="G142" i="9"/>
  <c r="D142" i="9"/>
  <c r="K141" i="9"/>
  <c r="G141" i="9"/>
  <c r="D141" i="9"/>
  <c r="K140" i="9"/>
  <c r="G140" i="9"/>
  <c r="D140" i="9"/>
  <c r="K139" i="9"/>
  <c r="G139" i="9"/>
  <c r="D139" i="9"/>
  <c r="K138" i="9"/>
  <c r="G138" i="9"/>
  <c r="D138" i="9"/>
  <c r="K137" i="9"/>
  <c r="G137" i="9"/>
  <c r="D137" i="9"/>
  <c r="K136" i="9"/>
  <c r="G136" i="9"/>
  <c r="D136" i="9"/>
  <c r="K135" i="9"/>
  <c r="G135" i="9"/>
  <c r="D135" i="9"/>
  <c r="K134" i="9"/>
  <c r="G134" i="9"/>
  <c r="D134" i="9"/>
  <c r="K133" i="9"/>
  <c r="G133" i="9"/>
  <c r="D133" i="9"/>
  <c r="K132" i="9"/>
  <c r="G132" i="9"/>
  <c r="D132" i="9"/>
  <c r="K131" i="9"/>
  <c r="G131" i="9"/>
  <c r="D131" i="9"/>
  <c r="K130" i="9"/>
  <c r="G130" i="9"/>
  <c r="D130" i="9"/>
  <c r="K129" i="9"/>
  <c r="G129" i="9"/>
  <c r="D129" i="9"/>
  <c r="K128" i="9"/>
  <c r="G128" i="9"/>
  <c r="D128" i="9"/>
  <c r="K127" i="9"/>
  <c r="G127" i="9"/>
  <c r="D127" i="9"/>
  <c r="K126" i="9"/>
  <c r="G126" i="9"/>
  <c r="D126" i="9"/>
  <c r="K125" i="9"/>
  <c r="G125" i="9"/>
  <c r="D125" i="9"/>
  <c r="K124" i="9"/>
  <c r="G124" i="9"/>
  <c r="D124" i="9"/>
  <c r="K123" i="9"/>
  <c r="G123" i="9"/>
  <c r="D123" i="9"/>
  <c r="K122" i="9"/>
  <c r="G122" i="9"/>
  <c r="D122" i="9"/>
  <c r="K121" i="9"/>
  <c r="G121" i="9"/>
  <c r="D121" i="9"/>
  <c r="K120" i="9"/>
  <c r="G120" i="9"/>
  <c r="D120" i="9"/>
  <c r="K119" i="9"/>
  <c r="G119" i="9"/>
  <c r="D119" i="9"/>
  <c r="K118" i="9"/>
  <c r="G118" i="9"/>
  <c r="D118" i="9"/>
  <c r="K117" i="9"/>
  <c r="G117" i="9"/>
  <c r="D117" i="9"/>
  <c r="K116" i="9"/>
  <c r="G116" i="9"/>
  <c r="D116" i="9"/>
  <c r="K115" i="9"/>
  <c r="G115" i="9"/>
  <c r="D115" i="9"/>
  <c r="K114" i="9"/>
  <c r="G114" i="9"/>
  <c r="D114" i="9"/>
  <c r="K113" i="9"/>
  <c r="G113" i="9"/>
  <c r="D113" i="9"/>
  <c r="K112" i="9"/>
  <c r="G112" i="9"/>
  <c r="D112" i="9"/>
  <c r="K111" i="9"/>
  <c r="G111" i="9"/>
  <c r="D111" i="9"/>
  <c r="K110" i="9"/>
  <c r="G110" i="9"/>
  <c r="D110" i="9"/>
  <c r="K109" i="9"/>
  <c r="G109" i="9"/>
  <c r="D109" i="9"/>
  <c r="K108" i="9"/>
  <c r="G108" i="9"/>
  <c r="D108" i="9"/>
  <c r="K107" i="9"/>
  <c r="G107" i="9"/>
  <c r="D107" i="9"/>
  <c r="K106" i="9"/>
  <c r="G106" i="9"/>
  <c r="D106" i="9"/>
  <c r="K105" i="9"/>
  <c r="G105" i="9"/>
  <c r="D105" i="9"/>
  <c r="K104" i="9"/>
  <c r="G104" i="9"/>
  <c r="D104" i="9"/>
  <c r="K103" i="9"/>
  <c r="G103" i="9"/>
  <c r="D103" i="9"/>
  <c r="K102" i="9"/>
  <c r="G102" i="9"/>
  <c r="D102" i="9"/>
  <c r="K101" i="9"/>
  <c r="G101" i="9"/>
  <c r="D101" i="9"/>
  <c r="K100" i="9"/>
  <c r="G100" i="9"/>
  <c r="D100" i="9"/>
  <c r="K99" i="9"/>
  <c r="G99" i="9"/>
  <c r="D99" i="9"/>
  <c r="K98" i="9"/>
  <c r="G98" i="9"/>
  <c r="D98" i="9"/>
  <c r="K97" i="9"/>
  <c r="G97" i="9"/>
  <c r="D97" i="9"/>
  <c r="K96" i="9"/>
  <c r="G96" i="9"/>
  <c r="D96" i="9"/>
  <c r="K95" i="9"/>
  <c r="G95" i="9"/>
  <c r="D95" i="9"/>
  <c r="K94" i="9"/>
  <c r="G94" i="9"/>
  <c r="D94" i="9"/>
  <c r="K93" i="9"/>
  <c r="G93" i="9"/>
  <c r="D93" i="9"/>
  <c r="K92" i="9"/>
  <c r="G92" i="9"/>
  <c r="D92" i="9"/>
  <c r="K91" i="9"/>
  <c r="G91" i="9"/>
  <c r="D91" i="9"/>
  <c r="K90" i="9"/>
  <c r="G90" i="9"/>
  <c r="D90" i="9"/>
  <c r="K89" i="9"/>
  <c r="G89" i="9"/>
  <c r="D89" i="9"/>
  <c r="K88" i="9"/>
  <c r="G88" i="9"/>
  <c r="D88" i="9"/>
  <c r="K87" i="9"/>
  <c r="G87" i="9"/>
  <c r="D87" i="9"/>
  <c r="K86" i="9"/>
  <c r="G86" i="9"/>
  <c r="D86" i="9"/>
  <c r="K85" i="9"/>
  <c r="G85" i="9"/>
  <c r="D85" i="9"/>
  <c r="K84" i="9"/>
  <c r="G84" i="9"/>
  <c r="D84" i="9"/>
  <c r="K83" i="9"/>
  <c r="G83" i="9"/>
  <c r="D83" i="9"/>
  <c r="K82" i="9"/>
  <c r="G82" i="9"/>
  <c r="D82" i="9"/>
  <c r="K81" i="9"/>
  <c r="G81" i="9"/>
  <c r="D81" i="9"/>
  <c r="K80" i="9"/>
  <c r="G80" i="9"/>
  <c r="D80" i="9"/>
  <c r="K79" i="9"/>
  <c r="G79" i="9"/>
  <c r="D79" i="9"/>
  <c r="K78" i="9"/>
  <c r="G78" i="9"/>
  <c r="D78" i="9"/>
  <c r="K77" i="9"/>
  <c r="G77" i="9"/>
  <c r="D77" i="9"/>
  <c r="K76" i="9"/>
  <c r="G76" i="9"/>
  <c r="D76" i="9"/>
  <c r="K75" i="9"/>
  <c r="G75" i="9"/>
  <c r="D75" i="9"/>
  <c r="K74" i="9"/>
  <c r="G74" i="9"/>
  <c r="D74" i="9"/>
  <c r="K73" i="9"/>
  <c r="G73" i="9"/>
  <c r="D73" i="9"/>
  <c r="K72" i="9"/>
  <c r="G72" i="9"/>
  <c r="D72" i="9"/>
  <c r="K71" i="9"/>
  <c r="G71" i="9"/>
  <c r="D71" i="9"/>
  <c r="K70" i="9"/>
  <c r="G70" i="9"/>
  <c r="D70" i="9"/>
  <c r="K69" i="9"/>
  <c r="G69" i="9"/>
  <c r="D69" i="9"/>
  <c r="K68" i="9"/>
  <c r="G68" i="9"/>
  <c r="D68" i="9"/>
  <c r="K67" i="9"/>
  <c r="G67" i="9"/>
  <c r="D67" i="9"/>
  <c r="K66" i="9"/>
  <c r="G66" i="9"/>
  <c r="D66" i="9"/>
  <c r="K65" i="9"/>
  <c r="G65" i="9"/>
  <c r="D65" i="9"/>
  <c r="K64" i="9"/>
  <c r="G64" i="9"/>
  <c r="D64" i="9"/>
  <c r="K63" i="9"/>
  <c r="G63" i="9"/>
  <c r="D63" i="9"/>
  <c r="K62" i="9"/>
  <c r="G62" i="9"/>
  <c r="D62" i="9"/>
  <c r="K61" i="9"/>
  <c r="G61" i="9"/>
  <c r="D61" i="9"/>
  <c r="K60" i="9"/>
  <c r="G60" i="9"/>
  <c r="D60" i="9"/>
  <c r="K59" i="9"/>
  <c r="G59" i="9"/>
  <c r="D59" i="9"/>
  <c r="K58" i="9"/>
  <c r="G58" i="9"/>
  <c r="D58" i="9"/>
  <c r="K57" i="9"/>
  <c r="G57" i="9"/>
  <c r="D57" i="9"/>
  <c r="K56" i="9"/>
  <c r="G56" i="9"/>
  <c r="D56" i="9"/>
  <c r="K55" i="9"/>
  <c r="G55" i="9"/>
  <c r="D55" i="9"/>
  <c r="K54" i="9"/>
  <c r="G54" i="9"/>
  <c r="D54" i="9"/>
  <c r="K53" i="9"/>
  <c r="G53" i="9"/>
  <c r="D53" i="9"/>
  <c r="K52" i="9"/>
  <c r="G52" i="9"/>
  <c r="D52" i="9"/>
  <c r="K51" i="9"/>
  <c r="G51" i="9"/>
  <c r="D51" i="9"/>
  <c r="K50" i="9"/>
  <c r="G50" i="9"/>
  <c r="D50" i="9"/>
  <c r="K49" i="9"/>
  <c r="G49" i="9"/>
  <c r="D49" i="9"/>
  <c r="K48" i="9"/>
  <c r="G48" i="9"/>
  <c r="D48" i="9"/>
  <c r="K47" i="9"/>
  <c r="G47" i="9"/>
  <c r="D47" i="9"/>
  <c r="K46" i="9"/>
  <c r="G46" i="9"/>
  <c r="D46" i="9"/>
  <c r="K45" i="9"/>
  <c r="G45" i="9"/>
  <c r="D45" i="9"/>
  <c r="K44" i="9"/>
  <c r="G44" i="9"/>
  <c r="D44" i="9"/>
  <c r="K43" i="9"/>
  <c r="G43" i="9"/>
  <c r="D43" i="9"/>
  <c r="K42" i="9"/>
  <c r="G42" i="9"/>
  <c r="D42" i="9"/>
  <c r="K41" i="9"/>
  <c r="G41" i="9"/>
  <c r="D41" i="9"/>
  <c r="K40" i="9"/>
  <c r="G40" i="9"/>
  <c r="D40" i="9"/>
  <c r="K39" i="9"/>
  <c r="G39" i="9"/>
  <c r="D39" i="9"/>
  <c r="K38" i="9"/>
  <c r="G38" i="9"/>
  <c r="D38" i="9"/>
  <c r="K37" i="9"/>
  <c r="G37" i="9"/>
  <c r="D37" i="9"/>
  <c r="K36" i="9"/>
  <c r="G36" i="9"/>
  <c r="D36" i="9"/>
  <c r="K35" i="9"/>
  <c r="G35" i="9"/>
  <c r="D35" i="9"/>
  <c r="K34" i="9"/>
  <c r="G34" i="9"/>
  <c r="D34" i="9"/>
  <c r="K33" i="9"/>
  <c r="G33" i="9"/>
  <c r="D33" i="9"/>
  <c r="K32" i="9"/>
  <c r="G32" i="9"/>
  <c r="D32" i="9"/>
  <c r="K31" i="9"/>
  <c r="G31" i="9"/>
  <c r="D31" i="9"/>
  <c r="K30" i="9"/>
  <c r="G30" i="9"/>
  <c r="D30" i="9"/>
  <c r="K29" i="9"/>
  <c r="G29" i="9"/>
  <c r="D29" i="9"/>
  <c r="K28" i="9"/>
  <c r="G28" i="9"/>
  <c r="D28" i="9"/>
  <c r="K27" i="9"/>
  <c r="G27" i="9"/>
  <c r="D27" i="9"/>
  <c r="K26" i="9"/>
  <c r="G26" i="9"/>
  <c r="D26" i="9"/>
  <c r="K25" i="9"/>
  <c r="G25" i="9"/>
  <c r="D25" i="9"/>
  <c r="K24" i="9"/>
  <c r="G24" i="9"/>
  <c r="D24" i="9"/>
  <c r="K23" i="9"/>
  <c r="G23" i="9"/>
  <c r="D23" i="9"/>
  <c r="K22" i="9"/>
  <c r="G22" i="9"/>
  <c r="D22" i="9"/>
  <c r="K21" i="9"/>
  <c r="G21" i="9"/>
  <c r="D21" i="9"/>
  <c r="K20" i="9"/>
  <c r="G20" i="9"/>
  <c r="D20" i="9"/>
  <c r="K19" i="9"/>
  <c r="G19" i="9"/>
  <c r="D19" i="9"/>
  <c r="K18" i="9"/>
  <c r="G18" i="9"/>
  <c r="D18" i="9"/>
  <c r="K17" i="9"/>
  <c r="G17" i="9"/>
  <c r="D17" i="9"/>
  <c r="K16" i="9"/>
  <c r="G16" i="9"/>
  <c r="D16" i="9"/>
  <c r="K15" i="9"/>
  <c r="G15" i="9"/>
  <c r="D15" i="9"/>
  <c r="K14" i="9"/>
  <c r="G14" i="9"/>
  <c r="D14" i="9"/>
  <c r="K13" i="9"/>
  <c r="G13" i="9"/>
  <c r="D13" i="9"/>
  <c r="K12" i="9"/>
  <c r="G12" i="9"/>
  <c r="D12" i="9"/>
  <c r="K11" i="9"/>
  <c r="G11" i="9"/>
  <c r="D11" i="9"/>
  <c r="K10" i="9"/>
  <c r="G10" i="9"/>
  <c r="D10" i="9"/>
  <c r="K9" i="9"/>
  <c r="G9" i="9"/>
  <c r="D9" i="9"/>
  <c r="K8" i="9"/>
  <c r="G8" i="9"/>
  <c r="D8" i="9"/>
  <c r="K7" i="9"/>
  <c r="G7" i="9"/>
  <c r="D7" i="9"/>
  <c r="K6" i="9"/>
  <c r="G6" i="9"/>
  <c r="D6" i="9"/>
  <c r="K5" i="9"/>
  <c r="G5" i="9"/>
  <c r="D5" i="9"/>
  <c r="K4" i="9"/>
  <c r="G4" i="9"/>
  <c r="D4" i="9"/>
  <c r="K3" i="9"/>
  <c r="G3" i="9"/>
  <c r="D3" i="9"/>
  <c r="K2" i="9"/>
  <c r="G2" i="9"/>
  <c r="D2" i="9"/>
  <c r="Q153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H28" i="7"/>
  <c r="H27" i="7"/>
  <c r="I25" i="7"/>
  <c r="F36" i="7" l="1"/>
  <c r="E36" i="7"/>
  <c r="D36" i="7"/>
  <c r="C36" i="7"/>
  <c r="I22" i="7"/>
  <c r="I23" i="7"/>
  <c r="I24" i="7"/>
  <c r="I21" i="7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4" i="5"/>
  <c r="Q5" i="5"/>
  <c r="D151" i="2" l="1"/>
  <c r="D150" i="2"/>
  <c r="D149" i="2"/>
  <c r="D148" i="2"/>
  <c r="D147" i="2"/>
  <c r="D146" i="2"/>
  <c r="H130" i="2"/>
  <c r="D123" i="2"/>
  <c r="D118" i="2"/>
  <c r="D113" i="2"/>
  <c r="D109" i="2"/>
  <c r="D105" i="2"/>
  <c r="D100" i="2"/>
  <c r="D95" i="2"/>
  <c r="D90" i="2"/>
  <c r="D85" i="2"/>
  <c r="D80" i="2"/>
  <c r="D75" i="2"/>
  <c r="D70" i="2"/>
  <c r="D60" i="2"/>
  <c r="D56" i="2"/>
  <c r="D51" i="2"/>
  <c r="D47" i="2"/>
  <c r="D41" i="2"/>
  <c r="D36" i="2"/>
  <c r="D32" i="2"/>
  <c r="D28" i="2"/>
  <c r="D23" i="2"/>
  <c r="D19" i="2"/>
  <c r="D14" i="2"/>
  <c r="D11" i="2"/>
  <c r="D144" i="2" l="1"/>
  <c r="D143" i="2"/>
  <c r="D142" i="2"/>
  <c r="D141" i="2"/>
  <c r="D139" i="2"/>
  <c r="D138" i="2"/>
  <c r="D137" i="2"/>
  <c r="D136" i="2"/>
  <c r="D134" i="2"/>
  <c r="D133" i="2"/>
  <c r="D132" i="2"/>
  <c r="D130" i="2"/>
  <c r="D129" i="2"/>
  <c r="D128" i="2"/>
  <c r="D145" i="2"/>
  <c r="D140" i="2"/>
  <c r="D135" i="2"/>
  <c r="D131" i="2"/>
  <c r="D127" i="2"/>
  <c r="E56" i="1"/>
  <c r="E55" i="1"/>
  <c r="E54" i="1"/>
  <c r="E53" i="1"/>
  <c r="E52" i="1"/>
  <c r="E51" i="1"/>
  <c r="E50" i="1"/>
  <c r="E49" i="1"/>
  <c r="E48" i="1"/>
  <c r="E47" i="1"/>
  <c r="D22" i="1"/>
  <c r="D21" i="1"/>
  <c r="D20" i="1"/>
  <c r="D19" i="1"/>
  <c r="D18" i="1"/>
  <c r="D17" i="1"/>
  <c r="D16" i="1"/>
  <c r="D15" i="1"/>
  <c r="D14" i="1"/>
  <c r="D13" i="1"/>
  <c r="D12" i="1"/>
  <c r="H1365" i="9" l="1"/>
  <c r="T1365" i="9" l="1"/>
  <c r="U1365" i="9" s="1"/>
  <c r="K1365" i="9"/>
</calcChain>
</file>

<file path=xl/sharedStrings.xml><?xml version="1.0" encoding="utf-8"?>
<sst xmlns="http://schemas.openxmlformats.org/spreadsheetml/2006/main" count="163" uniqueCount="91">
  <si>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</si>
  <si>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</si>
  <si>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</si>
  <si>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</si>
  <si>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</si>
  <si>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</si>
  <si>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</si>
  <si>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</si>
  <si>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</si>
  <si>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</si>
  <si>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</si>
  <si>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</si>
  <si>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Encours Valeur du Trésor Public</t>
  </si>
  <si>
    <t>Encours des reprises de liquidité de la BCM</t>
  </si>
  <si>
    <t>Réserves Libres</t>
  </si>
  <si>
    <t>Liquidité Banques</t>
  </si>
  <si>
    <t>TMP OMO</t>
  </si>
  <si>
    <t>Facilités permanentes</t>
  </si>
  <si>
    <t>Montants en millions MRU</t>
  </si>
  <si>
    <t>Mois</t>
  </si>
  <si>
    <t>Date</t>
  </si>
  <si>
    <t>Facilité Classique</t>
  </si>
  <si>
    <t>Facilité Islamique</t>
  </si>
  <si>
    <t>Réserves Libre</t>
  </si>
  <si>
    <t>Reprises de Liquidité</t>
  </si>
  <si>
    <t>Facilités de dépôt</t>
  </si>
  <si>
    <t>Opérations de Politique Monétaire</t>
  </si>
  <si>
    <t>Evolution Liquidité</t>
  </si>
  <si>
    <t>Réserves</t>
  </si>
  <si>
    <t>Réserves Obligatoires</t>
  </si>
  <si>
    <t>Réserves libres</t>
  </si>
  <si>
    <t>Bons BCM</t>
  </si>
  <si>
    <t>Bons Senad</t>
  </si>
  <si>
    <t>Bons du Trésor</t>
  </si>
  <si>
    <t>Obligations du Trésor</t>
  </si>
  <si>
    <t>Marché Interbancaire</t>
  </si>
  <si>
    <t>Pol Mon</t>
  </si>
  <si>
    <t>Valeurs du Trésor</t>
  </si>
  <si>
    <t>MI</t>
  </si>
  <si>
    <t>TMP</t>
  </si>
  <si>
    <t>Instruments</t>
  </si>
  <si>
    <t>Volume (en millions MRU)</t>
  </si>
  <si>
    <t>Réserves Banques</t>
  </si>
  <si>
    <t>BT</t>
  </si>
  <si>
    <t>BIT</t>
  </si>
  <si>
    <t>OT</t>
  </si>
  <si>
    <t>Reprises</t>
  </si>
  <si>
    <t>Senad</t>
  </si>
  <si>
    <t>Montant en volume (Millions de mru)</t>
  </si>
  <si>
    <t>04 Semaines</t>
  </si>
  <si>
    <t>13 semaines</t>
  </si>
  <si>
    <t>26 semaines</t>
  </si>
  <si>
    <t>52 semaines</t>
  </si>
  <si>
    <t>2 ans</t>
  </si>
  <si>
    <t xml:space="preserve">3 ans </t>
  </si>
  <si>
    <t xml:space="preserve">4 ans </t>
  </si>
  <si>
    <t xml:space="preserve">5 ans </t>
  </si>
  <si>
    <t>Taux directeur</t>
  </si>
  <si>
    <t>Taux Facilité de Dépôts</t>
  </si>
  <si>
    <t>Taux Facilité de Prêt</t>
  </si>
  <si>
    <t>Taux  Moyen Pondéré  des valeurs du Trésor</t>
  </si>
  <si>
    <t>Année</t>
  </si>
  <si>
    <t>Niveau des Reserves de Change</t>
  </si>
  <si>
    <t>Part Titres Souverains</t>
  </si>
  <si>
    <t>Part des Dépôts à terme</t>
  </si>
  <si>
    <t>% USD</t>
  </si>
  <si>
    <t>% EUR</t>
  </si>
  <si>
    <t>Produit</t>
  </si>
  <si>
    <t>Ratio de Rentabilité</t>
  </si>
  <si>
    <t>BT bancaire</t>
  </si>
  <si>
    <t>BT Non Bancaire</t>
  </si>
  <si>
    <t>BIT bancaire</t>
  </si>
  <si>
    <t>BIT Non Bancaire</t>
  </si>
  <si>
    <t>OT Bancaire</t>
  </si>
  <si>
    <t>OT Non Bancaire</t>
  </si>
  <si>
    <t>Total VT</t>
  </si>
  <si>
    <t>Overnight</t>
  </si>
  <si>
    <t>1 semaine</t>
  </si>
  <si>
    <t>Spread</t>
  </si>
  <si>
    <t>Moyenne</t>
  </si>
  <si>
    <t>8 ans</t>
  </si>
  <si>
    <t>9 ans</t>
  </si>
  <si>
    <t>10 ans</t>
  </si>
  <si>
    <t>Semaine du 25 au 29 août</t>
  </si>
  <si>
    <t>Semaine du 22 au 26 septembre</t>
  </si>
  <si>
    <t>Facilités de Dépôt Islamique</t>
  </si>
  <si>
    <t xml:space="preserve">Facilités de Dépôt </t>
  </si>
  <si>
    <t>SENAD</t>
  </si>
  <si>
    <t>Bons Islamiques du Trésor</t>
  </si>
  <si>
    <t>Semaine du 02 au 06 février</t>
  </si>
  <si>
    <t>Semaine du 09 au 13février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</si>
</sst>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* #,##0.00\ _€_-;\-* #,##0.00\ _€_-;_-* &quot;-&quot;??\ _€_-;_-@_-"/>
    <numFmt numFmtId="167" formatCode="_-* #,##0.0\ _€_-;\-* #,##0.0\ _€_-;_-* &quot;-&quot;?\ _€_-;_-@_-"/>
    <numFmt numFmtId="168" formatCode="[$-40C]mmm\-yy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96">
    <xf numFmtId="0" fontId="0" fillId="0" borderId="0"/>
    <xf numFmtId="43" fontId="1" fillId="0" borderId="0" applyFont="0" applyFill="0" applyBorder="0" applyAlignment="0" applyProtection="0"/>
    <xf numFmtId="0" fontId="5" fillId="0" borderId="22" applyNumberFormat="0" applyFill="0" applyAlignment="0" applyProtection="0"/>
    <xf numFmtId="0" fontId="6" fillId="0" borderId="23" applyNumberFormat="0" applyFill="0" applyAlignment="0" applyProtection="0"/>
    <xf numFmtId="0" fontId="7" fillId="0" borderId="24" applyNumberFormat="0" applyFill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1" fillId="9" borderId="25" applyNumberFormat="0" applyAlignment="0" applyProtection="0"/>
    <xf numFmtId="0" fontId="12" fillId="10" borderId="26" applyNumberFormat="0" applyAlignment="0" applyProtection="0"/>
    <xf numFmtId="0" fontId="13" fillId="10" borderId="25" applyNumberFormat="0" applyAlignment="0" applyProtection="0"/>
    <xf numFmtId="0" fontId="14" fillId="0" borderId="27" applyNumberFormat="0" applyFill="0" applyAlignment="0" applyProtection="0"/>
    <xf numFmtId="0" fontId="15" fillId="11" borderId="28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" fillId="0" borderId="30" applyNumberFormat="0" applyFill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9" fillId="0" borderId="0"/>
    <xf numFmtId="0" fontId="20" fillId="0" borderId="0"/>
    <xf numFmtId="0" fontId="20" fillId="0" borderId="0" applyNumberFormat="0" applyFont="0" applyBorder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0" borderId="0"/>
    <xf numFmtId="0" fontId="1" fillId="0" borderId="0"/>
    <xf numFmtId="166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1" fillId="12" borderId="29" applyNumberFormat="0" applyFont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36" borderId="0" applyNumberFormat="0" applyBorder="0" applyAlignment="0" applyProtection="0"/>
    <xf numFmtId="0" fontId="4" fillId="0" borderId="0" applyNumberFormat="0" applyFill="0" applyBorder="0" applyAlignment="0" applyProtection="0"/>
    <xf numFmtId="0" fontId="10" fillId="8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4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12" borderId="2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164" fontId="0" fillId="0" borderId="1" xfId="1" applyNumberFormat="1" applyFont="1" applyBorder="1"/>
    <xf numFmtId="164" fontId="0" fillId="0" borderId="6" xfId="1" applyNumberFormat="1" applyFont="1" applyBorder="1"/>
    <xf numFmtId="43" fontId="0" fillId="0" borderId="0" xfId="1" applyFont="1"/>
    <xf numFmtId="43" fontId="0" fillId="0" borderId="1" xfId="1" applyFont="1" applyBorder="1" applyAlignment="1">
      <alignment wrapText="1"/>
    </xf>
    <xf numFmtId="43" fontId="0" fillId="0" borderId="1" xfId="1" applyFont="1" applyBorder="1"/>
    <xf numFmtId="43" fontId="0" fillId="0" borderId="6" xfId="1" applyFont="1" applyBorder="1" applyAlignment="1">
      <alignment wrapText="1"/>
    </xf>
    <xf numFmtId="0" fontId="0" fillId="0" borderId="6" xfId="1" applyNumberFormat="1" applyFont="1" applyBorder="1"/>
    <xf numFmtId="43" fontId="0" fillId="0" borderId="13" xfId="1" applyFont="1" applyBorder="1" applyAlignment="1">
      <alignment wrapText="1"/>
    </xf>
    <xf numFmtId="43" fontId="0" fillId="0" borderId="14" xfId="1" applyFont="1" applyBorder="1" applyAlignment="1">
      <alignment wrapText="1"/>
    </xf>
    <xf numFmtId="0" fontId="0" fillId="4" borderId="15" xfId="0" applyFill="1" applyBorder="1" applyAlignment="1">
      <alignment wrapText="1"/>
    </xf>
    <xf numFmtId="0" fontId="0" fillId="4" borderId="16" xfId="0" applyFill="1" applyBorder="1" applyAlignment="1">
      <alignment wrapText="1"/>
    </xf>
    <xf numFmtId="0" fontId="0" fillId="4" borderId="17" xfId="0" applyFill="1" applyBorder="1" applyAlignment="1">
      <alignment wrapText="1"/>
    </xf>
    <xf numFmtId="14" fontId="0" fillId="5" borderId="12" xfId="0" applyNumberFormat="1" applyFill="1" applyBorder="1"/>
    <xf numFmtId="14" fontId="0" fillId="5" borderId="5" xfId="0" applyNumberFormat="1" applyFill="1" applyBorder="1"/>
    <xf numFmtId="0" fontId="0" fillId="0" borderId="18" xfId="0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164" fontId="0" fillId="0" borderId="3" xfId="1" applyNumberFormat="1" applyFont="1" applyBorder="1"/>
    <xf numFmtId="0" fontId="0" fillId="0" borderId="4" xfId="0" applyBorder="1"/>
    <xf numFmtId="0" fontId="0" fillId="0" borderId="21" xfId="0" applyBorder="1"/>
    <xf numFmtId="0" fontId="0" fillId="3" borderId="18" xfId="0" applyFill="1" applyBorder="1"/>
    <xf numFmtId="0" fontId="0" fillId="3" borderId="20" xfId="0" applyFill="1" applyBorder="1" applyAlignment="1">
      <alignment wrapText="1"/>
    </xf>
    <xf numFmtId="164" fontId="0" fillId="0" borderId="4" xfId="1" applyNumberFormat="1" applyFont="1" applyBorder="1"/>
    <xf numFmtId="164" fontId="0" fillId="0" borderId="8" xfId="1" applyNumberFormat="1" applyFont="1" applyBorder="1"/>
    <xf numFmtId="164" fontId="0" fillId="0" borderId="0" xfId="0" applyNumberFormat="1"/>
    <xf numFmtId="165" fontId="0" fillId="0" borderId="0" xfId="1" applyNumberFormat="1" applyFont="1"/>
    <xf numFmtId="165" fontId="0" fillId="4" borderId="16" xfId="1" applyNumberFormat="1" applyFont="1" applyFill="1" applyBorder="1" applyAlignment="1">
      <alignment wrapText="1"/>
    </xf>
    <xf numFmtId="165" fontId="0" fillId="0" borderId="13" xfId="1" applyNumberFormat="1" applyFont="1" applyBorder="1" applyAlignment="1">
      <alignment wrapText="1"/>
    </xf>
    <xf numFmtId="165" fontId="0" fillId="0" borderId="1" xfId="1" applyNumberFormat="1" applyFont="1" applyBorder="1" applyAlignment="1">
      <alignment wrapText="1"/>
    </xf>
    <xf numFmtId="165" fontId="0" fillId="0" borderId="1" xfId="1" applyNumberFormat="1" applyFont="1" applyFill="1" applyBorder="1" applyAlignment="1">
      <alignment wrapText="1"/>
    </xf>
    <xf numFmtId="165" fontId="0" fillId="0" borderId="1" xfId="1" applyNumberFormat="1" applyFont="1" applyBorder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166" fontId="0" fillId="0" borderId="6" xfId="1" applyNumberFormat="1" applyFont="1" applyBorder="1"/>
    <xf numFmtId="43" fontId="0" fillId="0" borderId="6" xfId="1" applyFont="1" applyBorder="1"/>
    <xf numFmtId="43" fontId="0" fillId="0" borderId="8" xfId="1" applyFont="1" applyBorder="1"/>
    <xf numFmtId="43" fontId="0" fillId="0" borderId="9" xfId="1" applyFont="1" applyBorder="1"/>
    <xf numFmtId="14" fontId="0" fillId="0" borderId="13" xfId="0" applyNumberFormat="1" applyBorder="1"/>
    <xf numFmtId="14" fontId="0" fillId="0" borderId="14" xfId="0" applyNumberFormat="1" applyBorder="1"/>
    <xf numFmtId="0" fontId="0" fillId="37" borderId="12" xfId="0" applyFill="1" applyBorder="1"/>
    <xf numFmtId="0" fontId="0" fillId="37" borderId="5" xfId="0" applyFill="1" applyBorder="1"/>
    <xf numFmtId="0" fontId="0" fillId="37" borderId="7" xfId="0" applyFill="1" applyBorder="1"/>
    <xf numFmtId="43" fontId="0" fillId="0" borderId="1" xfId="1" applyFont="1" applyBorder="1" applyAlignment="1">
      <alignment horizontal="center" vertical="center"/>
    </xf>
    <xf numFmtId="10" fontId="0" fillId="0" borderId="6" xfId="1059" applyNumberFormat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10" fontId="0" fillId="0" borderId="9" xfId="1059" applyNumberFormat="1" applyFont="1" applyBorder="1" applyAlignment="1">
      <alignment horizontal="center" vertical="center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7" xfId="0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17" fontId="0" fillId="0" borderId="0" xfId="0" applyNumberFormat="1"/>
    <xf numFmtId="0" fontId="0" fillId="0" borderId="32" xfId="0" applyBorder="1"/>
    <xf numFmtId="0" fontId="0" fillId="0" borderId="33" xfId="0" applyBorder="1"/>
    <xf numFmtId="14" fontId="0" fillId="0" borderId="33" xfId="0" applyNumberFormat="1" applyBorder="1"/>
    <xf numFmtId="17" fontId="0" fillId="2" borderId="15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7" fontId="0" fillId="37" borderId="12" xfId="0" applyNumberFormat="1" applyFill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17" fontId="0" fillId="37" borderId="5" xfId="0" applyNumberFormat="1" applyFill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17" fontId="0" fillId="37" borderId="7" xfId="0" applyNumberFormat="1" applyFill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2" fontId="0" fillId="0" borderId="0" xfId="0" applyNumberFormat="1"/>
    <xf numFmtId="0" fontId="3" fillId="37" borderId="15" xfId="0" applyFont="1" applyFill="1" applyBorder="1" applyAlignment="1">
      <alignment horizontal="center" vertical="center" wrapText="1"/>
    </xf>
    <xf numFmtId="0" fontId="3" fillId="37" borderId="16" xfId="0" applyFont="1" applyFill="1" applyBorder="1" applyAlignment="1">
      <alignment horizontal="center" vertical="center" wrapText="1"/>
    </xf>
    <xf numFmtId="2" fontId="3" fillId="37" borderId="16" xfId="0" applyNumberFormat="1" applyFont="1" applyFill="1" applyBorder="1" applyAlignment="1">
      <alignment horizontal="center" vertical="center" wrapText="1"/>
    </xf>
    <xf numFmtId="2" fontId="3" fillId="37" borderId="17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8" fontId="0" fillId="37" borderId="5" xfId="0" applyNumberFormat="1" applyFill="1" applyBorder="1"/>
    <xf numFmtId="168" fontId="0" fillId="37" borderId="2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1" xfId="1059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0" fillId="0" borderId="0" xfId="0" applyNumberFormat="1" applyAlignment="1">
      <alignment horizontal="center"/>
    </xf>
    <xf numFmtId="14" fontId="0" fillId="0" borderId="1" xfId="1" applyNumberFormat="1" applyFont="1" applyBorder="1"/>
    <xf numFmtId="164" fontId="0" fillId="3" borderId="1" xfId="1" applyNumberFormat="1" applyFont="1" applyFill="1" applyBorder="1"/>
    <xf numFmtId="164" fontId="0" fillId="4" borderId="1" xfId="1" applyNumberFormat="1" applyFont="1" applyFill="1" applyBorder="1"/>
    <xf numFmtId="164" fontId="0" fillId="38" borderId="1" xfId="1" applyNumberFormat="1" applyFont="1" applyFill="1" applyBorder="1"/>
    <xf numFmtId="164" fontId="0" fillId="39" borderId="1" xfId="1" applyNumberFormat="1" applyFont="1" applyFill="1" applyBorder="1"/>
    <xf numFmtId="14" fontId="0" fillId="0" borderId="0" xfId="0" applyNumberFormat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0" borderId="0" xfId="1" applyNumberFormat="1" applyFont="1"/>
    <xf numFmtId="164" fontId="0" fillId="38" borderId="0" xfId="1" applyNumberFormat="1" applyFont="1" applyFill="1"/>
    <xf numFmtId="0" fontId="0" fillId="39" borderId="0" xfId="0" applyFill="1"/>
    <xf numFmtId="2" fontId="3" fillId="37" borderId="19" xfId="0" applyNumberFormat="1" applyFont="1" applyFill="1" applyBorder="1" applyAlignment="1">
      <alignment horizontal="center" vertical="center" wrapText="1"/>
    </xf>
    <xf numFmtId="168" fontId="0" fillId="37" borderId="34" xfId="0" applyNumberFormat="1" applyFill="1" applyBorder="1" applyAlignment="1">
      <alignment horizontal="left" wrapText="1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0" xfId="1059" applyFont="1"/>
    <xf numFmtId="164" fontId="0" fillId="0" borderId="35" xfId="1" applyNumberFormat="1" applyFont="1" applyFill="1" applyBorder="1"/>
    <xf numFmtId="168" fontId="0" fillId="37" borderId="34" xfId="0" applyNumberFormat="1" applyFill="1" applyBorder="1"/>
    <xf numFmtId="2" fontId="3" fillId="37" borderId="2" xfId="0" applyNumberFormat="1" applyFont="1" applyFill="1" applyBorder="1" applyAlignment="1">
      <alignment horizontal="center" vertical="center" wrapText="1"/>
    </xf>
    <xf numFmtId="2" fontId="3" fillId="37" borderId="3" xfId="0" applyNumberFormat="1" applyFont="1" applyFill="1" applyBorder="1" applyAlignment="1">
      <alignment horizontal="center" vertical="center" wrapText="1"/>
    </xf>
    <xf numFmtId="2" fontId="3" fillId="37" borderId="4" xfId="0" applyNumberFormat="1" applyFont="1" applyFill="1" applyBorder="1" applyAlignment="1">
      <alignment horizontal="center" vertical="center" wrapText="1"/>
    </xf>
    <xf numFmtId="14" fontId="3" fillId="0" borderId="1" xfId="1" applyNumberFormat="1" applyFont="1" applyBorder="1" applyAlignment="1">
      <alignment wrapText="1"/>
    </xf>
    <xf numFmtId="164" fontId="3" fillId="3" borderId="1" xfId="1" applyNumberFormat="1" applyFont="1" applyFill="1" applyBorder="1" applyAlignment="1">
      <alignment wrapText="1"/>
    </xf>
    <xf numFmtId="164" fontId="3" fillId="0" borderId="1" xfId="1" applyNumberFormat="1" applyFont="1" applyBorder="1" applyAlignment="1">
      <alignment wrapText="1"/>
    </xf>
    <xf numFmtId="164" fontId="3" fillId="4" borderId="1" xfId="1" applyNumberFormat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wrapText="1"/>
    </xf>
    <xf numFmtId="164" fontId="3" fillId="38" borderId="1" xfId="1" applyNumberFormat="1" applyFont="1" applyFill="1" applyBorder="1" applyAlignment="1">
      <alignment wrapText="1"/>
    </xf>
    <xf numFmtId="164" fontId="3" fillId="39" borderId="1" xfId="1" applyNumberFormat="1" applyFont="1" applyFill="1" applyBorder="1" applyAlignment="1">
      <alignment wrapText="1"/>
    </xf>
    <xf numFmtId="9" fontId="3" fillId="0" borderId="35" xfId="1059" applyFont="1" applyFill="1" applyBorder="1" applyAlignment="1">
      <alignment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0" xfId="0" applyNumberFormat="1" applyAlignment="1">
      <alignment horizontal="center"/>
    </xf>
  </cellXfs>
  <cellStyles count="2096">
    <cellStyle name="20 % - Accent1" xfId="17" builtinId="30" customBuiltin="1"/>
    <cellStyle name="20 % - Accent1 10" xfId="1065" xr:uid="{6CE087F0-FC65-447D-978D-7102D9281695}"/>
    <cellStyle name="20 % - Accent1 2" xfId="62" xr:uid="{AAA5ADA3-258A-4C91-83A0-C5BF30A733EA}"/>
    <cellStyle name="20 % - Accent1 2 2" xfId="188" xr:uid="{27FF00AD-B9AA-4F5B-AE0C-219F4ECAEDD8}"/>
    <cellStyle name="20 % - Accent1 2 2 2" xfId="445" xr:uid="{E541BA6C-B0AD-4171-A8C4-BA4BF767372A}"/>
    <cellStyle name="20 % - Accent1 2 2 2 2" xfId="953" xr:uid="{BD3B772F-17B7-4E48-A6D5-A2DFECBB7EB5}"/>
    <cellStyle name="20 % - Accent1 2 2 2 2 2" xfId="1976" xr:uid="{BF3B308F-7DEF-4551-AF27-55709127BAC3}"/>
    <cellStyle name="20 % - Accent1 2 2 2 3" xfId="1468" xr:uid="{AF710A6D-9B04-498C-88BC-F581958883ED}"/>
    <cellStyle name="20 % - Accent1 2 2 3" xfId="699" xr:uid="{DBC2EF3D-D022-4DE2-B0CA-B344B650E9A8}"/>
    <cellStyle name="20 % - Accent1 2 2 3 2" xfId="1722" xr:uid="{BBAA2AAD-3D6B-4A1A-B465-42F26D708F3F}"/>
    <cellStyle name="20 % - Accent1 2 2 4" xfId="1214" xr:uid="{FC85E3E8-BD0A-46BE-806E-5770866F4999}"/>
    <cellStyle name="20 % - Accent1 2 3" xfId="319" xr:uid="{0001D848-1EFF-4420-A203-EA4C47736226}"/>
    <cellStyle name="20 % - Accent1 2 3 2" xfId="827" xr:uid="{C1C9F728-47B1-4066-8414-E21ED7B1A240}"/>
    <cellStyle name="20 % - Accent1 2 3 2 2" xfId="1850" xr:uid="{8AA4BD57-139A-48AA-A16C-C3F28D331C88}"/>
    <cellStyle name="20 % - Accent1 2 3 3" xfId="1342" xr:uid="{CBBDB945-55F7-4B0A-891D-DF39CEE3640F}"/>
    <cellStyle name="20 % - Accent1 2 4" xfId="573" xr:uid="{1C047641-8E28-46CB-81FF-EDC107456F1D}"/>
    <cellStyle name="20 % - Accent1 2 4 2" xfId="1596" xr:uid="{570C6763-672E-4AA4-A5F6-684E1E06BDD4}"/>
    <cellStyle name="20 % - Accent1 2 5" xfId="1089" xr:uid="{0856D874-4FD8-49C4-A385-7026FCAC32A0}"/>
    <cellStyle name="20 % - Accent1 3" xfId="83" xr:uid="{A526B215-C618-47E4-88C2-71B7070B49BC}"/>
    <cellStyle name="20 % - Accent1 3 2" xfId="209" xr:uid="{C90DC48F-40D9-432A-9E5D-D41D8AD19F41}"/>
    <cellStyle name="20 % - Accent1 3 2 2" xfId="466" xr:uid="{58A0D428-D653-4811-839E-F052E416C915}"/>
    <cellStyle name="20 % - Accent1 3 2 2 2" xfId="974" xr:uid="{22B37AEF-C1EB-4CBB-820F-EC118FA4B364}"/>
    <cellStyle name="20 % - Accent1 3 2 2 2 2" xfId="1997" xr:uid="{8973690C-7BCA-42A0-A463-F97015BC01E2}"/>
    <cellStyle name="20 % - Accent1 3 2 2 3" xfId="1489" xr:uid="{FA9FFC7E-033C-4F00-9579-BF0827520D8E}"/>
    <cellStyle name="20 % - Accent1 3 2 3" xfId="720" xr:uid="{986DEFD6-32C7-4BBA-9523-08CC8E6A80CE}"/>
    <cellStyle name="20 % - Accent1 3 2 3 2" xfId="1743" xr:uid="{8285CC5D-90A9-4384-8C1D-EE3387761523}"/>
    <cellStyle name="20 % - Accent1 3 2 4" xfId="1235" xr:uid="{69C10F5D-B58C-4A98-A60B-EE50080D5863}"/>
    <cellStyle name="20 % - Accent1 3 3" xfId="340" xr:uid="{0030C78F-A22A-4673-84CE-05AB8F6120BB}"/>
    <cellStyle name="20 % - Accent1 3 3 2" xfId="848" xr:uid="{88C912CE-146D-4DA0-97B6-21AECB85E08D}"/>
    <cellStyle name="20 % - Accent1 3 3 2 2" xfId="1871" xr:uid="{7515E6CD-9AC5-440E-B6FF-48EE72083D7C}"/>
    <cellStyle name="20 % - Accent1 3 3 3" xfId="1363" xr:uid="{5DFA7C53-1448-47F7-9435-684B23871634}"/>
    <cellStyle name="20 % - Accent1 3 4" xfId="594" xr:uid="{F1795956-2A46-4134-94B3-755ABAB4649D}"/>
    <cellStyle name="20 % - Accent1 3 4 2" xfId="1617" xr:uid="{F00F5F34-607B-4BCB-979B-B7D1D067B558}"/>
    <cellStyle name="20 % - Accent1 3 5" xfId="1110" xr:uid="{42DC5E31-2EC8-4544-B8B1-38312C392F9B}"/>
    <cellStyle name="20 % - Accent1 4" xfId="104" xr:uid="{F660E129-B64D-4113-A879-111ED0DC7600}"/>
    <cellStyle name="20 % - Accent1 4 2" xfId="230" xr:uid="{FC16C737-FAD2-4E9F-B4FC-A2DAB6751849}"/>
    <cellStyle name="20 % - Accent1 4 2 2" xfId="487" xr:uid="{3046DFE2-093E-419D-B1CC-75920C0DE636}"/>
    <cellStyle name="20 % - Accent1 4 2 2 2" xfId="995" xr:uid="{F5F00208-90B4-4CC2-A9F8-DB079DAF42C7}"/>
    <cellStyle name="20 % - Accent1 4 2 2 2 2" xfId="2018" xr:uid="{C1546024-879F-4718-B249-1F5EB9A5F57E}"/>
    <cellStyle name="20 % - Accent1 4 2 2 3" xfId="1510" xr:uid="{28D8C271-4005-463A-BDB3-8B2F77FAB70B}"/>
    <cellStyle name="20 % - Accent1 4 2 3" xfId="741" xr:uid="{2CB54F50-F80D-40F5-B074-5A6F9A8D098D}"/>
    <cellStyle name="20 % - Accent1 4 2 3 2" xfId="1764" xr:uid="{B3C38D0D-5C7A-469C-89CB-15A14907AD82}"/>
    <cellStyle name="20 % - Accent1 4 2 4" xfId="1256" xr:uid="{39922A61-B1B4-4EE4-B139-C255D696C244}"/>
    <cellStyle name="20 % - Accent1 4 3" xfId="361" xr:uid="{EAC68D32-4F33-468E-9127-5115558690B9}"/>
    <cellStyle name="20 % - Accent1 4 3 2" xfId="869" xr:uid="{A21860C0-31D9-4E4F-BB4F-83F0B785B7D6}"/>
    <cellStyle name="20 % - Accent1 4 3 2 2" xfId="1892" xr:uid="{57271EF0-47F2-4066-BCA7-5BD8F48079D0}"/>
    <cellStyle name="20 % - Accent1 4 3 3" xfId="1384" xr:uid="{0773895F-D8C3-4B4E-A71E-F97D0D886DC6}"/>
    <cellStyle name="20 % - Accent1 4 4" xfId="615" xr:uid="{B0CE4E4C-5D29-4714-A55D-1402CBFA8962}"/>
    <cellStyle name="20 % - Accent1 4 4 2" xfId="1638" xr:uid="{43FDB057-08B9-4487-BE07-B22DA6BCC7E3}"/>
    <cellStyle name="20 % - Accent1 4 5" xfId="1131" xr:uid="{F6C81B32-26F9-43F4-A613-E0BA4C0DB34B}"/>
    <cellStyle name="20 % - Accent1 5" xfId="125" xr:uid="{AE1B3894-1D96-4386-8382-A0F046B4D993}"/>
    <cellStyle name="20 % - Accent1 5 2" xfId="251" xr:uid="{0DC59FF5-A890-4015-AB6B-791AE8B60223}"/>
    <cellStyle name="20 % - Accent1 5 2 2" xfId="508" xr:uid="{5E925916-B963-4869-9697-797500C131B5}"/>
    <cellStyle name="20 % - Accent1 5 2 2 2" xfId="1016" xr:uid="{6DFC6279-F59D-48D0-B89B-B3D304548499}"/>
    <cellStyle name="20 % - Accent1 5 2 2 2 2" xfId="2039" xr:uid="{060406A3-FD8E-4B41-96B2-DCF65389EF35}"/>
    <cellStyle name="20 % - Accent1 5 2 2 3" xfId="1531" xr:uid="{6044B58F-A270-4CC6-94DF-1413BF9A941C}"/>
    <cellStyle name="20 % - Accent1 5 2 3" xfId="762" xr:uid="{F77A81D4-31EE-4E40-9622-A716F63B83D7}"/>
    <cellStyle name="20 % - Accent1 5 2 3 2" xfId="1785" xr:uid="{CE88C5E2-F945-408A-95CB-9601A08B5E7F}"/>
    <cellStyle name="20 % - Accent1 5 2 4" xfId="1277" xr:uid="{2A83FDE8-C50B-4C05-96A2-33023F10FF96}"/>
    <cellStyle name="20 % - Accent1 5 3" xfId="382" xr:uid="{29DD4FD7-F3A0-4C82-9900-ABD7F4612346}"/>
    <cellStyle name="20 % - Accent1 5 3 2" xfId="890" xr:uid="{175B8265-C44C-4A02-988B-8EDEE15A27C3}"/>
    <cellStyle name="20 % - Accent1 5 3 2 2" xfId="1913" xr:uid="{F277B9A0-2670-4792-A074-21EBD718808A}"/>
    <cellStyle name="20 % - Accent1 5 3 3" xfId="1405" xr:uid="{0D500F30-5C9D-4631-A9B3-4721FD4A97B2}"/>
    <cellStyle name="20 % - Accent1 5 4" xfId="636" xr:uid="{E79882F5-69D7-4A26-8218-68BC813E2CC1}"/>
    <cellStyle name="20 % - Accent1 5 4 2" xfId="1659" xr:uid="{3FE1AEAE-DEC1-493F-A7E1-63239B2C67B4}"/>
    <cellStyle name="20 % - Accent1 5 5" xfId="1152" xr:uid="{BEF145DA-CA27-47C0-83EF-2F0E7EA9BEB9}"/>
    <cellStyle name="20 % - Accent1 6" xfId="146" xr:uid="{43C83589-1AE8-4547-951B-9C4D46D6DD52}"/>
    <cellStyle name="20 % - Accent1 6 2" xfId="272" xr:uid="{0AE4B9E6-DF2D-48D3-8FF7-E0B80F5EA27F}"/>
    <cellStyle name="20 % - Accent1 6 2 2" xfId="529" xr:uid="{CE3ACF41-3C39-4C60-AAB0-E0E00ABE3EB0}"/>
    <cellStyle name="20 % - Accent1 6 2 2 2" xfId="1037" xr:uid="{8FBE165B-2C2F-420F-B0C1-5AFD30970AB0}"/>
    <cellStyle name="20 % - Accent1 6 2 2 2 2" xfId="2060" xr:uid="{75BC7701-6961-46E8-B760-F7FFE84B2AD6}"/>
    <cellStyle name="20 % - Accent1 6 2 2 3" xfId="1552" xr:uid="{AA30F3A1-756C-4593-ADAA-EBE4C72CEA60}"/>
    <cellStyle name="20 % - Accent1 6 2 3" xfId="783" xr:uid="{2D54D978-5EED-4A70-B33B-6893DA882892}"/>
    <cellStyle name="20 % - Accent1 6 2 3 2" xfId="1806" xr:uid="{9D7A2825-F10A-4184-BB16-B11C11FAB127}"/>
    <cellStyle name="20 % - Accent1 6 2 4" xfId="1298" xr:uid="{1D145281-8538-4726-9ACA-BA39DEB8E324}"/>
    <cellStyle name="20 % - Accent1 6 3" xfId="403" xr:uid="{D5A2965C-4681-403E-829E-4AD6ED605AEE}"/>
    <cellStyle name="20 % - Accent1 6 3 2" xfId="911" xr:uid="{261BADEE-D9F0-43E5-84C9-22AD9E8C8D7B}"/>
    <cellStyle name="20 % - Accent1 6 3 2 2" xfId="1934" xr:uid="{BF67425B-90B7-4026-A1F3-D79069883184}"/>
    <cellStyle name="20 % - Accent1 6 3 3" xfId="1426" xr:uid="{B3E45B9A-7D59-49F0-9439-FB56CEAC3A7A}"/>
    <cellStyle name="20 % - Accent1 6 4" xfId="657" xr:uid="{D517078D-157B-42F4-8A66-0FA648EC9B5D}"/>
    <cellStyle name="20 % - Accent1 6 4 2" xfId="1680" xr:uid="{802E5942-6AB5-4B65-B7E4-9E86E09B6C30}"/>
    <cellStyle name="20 % - Accent1 6 5" xfId="1173" xr:uid="{B81B5CE7-09E9-435C-9888-B5A746D4E052}"/>
    <cellStyle name="20 % - Accent1 7" xfId="164" xr:uid="{FBA13C05-5AF3-4AE9-A5CE-27B04F9F968A}"/>
    <cellStyle name="20 % - Accent1 7 2" xfId="421" xr:uid="{7E0C98EB-6D9D-4983-9204-109AA159DE3B}"/>
    <cellStyle name="20 % - Accent1 7 2 2" xfId="929" xr:uid="{0D509D5C-502D-4896-B05A-3C4BE4990E54}"/>
    <cellStyle name="20 % - Accent1 7 2 2 2" xfId="1952" xr:uid="{0F38021C-EDDD-4901-A766-E2D7D0EA6263}"/>
    <cellStyle name="20 % - Accent1 7 2 3" xfId="1444" xr:uid="{A258752A-F0E8-4890-BA9B-5A996A530B41}"/>
    <cellStyle name="20 % - Accent1 7 3" xfId="675" xr:uid="{DBEADD7B-CB7E-46DF-8466-B2C75B016199}"/>
    <cellStyle name="20 % - Accent1 7 3 2" xfId="1698" xr:uid="{A6223D27-9032-41CA-A37B-84CF8EFA2B8B}"/>
    <cellStyle name="20 % - Accent1 7 4" xfId="1191" xr:uid="{33DAD7A4-DA62-4EF9-9400-57908CE3ED4B}"/>
    <cellStyle name="20 % - Accent1 8" xfId="295" xr:uid="{09D64F44-74CF-4061-92B5-0901EEB7F0B5}"/>
    <cellStyle name="20 % - Accent1 8 2" xfId="803" xr:uid="{94202B85-7A67-481F-A070-6411DFA67C9F}"/>
    <cellStyle name="20 % - Accent1 8 2 2" xfId="1826" xr:uid="{E2EA3F0D-7C10-4E8D-BF93-A432A1889FB5}"/>
    <cellStyle name="20 % - Accent1 8 3" xfId="1318" xr:uid="{0ADFB4E0-A9C2-4693-ACF1-76C30B3623F8}"/>
    <cellStyle name="20 % - Accent1 9" xfId="549" xr:uid="{C1F02D15-6AAC-437D-9611-41E0B811287E}"/>
    <cellStyle name="20 % - Accent1 9 2" xfId="1572" xr:uid="{395AE7BC-2D58-4F0B-ADBA-62999E91A37B}"/>
    <cellStyle name="20 % - Accent2" xfId="20" builtinId="34" customBuiltin="1"/>
    <cellStyle name="20 % - Accent2 10" xfId="1067" xr:uid="{D72E1330-2B23-4999-BB7D-7EC3A542B560}"/>
    <cellStyle name="20 % - Accent2 2" xfId="64" xr:uid="{71BB3014-E665-4BBB-AC9F-CC5CD31F5859}"/>
    <cellStyle name="20 % - Accent2 2 2" xfId="190" xr:uid="{7A8C0505-FB10-4548-B17B-D08E1AB46A57}"/>
    <cellStyle name="20 % - Accent2 2 2 2" xfId="447" xr:uid="{4B5CDFDD-470F-4DC2-8BDE-7741ABBFC35B}"/>
    <cellStyle name="20 % - Accent2 2 2 2 2" xfId="955" xr:uid="{AA157179-066E-464A-BC43-6ABF645F1877}"/>
    <cellStyle name="20 % - Accent2 2 2 2 2 2" xfId="1978" xr:uid="{AEC5E35C-9B03-408C-82B7-5C5CFC187F0B}"/>
    <cellStyle name="20 % - Accent2 2 2 2 3" xfId="1470" xr:uid="{28C68E30-4FA1-4EBC-81D2-F2547B40488A}"/>
    <cellStyle name="20 % - Accent2 2 2 3" xfId="701" xr:uid="{B0ECB90D-E413-4E80-A05C-57753488FCAD}"/>
    <cellStyle name="20 % - Accent2 2 2 3 2" xfId="1724" xr:uid="{9097766C-DCB7-48EF-8A8C-5769C1CDAD2F}"/>
    <cellStyle name="20 % - Accent2 2 2 4" xfId="1216" xr:uid="{FA1FDAB2-D315-4611-AD4D-6FFD3353919B}"/>
    <cellStyle name="20 % - Accent2 2 3" xfId="321" xr:uid="{AD879D97-FCD0-4132-80E2-980B18DD3F59}"/>
    <cellStyle name="20 % - Accent2 2 3 2" xfId="829" xr:uid="{9EE9CCCF-B6CF-43DF-9897-046A05B0DACA}"/>
    <cellStyle name="20 % - Accent2 2 3 2 2" xfId="1852" xr:uid="{E769490C-FE37-4E19-8D1F-087563A2D268}"/>
    <cellStyle name="20 % - Accent2 2 3 3" xfId="1344" xr:uid="{CAFC6DF8-B01C-4C5C-878B-500EDC18ED4B}"/>
    <cellStyle name="20 % - Accent2 2 4" xfId="575" xr:uid="{D371D864-0AFB-4027-821E-DDCEB500A92C}"/>
    <cellStyle name="20 % - Accent2 2 4 2" xfId="1598" xr:uid="{88E8F634-7E72-4ECE-B798-C699877EB9A0}"/>
    <cellStyle name="20 % - Accent2 2 5" xfId="1091" xr:uid="{B76438B9-C977-48A0-AECB-175D9F3D7DB4}"/>
    <cellStyle name="20 % - Accent2 3" xfId="85" xr:uid="{2A9EE316-8646-443F-A824-130952FC0424}"/>
    <cellStyle name="20 % - Accent2 3 2" xfId="211" xr:uid="{9088819E-4E55-4E9E-A3DB-B6CAF0B688EF}"/>
    <cellStyle name="20 % - Accent2 3 2 2" xfId="468" xr:uid="{9CCB1B07-71AD-431D-840E-432AA920CDB1}"/>
    <cellStyle name="20 % - Accent2 3 2 2 2" xfId="976" xr:uid="{11272C80-42D9-4DCF-A52D-3B302E8495B8}"/>
    <cellStyle name="20 % - Accent2 3 2 2 2 2" xfId="1999" xr:uid="{13F1DBA3-3138-4784-AC0D-7D5832D38ED7}"/>
    <cellStyle name="20 % - Accent2 3 2 2 3" xfId="1491" xr:uid="{396B2DA2-0827-4E35-A86A-0802B02A3207}"/>
    <cellStyle name="20 % - Accent2 3 2 3" xfId="722" xr:uid="{68C2A374-B06E-4D89-9ED0-A2D400CFE1FF}"/>
    <cellStyle name="20 % - Accent2 3 2 3 2" xfId="1745" xr:uid="{C375A53E-3668-4460-A843-F166410B13CD}"/>
    <cellStyle name="20 % - Accent2 3 2 4" xfId="1237" xr:uid="{9030AB16-90DB-4C77-97B8-84A0CC2D555F}"/>
    <cellStyle name="20 % - Accent2 3 3" xfId="342" xr:uid="{85EC0143-BB4D-47FC-9F1C-2A35B2FCBFA9}"/>
    <cellStyle name="20 % - Accent2 3 3 2" xfId="850" xr:uid="{2A25BC9F-F039-41C9-83C0-D9CE8BAC7042}"/>
    <cellStyle name="20 % - Accent2 3 3 2 2" xfId="1873" xr:uid="{0B6B3AA7-17A4-4225-8C0C-B401D9B7D8F4}"/>
    <cellStyle name="20 % - Accent2 3 3 3" xfId="1365" xr:uid="{C3C3BAEF-4462-4BC9-9DA8-C047FA10C3B2}"/>
    <cellStyle name="20 % - Accent2 3 4" xfId="596" xr:uid="{228EBF73-7550-4A72-B689-A86D0881BD28}"/>
    <cellStyle name="20 % - Accent2 3 4 2" xfId="1619" xr:uid="{9F8CA203-18B6-40C2-9E57-603204B7191E}"/>
    <cellStyle name="20 % - Accent2 3 5" xfId="1112" xr:uid="{27330C47-CDB6-4F00-B513-0CA8FA461D7D}"/>
    <cellStyle name="20 % - Accent2 4" xfId="106" xr:uid="{E7E52174-4A9D-45B7-9351-1714984D248D}"/>
    <cellStyle name="20 % - Accent2 4 2" xfId="232" xr:uid="{4AFFDD85-02CD-4D76-8FEA-8A60E48DF940}"/>
    <cellStyle name="20 % - Accent2 4 2 2" xfId="489" xr:uid="{4DDBCD65-1D52-40C1-A1C2-E69112459234}"/>
    <cellStyle name="20 % - Accent2 4 2 2 2" xfId="997" xr:uid="{E76700EC-8F99-4FFA-B745-CCFDE1DCEBB8}"/>
    <cellStyle name="20 % - Accent2 4 2 2 2 2" xfId="2020" xr:uid="{7CE212F2-20EA-494B-B9BC-F7F4741085F3}"/>
    <cellStyle name="20 % - Accent2 4 2 2 3" xfId="1512" xr:uid="{F9E9D800-18A0-425B-A145-D1E6FE8B9291}"/>
    <cellStyle name="20 % - Accent2 4 2 3" xfId="743" xr:uid="{298DE65C-F504-46FE-92B5-13D3D37FC1AE}"/>
    <cellStyle name="20 % - Accent2 4 2 3 2" xfId="1766" xr:uid="{AF2FE43B-6DCA-43E5-A1C9-F3A1DBFBD30F}"/>
    <cellStyle name="20 % - Accent2 4 2 4" xfId="1258" xr:uid="{523F1988-9600-4526-803B-D26CCE542A6C}"/>
    <cellStyle name="20 % - Accent2 4 3" xfId="363" xr:uid="{7E46DCE5-0859-4F39-969B-1C2F18FDAFA6}"/>
    <cellStyle name="20 % - Accent2 4 3 2" xfId="871" xr:uid="{AF1813D3-D6F0-42D7-971C-5F4F987640CB}"/>
    <cellStyle name="20 % - Accent2 4 3 2 2" xfId="1894" xr:uid="{B2C2C0EC-EDEB-4459-AEC8-B8430FB331DB}"/>
    <cellStyle name="20 % - Accent2 4 3 3" xfId="1386" xr:uid="{FF21E411-EC6E-4F45-BB2F-97405EC54D98}"/>
    <cellStyle name="20 % - Accent2 4 4" xfId="617" xr:uid="{BCC9C9BE-62E7-4E20-A4CB-F89032653A77}"/>
    <cellStyle name="20 % - Accent2 4 4 2" xfId="1640" xr:uid="{D51860D9-EF66-47E3-9DCF-8F090E27B6F6}"/>
    <cellStyle name="20 % - Accent2 4 5" xfId="1133" xr:uid="{253B4A65-3F2E-47C3-AF96-EBD49D46A648}"/>
    <cellStyle name="20 % - Accent2 5" xfId="127" xr:uid="{FD97F3B1-EBFE-4EB3-8A36-EB8016DBF320}"/>
    <cellStyle name="20 % - Accent2 5 2" xfId="253" xr:uid="{4401E16A-CC3D-4E00-993F-9DF4F1906060}"/>
    <cellStyle name="20 % - Accent2 5 2 2" xfId="510" xr:uid="{6AAD69EA-D81C-40F5-824A-88547E9523E5}"/>
    <cellStyle name="20 % - Accent2 5 2 2 2" xfId="1018" xr:uid="{4B1B0667-F347-4A91-9626-0660B5BEAE75}"/>
    <cellStyle name="20 % - Accent2 5 2 2 2 2" xfId="2041" xr:uid="{F9BD2A7E-08FD-4952-B81E-AD1EBD2B7673}"/>
    <cellStyle name="20 % - Accent2 5 2 2 3" xfId="1533" xr:uid="{9F0D70FD-041C-44F8-A886-257B7C93783E}"/>
    <cellStyle name="20 % - Accent2 5 2 3" xfId="764" xr:uid="{A9F1B453-1653-48C5-B141-6D288CE753F0}"/>
    <cellStyle name="20 % - Accent2 5 2 3 2" xfId="1787" xr:uid="{653C7D6B-76BA-47D2-9B01-A66B69D65950}"/>
    <cellStyle name="20 % - Accent2 5 2 4" xfId="1279" xr:uid="{DBB0E74A-4A02-4B60-8272-7750882DAC12}"/>
    <cellStyle name="20 % - Accent2 5 3" xfId="384" xr:uid="{74B8CB8D-DB1C-40CB-A505-DA4165F043C4}"/>
    <cellStyle name="20 % - Accent2 5 3 2" xfId="892" xr:uid="{4EF86FA9-CD48-4394-8C33-A5ADFC4A86FE}"/>
    <cellStyle name="20 % - Accent2 5 3 2 2" xfId="1915" xr:uid="{F8EC6D5C-6885-4644-8ED1-79985B1D3808}"/>
    <cellStyle name="20 % - Accent2 5 3 3" xfId="1407" xr:uid="{DD0AB59E-00A6-401C-8935-DA72BDBC9611}"/>
    <cellStyle name="20 % - Accent2 5 4" xfId="638" xr:uid="{ABD0176E-D901-4E3F-B475-52AD6827098F}"/>
    <cellStyle name="20 % - Accent2 5 4 2" xfId="1661" xr:uid="{8868A04B-96B5-4E75-BC56-693A8330FD51}"/>
    <cellStyle name="20 % - Accent2 5 5" xfId="1154" xr:uid="{D95BD0B7-C9D1-47C0-9B9D-42990DEBB215}"/>
    <cellStyle name="20 % - Accent2 6" xfId="148" xr:uid="{774159C8-1EE3-44AE-B554-84390233C2EB}"/>
    <cellStyle name="20 % - Accent2 6 2" xfId="274" xr:uid="{1F0FC2BB-887C-42CB-87A5-3D743F1DD353}"/>
    <cellStyle name="20 % - Accent2 6 2 2" xfId="531" xr:uid="{47935127-2711-403F-881B-F54E26CD63AC}"/>
    <cellStyle name="20 % - Accent2 6 2 2 2" xfId="1039" xr:uid="{452F18F0-08A5-466E-944F-88E0BDD69AB0}"/>
    <cellStyle name="20 % - Accent2 6 2 2 2 2" xfId="2062" xr:uid="{B7FD85CE-53DD-4162-B9C6-DCB90D3587C0}"/>
    <cellStyle name="20 % - Accent2 6 2 2 3" xfId="1554" xr:uid="{898262D2-2DF1-4DB3-8091-973D6D2E4D07}"/>
    <cellStyle name="20 % - Accent2 6 2 3" xfId="785" xr:uid="{4B6C8F40-6560-4ABD-92AB-84EEACE7B8CC}"/>
    <cellStyle name="20 % - Accent2 6 2 3 2" xfId="1808" xr:uid="{C53D17A7-8EB8-4F1C-8BE2-1670939C756E}"/>
    <cellStyle name="20 % - Accent2 6 2 4" xfId="1300" xr:uid="{6248052F-5EEA-48F9-8C04-09398F3AFEE9}"/>
    <cellStyle name="20 % - Accent2 6 3" xfId="405" xr:uid="{96866759-4486-41F1-9ADB-D9F042516192}"/>
    <cellStyle name="20 % - Accent2 6 3 2" xfId="913" xr:uid="{7CE18531-A257-42D0-8C3E-18084AF7CA4E}"/>
    <cellStyle name="20 % - Accent2 6 3 2 2" xfId="1936" xr:uid="{DD928AB6-4C2B-49F2-B48C-1D28951C7DF5}"/>
    <cellStyle name="20 % - Accent2 6 3 3" xfId="1428" xr:uid="{E79A1D5A-316C-4321-8DB7-F5AFC8369A26}"/>
    <cellStyle name="20 % - Accent2 6 4" xfId="659" xr:uid="{FFAE044B-5648-4F1E-97D6-7AA946ADA4A8}"/>
    <cellStyle name="20 % - Accent2 6 4 2" xfId="1682" xr:uid="{1711628E-E854-4C01-AC10-231B73A9A5E9}"/>
    <cellStyle name="20 % - Accent2 6 5" xfId="1175" xr:uid="{341E4017-275B-490F-B998-20FB2BA5AB7B}"/>
    <cellStyle name="20 % - Accent2 7" xfId="166" xr:uid="{4DFAA57C-D7C3-4EDE-A805-4496EEFD8630}"/>
    <cellStyle name="20 % - Accent2 7 2" xfId="423" xr:uid="{12CAD1D3-A322-4D78-B10A-BC6D86BE79BD}"/>
    <cellStyle name="20 % - Accent2 7 2 2" xfId="931" xr:uid="{26EA01ED-C517-4771-9A33-F03ACB57FCED}"/>
    <cellStyle name="20 % - Accent2 7 2 2 2" xfId="1954" xr:uid="{D757151D-218E-4C2A-840B-4935D6193C8E}"/>
    <cellStyle name="20 % - Accent2 7 2 3" xfId="1446" xr:uid="{D74E3772-9AEE-4C09-9AF0-A00717370DA2}"/>
    <cellStyle name="20 % - Accent2 7 3" xfId="677" xr:uid="{74EA8549-6B68-4699-AC96-BF66C55255E3}"/>
    <cellStyle name="20 % - Accent2 7 3 2" xfId="1700" xr:uid="{C211FB19-BB9B-46C4-A891-26908C7949D1}"/>
    <cellStyle name="20 % - Accent2 7 4" xfId="1193" xr:uid="{78B54745-A636-411D-A204-6DD13284F857}"/>
    <cellStyle name="20 % - Accent2 8" xfId="297" xr:uid="{3240C128-0ACE-4D10-92A1-22E7E0A8F02C}"/>
    <cellStyle name="20 % - Accent2 8 2" xfId="805" xr:uid="{52E9BAE8-40CC-4DE4-BF14-410F8E81B532}"/>
    <cellStyle name="20 % - Accent2 8 2 2" xfId="1828" xr:uid="{377BD48E-7D54-47DA-8DBE-80164C0FD758}"/>
    <cellStyle name="20 % - Accent2 8 3" xfId="1320" xr:uid="{418706A7-6A52-4C44-A8DA-0ECE1AC0F649}"/>
    <cellStyle name="20 % - Accent2 9" xfId="551" xr:uid="{E4690965-BBC7-45B0-97EB-C0524E8B5862}"/>
    <cellStyle name="20 % - Accent2 9 2" xfId="1574" xr:uid="{BF8F6E07-644B-4D92-968C-9CA2881F2BFD}"/>
    <cellStyle name="20 % - Accent3" xfId="23" builtinId="38" customBuiltin="1"/>
    <cellStyle name="20 % - Accent3 10" xfId="1069" xr:uid="{5D1BB995-41A9-4C8B-BE2A-EA771209627D}"/>
    <cellStyle name="20 % - Accent3 2" xfId="66" xr:uid="{2258375A-3440-4073-9151-9315CEC0CA71}"/>
    <cellStyle name="20 % - Accent3 2 2" xfId="192" xr:uid="{D7E70F73-DA2B-4594-8992-A80DD0179FD9}"/>
    <cellStyle name="20 % - Accent3 2 2 2" xfId="449" xr:uid="{8499136B-9718-45FC-A233-39EEFD204915}"/>
    <cellStyle name="20 % - Accent3 2 2 2 2" xfId="957" xr:uid="{070B72FA-43C6-4074-ACCD-EA051FD74CC3}"/>
    <cellStyle name="20 % - Accent3 2 2 2 2 2" xfId="1980" xr:uid="{23D6058E-F7D7-4723-A431-A6E27F18774D}"/>
    <cellStyle name="20 % - Accent3 2 2 2 3" xfId="1472" xr:uid="{79644104-ED4B-47CA-B7BA-91D8A078C532}"/>
    <cellStyle name="20 % - Accent3 2 2 3" xfId="703" xr:uid="{38C118E9-E5C1-45E4-87B3-D5E93E4AA2AC}"/>
    <cellStyle name="20 % - Accent3 2 2 3 2" xfId="1726" xr:uid="{463A33AA-1729-4657-909C-5BB6ADB3A6DC}"/>
    <cellStyle name="20 % - Accent3 2 2 4" xfId="1218" xr:uid="{94B523AA-18CD-4D50-897D-717934D594DB}"/>
    <cellStyle name="20 % - Accent3 2 3" xfId="323" xr:uid="{110604C1-8F37-437B-9713-3688463C03AF}"/>
    <cellStyle name="20 % - Accent3 2 3 2" xfId="831" xr:uid="{CE8583EC-6C69-457F-9A0C-346BEB2F76D9}"/>
    <cellStyle name="20 % - Accent3 2 3 2 2" xfId="1854" xr:uid="{0B14377E-EEA4-40EE-AB09-C2DBFB668759}"/>
    <cellStyle name="20 % - Accent3 2 3 3" xfId="1346" xr:uid="{07EDAE89-2C1F-4F11-8CEC-6CD324D1B1A1}"/>
    <cellStyle name="20 % - Accent3 2 4" xfId="577" xr:uid="{A7C54751-8286-4627-AE00-132DBB0089EE}"/>
    <cellStyle name="20 % - Accent3 2 4 2" xfId="1600" xr:uid="{0968F650-71E7-4C1E-A5BA-80BDF9D8AD88}"/>
    <cellStyle name="20 % - Accent3 2 5" xfId="1093" xr:uid="{B5986A2B-2D08-42DA-B945-223C8D3DD5D4}"/>
    <cellStyle name="20 % - Accent3 3" xfId="87" xr:uid="{8B0AA166-B6E1-44A6-AA5A-408057D56EFA}"/>
    <cellStyle name="20 % - Accent3 3 2" xfId="213" xr:uid="{0A03A5CE-462D-4760-B00B-63DF0142895C}"/>
    <cellStyle name="20 % - Accent3 3 2 2" xfId="470" xr:uid="{5CBB09EF-A52D-4E96-BFFC-18008BBA816D}"/>
    <cellStyle name="20 % - Accent3 3 2 2 2" xfId="978" xr:uid="{A67FD0DE-FC09-48C9-AB6F-91C85F486376}"/>
    <cellStyle name="20 % - Accent3 3 2 2 2 2" xfId="2001" xr:uid="{A7B31D21-1E6A-46AD-B469-74D6F0B1263E}"/>
    <cellStyle name="20 % - Accent3 3 2 2 3" xfId="1493" xr:uid="{705C6F8B-5957-454B-ABCE-AC6401D46F84}"/>
    <cellStyle name="20 % - Accent3 3 2 3" xfId="724" xr:uid="{AFAD0658-0EBD-43E7-BCD5-DED888D6F748}"/>
    <cellStyle name="20 % - Accent3 3 2 3 2" xfId="1747" xr:uid="{E077E931-8933-4A79-829E-E93630AE1F0E}"/>
    <cellStyle name="20 % - Accent3 3 2 4" xfId="1239" xr:uid="{429583AA-669F-477C-B46E-391A2019FB6C}"/>
    <cellStyle name="20 % - Accent3 3 3" xfId="344" xr:uid="{5B67DC97-2329-47E6-AFA1-D07FA56E01C5}"/>
    <cellStyle name="20 % - Accent3 3 3 2" xfId="852" xr:uid="{F8ADBB24-8F26-4741-980D-BA1AB7775C3A}"/>
    <cellStyle name="20 % - Accent3 3 3 2 2" xfId="1875" xr:uid="{92E83643-36C4-461A-B7CC-F296868922A4}"/>
    <cellStyle name="20 % - Accent3 3 3 3" xfId="1367" xr:uid="{D96271DC-A1F3-49B5-A7E4-400066B646EC}"/>
    <cellStyle name="20 % - Accent3 3 4" xfId="598" xr:uid="{F0906C97-F682-4890-A976-02FAD88D5301}"/>
    <cellStyle name="20 % - Accent3 3 4 2" xfId="1621" xr:uid="{CBCE24C1-8B36-4E9B-A8C4-0CA1DB77E4DB}"/>
    <cellStyle name="20 % - Accent3 3 5" xfId="1114" xr:uid="{D6ECB98E-824E-47AF-A452-A791A467B4BF}"/>
    <cellStyle name="20 % - Accent3 4" xfId="108" xr:uid="{0878C269-44D0-4840-9F01-AEF2D8F88304}"/>
    <cellStyle name="20 % - Accent3 4 2" xfId="234" xr:uid="{2824E604-0E16-4CA6-BA8B-80CAC82C1825}"/>
    <cellStyle name="20 % - Accent3 4 2 2" xfId="491" xr:uid="{36A7EC89-8D49-4E8E-80C8-8BEDB4676DA0}"/>
    <cellStyle name="20 % - Accent3 4 2 2 2" xfId="999" xr:uid="{0A173A97-197A-406D-B98B-3464D40C6500}"/>
    <cellStyle name="20 % - Accent3 4 2 2 2 2" xfId="2022" xr:uid="{8C83D35B-3979-49CA-81F1-D3832162CBEC}"/>
    <cellStyle name="20 % - Accent3 4 2 2 3" xfId="1514" xr:uid="{E3419672-4A3F-4939-B724-A5D4FA183C3B}"/>
    <cellStyle name="20 % - Accent3 4 2 3" xfId="745" xr:uid="{A2903128-7D58-4CE0-A8ED-4076EA80081E}"/>
    <cellStyle name="20 % - Accent3 4 2 3 2" xfId="1768" xr:uid="{A1FD956F-A4E2-471B-837E-D374D5A5026B}"/>
    <cellStyle name="20 % - Accent3 4 2 4" xfId="1260" xr:uid="{36A8DC44-F35B-4DBD-A15D-4CD2A2FA7082}"/>
    <cellStyle name="20 % - Accent3 4 3" xfId="365" xr:uid="{4CBB137C-87A3-4646-AB04-36DE28F7E8D5}"/>
    <cellStyle name="20 % - Accent3 4 3 2" xfId="873" xr:uid="{591E8203-12A3-40C7-BB99-400918A41C5F}"/>
    <cellStyle name="20 % - Accent3 4 3 2 2" xfId="1896" xr:uid="{51E94BD5-05F6-4AFD-978B-A3671F4448DB}"/>
    <cellStyle name="20 % - Accent3 4 3 3" xfId="1388" xr:uid="{2013ED38-CCDB-4611-86D7-ABEAC1C4166F}"/>
    <cellStyle name="20 % - Accent3 4 4" xfId="619" xr:uid="{4FE5F6CD-980F-4D40-AE50-BEE8C6D3CB60}"/>
    <cellStyle name="20 % - Accent3 4 4 2" xfId="1642" xr:uid="{280CE351-2FCC-48D5-A858-2D971579AFFC}"/>
    <cellStyle name="20 % - Accent3 4 5" xfId="1135" xr:uid="{DD249E6D-9915-4C74-A90C-4C4AF090247A}"/>
    <cellStyle name="20 % - Accent3 5" xfId="129" xr:uid="{2FFC14C6-BDA3-4B13-AE6F-B77B27954865}"/>
    <cellStyle name="20 % - Accent3 5 2" xfId="255" xr:uid="{B124B208-F39E-477C-BA72-13B105860B8C}"/>
    <cellStyle name="20 % - Accent3 5 2 2" xfId="512" xr:uid="{4A398FD7-CF61-4908-A152-1122BCBF4A90}"/>
    <cellStyle name="20 % - Accent3 5 2 2 2" xfId="1020" xr:uid="{FA5DCB4E-EEB9-4F94-B20D-BDD7ED498654}"/>
    <cellStyle name="20 % - Accent3 5 2 2 2 2" xfId="2043" xr:uid="{003A2146-5CF7-4612-BF38-2A2A8CAD41A6}"/>
    <cellStyle name="20 % - Accent3 5 2 2 3" xfId="1535" xr:uid="{4163B597-DFDE-48C5-8465-F870086075FA}"/>
    <cellStyle name="20 % - Accent3 5 2 3" xfId="766" xr:uid="{C56BE5EC-BEB4-4DEA-B201-85AEC21B8ED9}"/>
    <cellStyle name="20 % - Accent3 5 2 3 2" xfId="1789" xr:uid="{D59387E8-183F-47C9-B685-502006A2945C}"/>
    <cellStyle name="20 % - Accent3 5 2 4" xfId="1281" xr:uid="{36B69F3A-D883-4787-A487-4EC01DCD49DC}"/>
    <cellStyle name="20 % - Accent3 5 3" xfId="386" xr:uid="{FC601CC8-FEB9-49E5-843A-AEBA6ACD5844}"/>
    <cellStyle name="20 % - Accent3 5 3 2" xfId="894" xr:uid="{88B10D4D-9F20-4668-91F9-41FE8B825620}"/>
    <cellStyle name="20 % - Accent3 5 3 2 2" xfId="1917" xr:uid="{78DC9BF0-BFE8-4593-AFAE-AAB3CE9D9A52}"/>
    <cellStyle name="20 % - Accent3 5 3 3" xfId="1409" xr:uid="{20C4097C-49BD-41E3-B395-1949D11D2119}"/>
    <cellStyle name="20 % - Accent3 5 4" xfId="640" xr:uid="{D4C04A2F-F64B-4DA3-ACB2-A8DD00664115}"/>
    <cellStyle name="20 % - Accent3 5 4 2" xfId="1663" xr:uid="{B99D7965-EE4B-4854-89EC-A12A1BC1727C}"/>
    <cellStyle name="20 % - Accent3 5 5" xfId="1156" xr:uid="{88665385-939B-4CEA-8D73-654F5C9D5D62}"/>
    <cellStyle name="20 % - Accent3 6" xfId="150" xr:uid="{534105D8-0BEB-4CCF-BFA6-FC595364C931}"/>
    <cellStyle name="20 % - Accent3 6 2" xfId="276" xr:uid="{45168DE4-5052-45DF-97DC-ABEED987CBF0}"/>
    <cellStyle name="20 % - Accent3 6 2 2" xfId="533" xr:uid="{A4F42758-48EF-4CF7-88E5-42C68B9A8D81}"/>
    <cellStyle name="20 % - Accent3 6 2 2 2" xfId="1041" xr:uid="{2CA9CD68-02D6-4DA3-8D18-EAF60BAB35BB}"/>
    <cellStyle name="20 % - Accent3 6 2 2 2 2" xfId="2064" xr:uid="{1019F416-DDBE-4DAE-B419-8FA224E612A1}"/>
    <cellStyle name="20 % - Accent3 6 2 2 3" xfId="1556" xr:uid="{CCE3B216-D271-43CE-BD10-961A5C6994F5}"/>
    <cellStyle name="20 % - Accent3 6 2 3" xfId="787" xr:uid="{8970D694-F8BC-4EF0-8199-1ABA6DC10D72}"/>
    <cellStyle name="20 % - Accent3 6 2 3 2" xfId="1810" xr:uid="{FB02400B-0D31-45F6-AC12-B8A888FC2C10}"/>
    <cellStyle name="20 % - Accent3 6 2 4" xfId="1302" xr:uid="{79A1F2D8-39D6-4BC3-9E93-957BD8EFC416}"/>
    <cellStyle name="20 % - Accent3 6 3" xfId="407" xr:uid="{4DDA3FB7-F875-4EB8-BEEE-3F456FA2CA13}"/>
    <cellStyle name="20 % - Accent3 6 3 2" xfId="915" xr:uid="{F7F04AF5-6E51-4E58-B9CD-3C524ECC2F09}"/>
    <cellStyle name="20 % - Accent3 6 3 2 2" xfId="1938" xr:uid="{6EEE2960-6B59-416D-BA31-0172766EB652}"/>
    <cellStyle name="20 % - Accent3 6 3 3" xfId="1430" xr:uid="{880E5831-801D-475D-A6EF-3B09A5E2108E}"/>
    <cellStyle name="20 % - Accent3 6 4" xfId="661" xr:uid="{4D2BC4D0-EFFD-4FBB-8DF3-6A0092E9201F}"/>
    <cellStyle name="20 % - Accent3 6 4 2" xfId="1684" xr:uid="{D1859674-9052-4131-83E2-84C025B54AEC}"/>
    <cellStyle name="20 % - Accent3 6 5" xfId="1177" xr:uid="{AE79CF15-9C8A-4019-8814-385C036D1400}"/>
    <cellStyle name="20 % - Accent3 7" xfId="168" xr:uid="{5C6B1C73-F25B-43BC-AF46-03A619B30002}"/>
    <cellStyle name="20 % - Accent3 7 2" xfId="425" xr:uid="{F7FA0680-FDF4-450A-99BC-0D43B383FECB}"/>
    <cellStyle name="20 % - Accent3 7 2 2" xfId="933" xr:uid="{1A812B16-B4F2-42CE-AAC6-E7AEF992088A}"/>
    <cellStyle name="20 % - Accent3 7 2 2 2" xfId="1956" xr:uid="{034F54AC-7020-47C1-AFF3-E49649628899}"/>
    <cellStyle name="20 % - Accent3 7 2 3" xfId="1448" xr:uid="{75AA875B-75BF-4B5B-8377-66CA512DF826}"/>
    <cellStyle name="20 % - Accent3 7 3" xfId="679" xr:uid="{ECC86029-6B7B-46D0-B0DB-CD22A214DFAA}"/>
    <cellStyle name="20 % - Accent3 7 3 2" xfId="1702" xr:uid="{8EDB21C4-1F1B-4B81-8472-977DC7247974}"/>
    <cellStyle name="20 % - Accent3 7 4" xfId="1195" xr:uid="{76CB4EC8-D9E4-4F92-B94C-7C2E2A285601}"/>
    <cellStyle name="20 % - Accent3 8" xfId="299" xr:uid="{1E4C2909-F78A-4770-B074-1AAA89DF483B}"/>
    <cellStyle name="20 % - Accent3 8 2" xfId="807" xr:uid="{21E9F2F8-9ACF-4555-9468-1E8EEDF70E3F}"/>
    <cellStyle name="20 % - Accent3 8 2 2" xfId="1830" xr:uid="{1A95F84C-AB5B-4E41-875E-58D5B6CD8AAA}"/>
    <cellStyle name="20 % - Accent3 8 3" xfId="1322" xr:uid="{C08DD7C3-8561-431A-A411-BDE3AB4E0DDA}"/>
    <cellStyle name="20 % - Accent3 9" xfId="553" xr:uid="{35D870C7-313D-4063-B2CE-C35B685D76DF}"/>
    <cellStyle name="20 % - Accent3 9 2" xfId="1576" xr:uid="{262AEBE3-DFB6-4471-994A-F0EA07B01C42}"/>
    <cellStyle name="20 % - Accent4" xfId="26" builtinId="42" customBuiltin="1"/>
    <cellStyle name="20 % - Accent4 10" xfId="1071" xr:uid="{CED042F4-4596-4E4C-878A-3F4FC7C1FBDC}"/>
    <cellStyle name="20 % - Accent4 2" xfId="68" xr:uid="{81B7A33F-1434-4B4E-81A1-87E548942438}"/>
    <cellStyle name="20 % - Accent4 2 2" xfId="194" xr:uid="{FEE17B5E-4E80-43CC-B601-F487934BCAAF}"/>
    <cellStyle name="20 % - Accent4 2 2 2" xfId="451" xr:uid="{540B21B4-2661-4D1C-867B-7D4748A832C7}"/>
    <cellStyle name="20 % - Accent4 2 2 2 2" xfId="959" xr:uid="{CFBDA470-3FF5-49BE-8773-3A362CDB017A}"/>
    <cellStyle name="20 % - Accent4 2 2 2 2 2" xfId="1982" xr:uid="{23F2365A-8D8A-4325-823D-81A559E0D319}"/>
    <cellStyle name="20 % - Accent4 2 2 2 3" xfId="1474" xr:uid="{F4F5F0B6-8C6E-48E0-9DAE-C5692230B9CC}"/>
    <cellStyle name="20 % - Accent4 2 2 3" xfId="705" xr:uid="{BEFD1062-BF6D-471E-9629-0F757E09355C}"/>
    <cellStyle name="20 % - Accent4 2 2 3 2" xfId="1728" xr:uid="{E467C0AA-196E-4A3C-8166-39B44C41E767}"/>
    <cellStyle name="20 % - Accent4 2 2 4" xfId="1220" xr:uid="{D111905A-19DD-4943-BD18-836D8781C814}"/>
    <cellStyle name="20 % - Accent4 2 3" xfId="325" xr:uid="{FD928586-0DBD-4917-8EA5-0AC5CE15F326}"/>
    <cellStyle name="20 % - Accent4 2 3 2" xfId="833" xr:uid="{C40ACA1F-F302-40C0-A0EF-9EB90EE932E6}"/>
    <cellStyle name="20 % - Accent4 2 3 2 2" xfId="1856" xr:uid="{9102CF60-7A69-48D4-B934-FC422828716A}"/>
    <cellStyle name="20 % - Accent4 2 3 3" xfId="1348" xr:uid="{2C54106F-01C1-4751-A65F-E421EB9A26DA}"/>
    <cellStyle name="20 % - Accent4 2 4" xfId="579" xr:uid="{987BCA0C-2CAE-4009-9CB3-7E6AAB83E7EA}"/>
    <cellStyle name="20 % - Accent4 2 4 2" xfId="1602" xr:uid="{FD7CF26F-1561-495E-890E-CA40FA0659CA}"/>
    <cellStyle name="20 % - Accent4 2 5" xfId="1095" xr:uid="{252CAE69-60E0-4CBB-9D44-365B2055E0F1}"/>
    <cellStyle name="20 % - Accent4 3" xfId="89" xr:uid="{97E098B3-598C-41D7-8762-320CF22998D0}"/>
    <cellStyle name="20 % - Accent4 3 2" xfId="215" xr:uid="{6BC00AAE-C359-480E-BC53-3211F6B8A9B3}"/>
    <cellStyle name="20 % - Accent4 3 2 2" xfId="472" xr:uid="{743709B5-89E7-4F94-B84F-5BDA93305066}"/>
    <cellStyle name="20 % - Accent4 3 2 2 2" xfId="980" xr:uid="{43A5BCE8-4E02-4C4E-91DA-07F5FC3253A7}"/>
    <cellStyle name="20 % - Accent4 3 2 2 2 2" xfId="2003" xr:uid="{30FFF47F-D56F-423C-A01B-12A9640DB0BD}"/>
    <cellStyle name="20 % - Accent4 3 2 2 3" xfId="1495" xr:uid="{8B753323-15A5-4E53-90BD-EBE8CF6D3DF0}"/>
    <cellStyle name="20 % - Accent4 3 2 3" xfId="726" xr:uid="{DF8A5AD0-F87B-4802-B0BC-0335E1B19981}"/>
    <cellStyle name="20 % - Accent4 3 2 3 2" xfId="1749" xr:uid="{4614C09B-AC4C-479D-A9E2-E3FEE87308E8}"/>
    <cellStyle name="20 % - Accent4 3 2 4" xfId="1241" xr:uid="{36CAFFD8-A2B3-499B-B94F-2D6C7D0E5502}"/>
    <cellStyle name="20 % - Accent4 3 3" xfId="346" xr:uid="{8CD330F9-994F-4D0F-9A54-DD72653B733B}"/>
    <cellStyle name="20 % - Accent4 3 3 2" xfId="854" xr:uid="{6586C0BE-ACA8-400D-A6C9-44BBCA914D5B}"/>
    <cellStyle name="20 % - Accent4 3 3 2 2" xfId="1877" xr:uid="{03D7A902-A312-452F-A343-CA7C13FC8436}"/>
    <cellStyle name="20 % - Accent4 3 3 3" xfId="1369" xr:uid="{482F58EE-3134-4267-8E7F-73DE64CC2440}"/>
    <cellStyle name="20 % - Accent4 3 4" xfId="600" xr:uid="{A4876EBC-5238-45F3-B8C6-B8464D3A4071}"/>
    <cellStyle name="20 % - Accent4 3 4 2" xfId="1623" xr:uid="{72A1202F-9449-4199-BB3F-03B11EFE7A4F}"/>
    <cellStyle name="20 % - Accent4 3 5" xfId="1116" xr:uid="{C97CC3CF-07CE-4627-8088-7E8E823BBB4E}"/>
    <cellStyle name="20 % - Accent4 4" xfId="110" xr:uid="{98F094D7-D1D2-43DD-B669-84765B9EB962}"/>
    <cellStyle name="20 % - Accent4 4 2" xfId="236" xr:uid="{DB427546-DF2E-471C-B0AC-58AE68B169D8}"/>
    <cellStyle name="20 % - Accent4 4 2 2" xfId="493" xr:uid="{FD417529-3EDD-4318-BE3F-3D743BD2FCCD}"/>
    <cellStyle name="20 % - Accent4 4 2 2 2" xfId="1001" xr:uid="{BECA903A-6BDE-40F2-8C0D-050D1510A970}"/>
    <cellStyle name="20 % - Accent4 4 2 2 2 2" xfId="2024" xr:uid="{BAC2F955-2985-4E43-B354-52B96AF3D588}"/>
    <cellStyle name="20 % - Accent4 4 2 2 3" xfId="1516" xr:uid="{790BC1AE-53F0-4CF8-B043-9CC5239A887E}"/>
    <cellStyle name="20 % - Accent4 4 2 3" xfId="747" xr:uid="{E8B78D54-2B10-4160-ACE8-EE6073FAE441}"/>
    <cellStyle name="20 % - Accent4 4 2 3 2" xfId="1770" xr:uid="{DC0BA5BC-1EFD-4674-BBD2-1E6864AF4DF2}"/>
    <cellStyle name="20 % - Accent4 4 2 4" xfId="1262" xr:uid="{2EBE3CE7-4885-44BB-A5A3-D57EF30448C0}"/>
    <cellStyle name="20 % - Accent4 4 3" xfId="367" xr:uid="{61EB1D58-142F-4729-82A1-76CD41CD3EDC}"/>
    <cellStyle name="20 % - Accent4 4 3 2" xfId="875" xr:uid="{05AA2AAC-9F9B-4F00-AE6B-662A2DC6CDBF}"/>
    <cellStyle name="20 % - Accent4 4 3 2 2" xfId="1898" xr:uid="{EBCDDE6C-641A-4E52-A8D1-1E09FB345A61}"/>
    <cellStyle name="20 % - Accent4 4 3 3" xfId="1390" xr:uid="{9F7F17E9-B0A5-494A-AA2F-3028D4D6981B}"/>
    <cellStyle name="20 % - Accent4 4 4" xfId="621" xr:uid="{5D26D654-929C-4957-B8F7-CD78B74B362B}"/>
    <cellStyle name="20 % - Accent4 4 4 2" xfId="1644" xr:uid="{4F06CFA6-1217-4EA2-AD11-EB3F547AF769}"/>
    <cellStyle name="20 % - Accent4 4 5" xfId="1137" xr:uid="{D54D4780-29E6-4C54-B696-0DADAE100943}"/>
    <cellStyle name="20 % - Accent4 5" xfId="131" xr:uid="{5E835F65-681F-4E73-85E6-F14AF843A5CA}"/>
    <cellStyle name="20 % - Accent4 5 2" xfId="257" xr:uid="{CAB42206-3A98-479B-A703-0B2139DD5D12}"/>
    <cellStyle name="20 % - Accent4 5 2 2" xfId="514" xr:uid="{A7C12B5A-DF54-4045-9979-D639B39FEA50}"/>
    <cellStyle name="20 % - Accent4 5 2 2 2" xfId="1022" xr:uid="{DD0D7915-9F8A-4911-BBB0-B1323E978B15}"/>
    <cellStyle name="20 % - Accent4 5 2 2 2 2" xfId="2045" xr:uid="{D45338CE-3365-4019-AA7B-027019412F9B}"/>
    <cellStyle name="20 % - Accent4 5 2 2 3" xfId="1537" xr:uid="{A1EEC76A-33FA-47D4-A7E0-FFB142EA308D}"/>
    <cellStyle name="20 % - Accent4 5 2 3" xfId="768" xr:uid="{74CC5B08-2ABC-4013-9261-682FD445FF6E}"/>
    <cellStyle name="20 % - Accent4 5 2 3 2" xfId="1791" xr:uid="{F8023869-C6D9-4994-8BD2-A3386B728E7C}"/>
    <cellStyle name="20 % - Accent4 5 2 4" xfId="1283" xr:uid="{45DFBA1A-F178-41FD-A68F-D8DFEB908745}"/>
    <cellStyle name="20 % - Accent4 5 3" xfId="388" xr:uid="{E5AE9F2D-C090-47B0-A491-A17D47872CA4}"/>
    <cellStyle name="20 % - Accent4 5 3 2" xfId="896" xr:uid="{AC691830-5B9F-4AAB-BA59-0307E9B99A23}"/>
    <cellStyle name="20 % - Accent4 5 3 2 2" xfId="1919" xr:uid="{E2551FED-BECE-4692-8ADE-5227D79C2E77}"/>
    <cellStyle name="20 % - Accent4 5 3 3" xfId="1411" xr:uid="{D8EB9D8F-51D8-4EB9-9864-FAE85527765C}"/>
    <cellStyle name="20 % - Accent4 5 4" xfId="642" xr:uid="{3215D182-219C-4468-A378-3DE77659EC13}"/>
    <cellStyle name="20 % - Accent4 5 4 2" xfId="1665" xr:uid="{B8B8CAEA-6DAF-4D18-9304-3B18608E3323}"/>
    <cellStyle name="20 % - Accent4 5 5" xfId="1158" xr:uid="{FEB78A5F-FF3A-4A7A-9053-5ADFA7ED248B}"/>
    <cellStyle name="20 % - Accent4 6" xfId="152" xr:uid="{53CFC3A9-7806-4895-ABD5-BF5A40B8631E}"/>
    <cellStyle name="20 % - Accent4 6 2" xfId="278" xr:uid="{0DE0C14F-4195-498E-9979-83961FCD831F}"/>
    <cellStyle name="20 % - Accent4 6 2 2" xfId="535" xr:uid="{7D9C9225-AB31-4286-8116-2C15DF974C06}"/>
    <cellStyle name="20 % - Accent4 6 2 2 2" xfId="1043" xr:uid="{105A66AB-91CB-44C4-A042-9611CF3E13C0}"/>
    <cellStyle name="20 % - Accent4 6 2 2 2 2" xfId="2066" xr:uid="{0348FF8B-22DD-45FD-953A-AE5A5BA7DB43}"/>
    <cellStyle name="20 % - Accent4 6 2 2 3" xfId="1558" xr:uid="{EBF612C4-F1D1-4CC9-BE37-8B6FF8D3845F}"/>
    <cellStyle name="20 % - Accent4 6 2 3" xfId="789" xr:uid="{E411EFD1-8067-4DA1-9DC1-463CC8EF4476}"/>
    <cellStyle name="20 % - Accent4 6 2 3 2" xfId="1812" xr:uid="{3F4F9127-72A9-43FA-9C2C-878CA4CA0A54}"/>
    <cellStyle name="20 % - Accent4 6 2 4" xfId="1304" xr:uid="{FA49D18F-EAEA-418F-B37D-7928E00B8277}"/>
    <cellStyle name="20 % - Accent4 6 3" xfId="409" xr:uid="{E6D8D931-AB34-41C7-A769-B7C5F736A36C}"/>
    <cellStyle name="20 % - Accent4 6 3 2" xfId="917" xr:uid="{7DD70478-2C2B-4911-894E-8254314B100F}"/>
    <cellStyle name="20 % - Accent4 6 3 2 2" xfId="1940" xr:uid="{EDE052FF-5558-419F-830E-7B29324FD2B3}"/>
    <cellStyle name="20 % - Accent4 6 3 3" xfId="1432" xr:uid="{5CDD0246-0BEE-41C0-A719-55913B27F36E}"/>
    <cellStyle name="20 % - Accent4 6 4" xfId="663" xr:uid="{B85E92B7-0505-4F11-95ED-AE62B2428CF6}"/>
    <cellStyle name="20 % - Accent4 6 4 2" xfId="1686" xr:uid="{6C5F730B-23A5-4E4E-887F-987C01BB2E40}"/>
    <cellStyle name="20 % - Accent4 6 5" xfId="1179" xr:uid="{CCC7168F-73C3-453E-A029-DADD8DCABD60}"/>
    <cellStyle name="20 % - Accent4 7" xfId="170" xr:uid="{B1B7151E-CD5E-4F7E-9695-E3555B9785FB}"/>
    <cellStyle name="20 % - Accent4 7 2" xfId="427" xr:uid="{F54B4733-9A71-4F62-97EB-0C9A7C756755}"/>
    <cellStyle name="20 % - Accent4 7 2 2" xfId="935" xr:uid="{903185C0-C0BB-48CD-98CE-7B74C2CC0629}"/>
    <cellStyle name="20 % - Accent4 7 2 2 2" xfId="1958" xr:uid="{62478B58-ACF2-4061-AA04-5894527A0098}"/>
    <cellStyle name="20 % - Accent4 7 2 3" xfId="1450" xr:uid="{D3A2EFF0-5B93-4D53-9463-FF035C394C70}"/>
    <cellStyle name="20 % - Accent4 7 3" xfId="681" xr:uid="{3CD32151-C163-40EE-9296-954AF84D7AFC}"/>
    <cellStyle name="20 % - Accent4 7 3 2" xfId="1704" xr:uid="{3FD911A6-B38D-4298-B446-8B76D0AAF52B}"/>
    <cellStyle name="20 % - Accent4 7 4" xfId="1197" xr:uid="{E89ABE04-9015-417E-B850-9E9CD9D5B0F7}"/>
    <cellStyle name="20 % - Accent4 8" xfId="301" xr:uid="{8C1B539E-02CB-4A7D-955D-D76EFDED92EB}"/>
    <cellStyle name="20 % - Accent4 8 2" xfId="809" xr:uid="{9E606791-3EB3-4D2B-B64C-63880F2B9E0E}"/>
    <cellStyle name="20 % - Accent4 8 2 2" xfId="1832" xr:uid="{0708B93E-D427-41FB-A705-F922A3C25A0B}"/>
    <cellStyle name="20 % - Accent4 8 3" xfId="1324" xr:uid="{5DE1BFD8-8DFC-4E40-B4F6-496397EB50DA}"/>
    <cellStyle name="20 % - Accent4 9" xfId="555" xr:uid="{D0BDF693-F465-47D0-B3C4-06E74C4B7472}"/>
    <cellStyle name="20 % - Accent4 9 2" xfId="1578" xr:uid="{EA851F1C-3394-4A8A-BD47-60D681A4BBDF}"/>
    <cellStyle name="20 % - Accent5" xfId="29" builtinId="46" customBuiltin="1"/>
    <cellStyle name="20 % - Accent5 10" xfId="1073" xr:uid="{B380A8BE-FBCD-43F8-BB22-2EEC2D3983BA}"/>
    <cellStyle name="20 % - Accent5 2" xfId="70" xr:uid="{D70DA80D-EC7F-4F65-8E44-8C6705F0FBDC}"/>
    <cellStyle name="20 % - Accent5 2 2" xfId="196" xr:uid="{A4BE26F2-63FC-4248-A31E-F9286C84491B}"/>
    <cellStyle name="20 % - Accent5 2 2 2" xfId="453" xr:uid="{BCEE8F73-A567-456C-B7B1-ED4D3C946B90}"/>
    <cellStyle name="20 % - Accent5 2 2 2 2" xfId="961" xr:uid="{D9639B75-34EE-4F76-AF8C-75ACF76BA348}"/>
    <cellStyle name="20 % - Accent5 2 2 2 2 2" xfId="1984" xr:uid="{CF49BA56-24DB-49E3-907C-6DF545AC4D1E}"/>
    <cellStyle name="20 % - Accent5 2 2 2 3" xfId="1476" xr:uid="{67C85019-49E5-4665-B9EF-DA2688008EFC}"/>
    <cellStyle name="20 % - Accent5 2 2 3" xfId="707" xr:uid="{EC00D7B5-7644-4368-B926-D8EFB7DA900E}"/>
    <cellStyle name="20 % - Accent5 2 2 3 2" xfId="1730" xr:uid="{5A1F0EB9-3C5D-4148-BA8D-DE0F7ECFAE7A}"/>
    <cellStyle name="20 % - Accent5 2 2 4" xfId="1222" xr:uid="{A7302597-FF61-4DDA-A714-13DABFB59BEB}"/>
    <cellStyle name="20 % - Accent5 2 3" xfId="327" xr:uid="{AB985E6D-32EC-420A-A3F4-C60721B795CE}"/>
    <cellStyle name="20 % - Accent5 2 3 2" xfId="835" xr:uid="{7BEF0B09-1403-4F6A-9CE6-5C48C69B7D04}"/>
    <cellStyle name="20 % - Accent5 2 3 2 2" xfId="1858" xr:uid="{A18533AA-3573-47D5-B333-D9814B524E16}"/>
    <cellStyle name="20 % - Accent5 2 3 3" xfId="1350" xr:uid="{69159B61-EF17-4765-B24C-D6026141C7AF}"/>
    <cellStyle name="20 % - Accent5 2 4" xfId="581" xr:uid="{CB7B368D-C0BD-4DE3-8AFC-DD627D2B8221}"/>
    <cellStyle name="20 % - Accent5 2 4 2" xfId="1604" xr:uid="{0D571CBE-EF44-4B35-8058-B12C56FB7407}"/>
    <cellStyle name="20 % - Accent5 2 5" xfId="1097" xr:uid="{13A52E76-179A-4A23-AF6A-21168BD2AB6B}"/>
    <cellStyle name="20 % - Accent5 3" xfId="91" xr:uid="{77D8F269-AD47-458A-8C3F-753F3128948F}"/>
    <cellStyle name="20 % - Accent5 3 2" xfId="217" xr:uid="{C38F799F-558B-42F9-BFF6-A948502D85BB}"/>
    <cellStyle name="20 % - Accent5 3 2 2" xfId="474" xr:uid="{768ACD8D-3379-47AD-8747-239625D57312}"/>
    <cellStyle name="20 % - Accent5 3 2 2 2" xfId="982" xr:uid="{55B58114-D0FD-424D-B048-DA13ED15F1F1}"/>
    <cellStyle name="20 % - Accent5 3 2 2 2 2" xfId="2005" xr:uid="{91AC73C9-F057-4840-AA2A-63AC819FA163}"/>
    <cellStyle name="20 % - Accent5 3 2 2 3" xfId="1497" xr:uid="{D2855D83-995C-4E69-8333-D3FC75370429}"/>
    <cellStyle name="20 % - Accent5 3 2 3" xfId="728" xr:uid="{39200EF0-4BA3-49E2-9753-CEF9ADDC0737}"/>
    <cellStyle name="20 % - Accent5 3 2 3 2" xfId="1751" xr:uid="{4AF4A4B9-D4DB-4C70-8061-B8569839FAF5}"/>
    <cellStyle name="20 % - Accent5 3 2 4" xfId="1243" xr:uid="{C03D9803-801E-4EA3-8106-C954DD3B18BF}"/>
    <cellStyle name="20 % - Accent5 3 3" xfId="348" xr:uid="{1FEB91B0-6567-4DD9-B335-5E978292A0B0}"/>
    <cellStyle name="20 % - Accent5 3 3 2" xfId="856" xr:uid="{B06EDE9E-3B96-419A-BEEF-B5590D3E9BBA}"/>
    <cellStyle name="20 % - Accent5 3 3 2 2" xfId="1879" xr:uid="{DF782F83-49E0-40DE-8C3A-034C1134402B}"/>
    <cellStyle name="20 % - Accent5 3 3 3" xfId="1371" xr:uid="{D99ABE03-9A6C-4EEC-AD47-A46DDA0BC32A}"/>
    <cellStyle name="20 % - Accent5 3 4" xfId="602" xr:uid="{BFCAD880-82D6-459F-B935-C98DA555177C}"/>
    <cellStyle name="20 % - Accent5 3 4 2" xfId="1625" xr:uid="{A1A14C70-7AA0-46EF-AECB-E8B7CB37C31A}"/>
    <cellStyle name="20 % - Accent5 3 5" xfId="1118" xr:uid="{52912DEB-C771-459F-9736-04967B5A043F}"/>
    <cellStyle name="20 % - Accent5 4" xfId="112" xr:uid="{F6531503-AD9E-4DE9-9476-F951F0CD4D70}"/>
    <cellStyle name="20 % - Accent5 4 2" xfId="238" xr:uid="{E6C55912-F938-43B1-AED0-A0784EFF8F14}"/>
    <cellStyle name="20 % - Accent5 4 2 2" xfId="495" xr:uid="{524C49A9-641E-46A8-9DBC-1E45F1C00648}"/>
    <cellStyle name="20 % - Accent5 4 2 2 2" xfId="1003" xr:uid="{6061E80B-A226-4040-B1A5-2496EDCBF259}"/>
    <cellStyle name="20 % - Accent5 4 2 2 2 2" xfId="2026" xr:uid="{6C32B7CD-1AA0-40BC-B40D-926D8292D2E5}"/>
    <cellStyle name="20 % - Accent5 4 2 2 3" xfId="1518" xr:uid="{5B7C1D1D-FC0A-4EEF-BB77-9A9AF0E715F2}"/>
    <cellStyle name="20 % - Accent5 4 2 3" xfId="749" xr:uid="{D14A2688-3C74-4D74-8F5D-21EEE7DB2052}"/>
    <cellStyle name="20 % - Accent5 4 2 3 2" xfId="1772" xr:uid="{A325D21E-F53D-43CC-8813-6290AABAA761}"/>
    <cellStyle name="20 % - Accent5 4 2 4" xfId="1264" xr:uid="{5FBD81D6-FA04-4689-B1B4-C90C7075E510}"/>
    <cellStyle name="20 % - Accent5 4 3" xfId="369" xr:uid="{10E48A56-8DBC-40D6-8BD2-C7C7F765B29B}"/>
    <cellStyle name="20 % - Accent5 4 3 2" xfId="877" xr:uid="{F391488D-5311-444F-AA87-148616E80E27}"/>
    <cellStyle name="20 % - Accent5 4 3 2 2" xfId="1900" xr:uid="{E900DA39-DE88-4069-AC31-CB4A355753E8}"/>
    <cellStyle name="20 % - Accent5 4 3 3" xfId="1392" xr:uid="{7AC1C708-CF10-44F2-8345-21408C0F20E3}"/>
    <cellStyle name="20 % - Accent5 4 4" xfId="623" xr:uid="{034FE368-77CF-457D-8AC4-1F363FD9CD9D}"/>
    <cellStyle name="20 % - Accent5 4 4 2" xfId="1646" xr:uid="{264088DD-18E4-4120-B2FA-B478C7576AD5}"/>
    <cellStyle name="20 % - Accent5 4 5" xfId="1139" xr:uid="{CC7FF9FF-D0C8-4ED9-AF95-F884FA712DF1}"/>
    <cellStyle name="20 % - Accent5 5" xfId="133" xr:uid="{2E4DB053-9111-42FB-80B6-7CE05AE921D0}"/>
    <cellStyle name="20 % - Accent5 5 2" xfId="259" xr:uid="{6791F0BE-AC9B-449B-BA4C-4230E5290AE1}"/>
    <cellStyle name="20 % - Accent5 5 2 2" xfId="516" xr:uid="{649B0740-72E0-4DB1-A6E3-2E0FB4188320}"/>
    <cellStyle name="20 % - Accent5 5 2 2 2" xfId="1024" xr:uid="{E6EFD049-14E8-4704-9C1A-A05D202C50B4}"/>
    <cellStyle name="20 % - Accent5 5 2 2 2 2" xfId="2047" xr:uid="{7FFF7608-2A43-4714-A98A-B96AA6578A1B}"/>
    <cellStyle name="20 % - Accent5 5 2 2 3" xfId="1539" xr:uid="{FFD5C246-D4C0-4ACC-A5FC-77D1495BF04F}"/>
    <cellStyle name="20 % - Accent5 5 2 3" xfId="770" xr:uid="{A2453249-B61B-492C-B3F4-2A069E61800C}"/>
    <cellStyle name="20 % - Accent5 5 2 3 2" xfId="1793" xr:uid="{3DD20396-1519-4DAC-AB5C-521448A67571}"/>
    <cellStyle name="20 % - Accent5 5 2 4" xfId="1285" xr:uid="{0B148535-FAD9-49F6-8E22-75DEDF1155CF}"/>
    <cellStyle name="20 % - Accent5 5 3" xfId="390" xr:uid="{0F0824BA-B88E-4B68-9100-677F152DE757}"/>
    <cellStyle name="20 % - Accent5 5 3 2" xfId="898" xr:uid="{3B92DAAE-6263-4902-962A-74D05BDAB9E7}"/>
    <cellStyle name="20 % - Accent5 5 3 2 2" xfId="1921" xr:uid="{898063CF-1C59-42CE-A88E-3863ABF31091}"/>
    <cellStyle name="20 % - Accent5 5 3 3" xfId="1413" xr:uid="{2D18681D-5044-49C3-B18E-B13083684CDC}"/>
    <cellStyle name="20 % - Accent5 5 4" xfId="644" xr:uid="{F3AC4DB2-72C6-4533-88D3-FF991F44D44F}"/>
    <cellStyle name="20 % - Accent5 5 4 2" xfId="1667" xr:uid="{97A3BF5B-131D-40FE-B888-6F1B3D2A4A25}"/>
    <cellStyle name="20 % - Accent5 5 5" xfId="1160" xr:uid="{70AA34C1-00A5-4B34-90AB-10DD925051FA}"/>
    <cellStyle name="20 % - Accent5 6" xfId="154" xr:uid="{D79F7122-0D4D-46DD-A405-0F6A83E4D28E}"/>
    <cellStyle name="20 % - Accent5 6 2" xfId="280" xr:uid="{F5A045CC-B676-42B8-94DE-CD2FD732D2F8}"/>
    <cellStyle name="20 % - Accent5 6 2 2" xfId="537" xr:uid="{F675765F-80A4-4536-BFF2-F188EF7C363E}"/>
    <cellStyle name="20 % - Accent5 6 2 2 2" xfId="1045" xr:uid="{686FEE4B-DE2A-4F5E-ADDE-58BFD7DC725A}"/>
    <cellStyle name="20 % - Accent5 6 2 2 2 2" xfId="2068" xr:uid="{BC4435F8-ADEE-461A-9D92-EB283116EC87}"/>
    <cellStyle name="20 % - Accent5 6 2 2 3" xfId="1560" xr:uid="{665DBB98-8FC3-4539-B199-280A45F93872}"/>
    <cellStyle name="20 % - Accent5 6 2 3" xfId="791" xr:uid="{32B3AD44-70C8-4D9B-B4A3-A153246250F4}"/>
    <cellStyle name="20 % - Accent5 6 2 3 2" xfId="1814" xr:uid="{AEBD8C9F-0258-42C4-A610-891F0779846F}"/>
    <cellStyle name="20 % - Accent5 6 2 4" xfId="1306" xr:uid="{2D7C5744-6097-4C8D-822A-B94A8AEB8146}"/>
    <cellStyle name="20 % - Accent5 6 3" xfId="411" xr:uid="{A906CB26-F078-4A11-BDF3-586405B2FABF}"/>
    <cellStyle name="20 % - Accent5 6 3 2" xfId="919" xr:uid="{4CE419D5-4A0D-4B10-87C9-387759C41EF4}"/>
    <cellStyle name="20 % - Accent5 6 3 2 2" xfId="1942" xr:uid="{30CAA174-C857-42A3-B0C4-F84687540E89}"/>
    <cellStyle name="20 % - Accent5 6 3 3" xfId="1434" xr:uid="{0784255E-AAA8-478D-B67F-34B863D96429}"/>
    <cellStyle name="20 % - Accent5 6 4" xfId="665" xr:uid="{71DF356D-CD36-4A22-B82C-6983AAB343A4}"/>
    <cellStyle name="20 % - Accent5 6 4 2" xfId="1688" xr:uid="{4AD5B0DB-8CAE-4CEB-B012-73210D95F237}"/>
    <cellStyle name="20 % - Accent5 6 5" xfId="1181" xr:uid="{A00D5B97-0735-4264-9CE3-7124A4713D24}"/>
    <cellStyle name="20 % - Accent5 7" xfId="172" xr:uid="{B38E00F3-7656-45CA-B592-2408FD6C5FB5}"/>
    <cellStyle name="20 % - Accent5 7 2" xfId="429" xr:uid="{58D66F71-7C7D-4F7D-86D2-4B47A4FB03FC}"/>
    <cellStyle name="20 % - Accent5 7 2 2" xfId="937" xr:uid="{6E1037BE-622D-4C74-9B48-314E2AF2034C}"/>
    <cellStyle name="20 % - Accent5 7 2 2 2" xfId="1960" xr:uid="{012FC05C-6B52-420F-81CC-B466C01F62DB}"/>
    <cellStyle name="20 % - Accent5 7 2 3" xfId="1452" xr:uid="{AA1040C3-68BE-495D-A9F5-36DD49648FDF}"/>
    <cellStyle name="20 % - Accent5 7 3" xfId="683" xr:uid="{BE5138B9-698F-42E8-A95B-CC9D4D4B5836}"/>
    <cellStyle name="20 % - Accent5 7 3 2" xfId="1706" xr:uid="{F86C76F9-28EE-4B95-997D-3AFB815BFE20}"/>
    <cellStyle name="20 % - Accent5 7 4" xfId="1199" xr:uid="{02FC1893-742B-4722-BA73-CBE32F66BDEC}"/>
    <cellStyle name="20 % - Accent5 8" xfId="303" xr:uid="{4CA3A5B4-D464-48DA-AC36-8A3148084C8E}"/>
    <cellStyle name="20 % - Accent5 8 2" xfId="811" xr:uid="{83113225-6005-4884-976E-C7616DF87FE7}"/>
    <cellStyle name="20 % - Accent5 8 2 2" xfId="1834" xr:uid="{1AE6CDA5-0D29-4934-B1C4-1B3AC16084DE}"/>
    <cellStyle name="20 % - Accent5 8 3" xfId="1326" xr:uid="{397D85D3-2E76-45F6-A01C-8AD215A720AD}"/>
    <cellStyle name="20 % - Accent5 9" xfId="557" xr:uid="{EA2C4AF5-C45B-4CE3-A89D-C9FB8AE48CDB}"/>
    <cellStyle name="20 % - Accent5 9 2" xfId="1580" xr:uid="{3D3FCA9A-E882-4C1A-9A68-0206E4AD14BF}"/>
    <cellStyle name="20 % - Accent6" xfId="32" builtinId="50" customBuiltin="1"/>
    <cellStyle name="20 % - Accent6 10" xfId="1075" xr:uid="{BE6DA4A1-58D7-4051-A804-BB3B23C13F51}"/>
    <cellStyle name="20 % - Accent6 2" xfId="72" xr:uid="{93323B7A-49AA-4FEC-9DF1-C092921F46FE}"/>
    <cellStyle name="20 % - Accent6 2 2" xfId="198" xr:uid="{4FD1797C-F610-4507-B5B8-D0B3BE0530CE}"/>
    <cellStyle name="20 % - Accent6 2 2 2" xfId="455" xr:uid="{5C6D044F-D571-42D2-AFDE-7B9DDF01CEA3}"/>
    <cellStyle name="20 % - Accent6 2 2 2 2" xfId="963" xr:uid="{73356EC8-2FFC-4E75-869C-57B445BDC5CA}"/>
    <cellStyle name="20 % - Accent6 2 2 2 2 2" xfId="1986" xr:uid="{D9DE6CC4-2376-42A2-9946-6BAE10740D41}"/>
    <cellStyle name="20 % - Accent6 2 2 2 3" xfId="1478" xr:uid="{2527DE43-DF7B-49C4-857B-35D032681A96}"/>
    <cellStyle name="20 % - Accent6 2 2 3" xfId="709" xr:uid="{DF1C4C4D-35CF-479A-ABA4-49C0E6E4D389}"/>
    <cellStyle name="20 % - Accent6 2 2 3 2" xfId="1732" xr:uid="{33C76DE6-3824-425A-B224-4FB32E9A1AE2}"/>
    <cellStyle name="20 % - Accent6 2 2 4" xfId="1224" xr:uid="{5263ADF5-B39C-460C-BBB4-B4604F395E98}"/>
    <cellStyle name="20 % - Accent6 2 3" xfId="329" xr:uid="{E94F467F-3950-4337-B9E3-4D85A54D0A13}"/>
    <cellStyle name="20 % - Accent6 2 3 2" xfId="837" xr:uid="{1EBC2FD8-F169-49F3-8D87-8E3F9128F89C}"/>
    <cellStyle name="20 % - Accent6 2 3 2 2" xfId="1860" xr:uid="{FF001265-E901-4DC1-BD31-2A3384ADED19}"/>
    <cellStyle name="20 % - Accent6 2 3 3" xfId="1352" xr:uid="{6D031F92-E7EA-47A5-8689-A54995FF53FD}"/>
    <cellStyle name="20 % - Accent6 2 4" xfId="583" xr:uid="{95CB13F4-196C-41C3-9A3E-E69D2FAEC3C1}"/>
    <cellStyle name="20 % - Accent6 2 4 2" xfId="1606" xr:uid="{7B80FCDA-288B-48A6-B6C2-AA4F31359BC0}"/>
    <cellStyle name="20 % - Accent6 2 5" xfId="1099" xr:uid="{33EA252F-E9F9-46A1-AE5E-859F82590BB5}"/>
    <cellStyle name="20 % - Accent6 3" xfId="93" xr:uid="{E92ADD38-F629-4385-B573-B42ACA1A800C}"/>
    <cellStyle name="20 % - Accent6 3 2" xfId="219" xr:uid="{945158B3-A93A-4D2B-B101-071EFEFA587E}"/>
    <cellStyle name="20 % - Accent6 3 2 2" xfId="476" xr:uid="{BDA88BCB-61E6-40D0-950F-7CA0312EBC9C}"/>
    <cellStyle name="20 % - Accent6 3 2 2 2" xfId="984" xr:uid="{DAAB408C-BE48-49C6-AE60-8E40A37C4E42}"/>
    <cellStyle name="20 % - Accent6 3 2 2 2 2" xfId="2007" xr:uid="{F9D8CE5A-B21B-46B5-8C2A-0216E74896F4}"/>
    <cellStyle name="20 % - Accent6 3 2 2 3" xfId="1499" xr:uid="{15518524-C1C8-416F-A2BD-06D79E441DC5}"/>
    <cellStyle name="20 % - Accent6 3 2 3" xfId="730" xr:uid="{2742A7E5-5AC7-4980-9D2C-03DD7C6ED3B3}"/>
    <cellStyle name="20 % - Accent6 3 2 3 2" xfId="1753" xr:uid="{D2B3A1D5-5DD6-4B06-BBD7-4032CD78B5E7}"/>
    <cellStyle name="20 % - Accent6 3 2 4" xfId="1245" xr:uid="{AEFDA580-A7BE-42FD-A87B-323EF7E76FAA}"/>
    <cellStyle name="20 % - Accent6 3 3" xfId="350" xr:uid="{06B1FB55-586C-4E86-A558-9FBC43135E02}"/>
    <cellStyle name="20 % - Accent6 3 3 2" xfId="858" xr:uid="{42000998-583F-469B-9082-829D33B07BBA}"/>
    <cellStyle name="20 % - Accent6 3 3 2 2" xfId="1881" xr:uid="{0A80ED40-0E01-42CE-9308-0BADAB4BAF15}"/>
    <cellStyle name="20 % - Accent6 3 3 3" xfId="1373" xr:uid="{21B1D099-5190-4B4A-B17E-B11369291F3C}"/>
    <cellStyle name="20 % - Accent6 3 4" xfId="604" xr:uid="{61B6280C-6B32-4EDF-8F4D-4D7CB3A32676}"/>
    <cellStyle name="20 % - Accent6 3 4 2" xfId="1627" xr:uid="{9760FFB9-5595-448E-B894-30EBA6E16FF0}"/>
    <cellStyle name="20 % - Accent6 3 5" xfId="1120" xr:uid="{62F3A03F-AEF7-428D-A286-55542EFC58DF}"/>
    <cellStyle name="20 % - Accent6 4" xfId="114" xr:uid="{E63E9B22-25F8-4F84-BD71-D06E8E0931DF}"/>
    <cellStyle name="20 % - Accent6 4 2" xfId="240" xr:uid="{7CE6065C-4C86-46AE-A5F4-EC8578897E28}"/>
    <cellStyle name="20 % - Accent6 4 2 2" xfId="497" xr:uid="{D39A81F1-E345-4929-9E81-ACC6E6D0AAFB}"/>
    <cellStyle name="20 % - Accent6 4 2 2 2" xfId="1005" xr:uid="{6374FAA8-5422-42B5-8336-8AB2735A4B98}"/>
    <cellStyle name="20 % - Accent6 4 2 2 2 2" xfId="2028" xr:uid="{B5846D60-8FE1-426E-90F8-9B3275BDB13F}"/>
    <cellStyle name="20 % - Accent6 4 2 2 3" xfId="1520" xr:uid="{1256A64E-0C33-48F2-B00B-5F372CB18782}"/>
    <cellStyle name="20 % - Accent6 4 2 3" xfId="751" xr:uid="{224FD779-6685-43B2-9326-B4928FFA7EB1}"/>
    <cellStyle name="20 % - Accent6 4 2 3 2" xfId="1774" xr:uid="{598235A4-3408-4793-8B48-8338DCD3EA0F}"/>
    <cellStyle name="20 % - Accent6 4 2 4" xfId="1266" xr:uid="{A3B0DB67-3D98-40A1-8A7B-9131D900F870}"/>
    <cellStyle name="20 % - Accent6 4 3" xfId="371" xr:uid="{DA9B6478-E911-4FD8-A0E8-5DC2041D67D7}"/>
    <cellStyle name="20 % - Accent6 4 3 2" xfId="879" xr:uid="{F85BD457-0A9C-4B48-B859-4137356D4796}"/>
    <cellStyle name="20 % - Accent6 4 3 2 2" xfId="1902" xr:uid="{35597CD5-8CF0-4D4C-B374-37BC658AA85D}"/>
    <cellStyle name="20 % - Accent6 4 3 3" xfId="1394" xr:uid="{2FFF956C-9E8A-441F-95E2-8F8B9ABD0D78}"/>
    <cellStyle name="20 % - Accent6 4 4" xfId="625" xr:uid="{0E0213FF-9C15-4F09-A06B-9C2D5600E018}"/>
    <cellStyle name="20 % - Accent6 4 4 2" xfId="1648" xr:uid="{5BB89F4A-F979-42E0-89F4-0C6404CA92CF}"/>
    <cellStyle name="20 % - Accent6 4 5" xfId="1141" xr:uid="{61935E5A-8381-476C-8826-F03A2DFA8DB1}"/>
    <cellStyle name="20 % - Accent6 5" xfId="135" xr:uid="{76F9709B-2459-44D1-8114-41AEE82F0C69}"/>
    <cellStyle name="20 % - Accent6 5 2" xfId="261" xr:uid="{7D5CC9AF-5DDC-4E46-BBF7-B3A27D8E3B40}"/>
    <cellStyle name="20 % - Accent6 5 2 2" xfId="518" xr:uid="{9A749EE4-1F9A-4F67-985C-910157C81F17}"/>
    <cellStyle name="20 % - Accent6 5 2 2 2" xfId="1026" xr:uid="{7BBAB706-97C2-4B69-B7EA-8F53D5FE814E}"/>
    <cellStyle name="20 % - Accent6 5 2 2 2 2" xfId="2049" xr:uid="{55181CC7-4238-4724-8AE3-438D974ACC0B}"/>
    <cellStyle name="20 % - Accent6 5 2 2 3" xfId="1541" xr:uid="{5220A33B-CFFF-4ACB-9A73-30434EC084E7}"/>
    <cellStyle name="20 % - Accent6 5 2 3" xfId="772" xr:uid="{9D3E22CA-2799-442D-89C8-B6397315D4CF}"/>
    <cellStyle name="20 % - Accent6 5 2 3 2" xfId="1795" xr:uid="{C0366B9B-0A72-4769-AF56-EC74DC30770B}"/>
    <cellStyle name="20 % - Accent6 5 2 4" xfId="1287" xr:uid="{011AD124-379D-446B-89CE-F4123589B310}"/>
    <cellStyle name="20 % - Accent6 5 3" xfId="392" xr:uid="{B30E1985-2BD6-4F84-90AE-F89A3982F3A0}"/>
    <cellStyle name="20 % - Accent6 5 3 2" xfId="900" xr:uid="{ABE2F78A-E1D8-4EDE-AECD-109671E44C61}"/>
    <cellStyle name="20 % - Accent6 5 3 2 2" xfId="1923" xr:uid="{15000D2E-07EB-4172-B534-C042F2A55D2C}"/>
    <cellStyle name="20 % - Accent6 5 3 3" xfId="1415" xr:uid="{76E0AA78-4014-459F-9A2E-E0E3F717241C}"/>
    <cellStyle name="20 % - Accent6 5 4" xfId="646" xr:uid="{98833362-E231-4708-BEEB-4BB914976045}"/>
    <cellStyle name="20 % - Accent6 5 4 2" xfId="1669" xr:uid="{B824514E-D5D3-49DA-9CAE-E52FF4D51ED5}"/>
    <cellStyle name="20 % - Accent6 5 5" xfId="1162" xr:uid="{EF7EB93D-E108-494C-997A-D87179347ACA}"/>
    <cellStyle name="20 % - Accent6 6" xfId="156" xr:uid="{872FCBE9-E6B3-4CFB-876C-92F5B36862BE}"/>
    <cellStyle name="20 % - Accent6 6 2" xfId="282" xr:uid="{E8601ABD-4429-4143-80A7-3DB2FF8D94D6}"/>
    <cellStyle name="20 % - Accent6 6 2 2" xfId="539" xr:uid="{FD68332B-2F92-4C92-ACF0-CBE5B062CBB3}"/>
    <cellStyle name="20 % - Accent6 6 2 2 2" xfId="1047" xr:uid="{22EDD2E0-4B7C-4BA8-A2D4-98F7637B74D6}"/>
    <cellStyle name="20 % - Accent6 6 2 2 2 2" xfId="2070" xr:uid="{73A07CCD-CC7C-4110-9F06-78326C72315C}"/>
    <cellStyle name="20 % - Accent6 6 2 2 3" xfId="1562" xr:uid="{9A9C49B6-065A-409B-88C6-76DDD90D69DA}"/>
    <cellStyle name="20 % - Accent6 6 2 3" xfId="793" xr:uid="{6F8A21AE-D5B6-4553-A5B0-412BDD04EEA1}"/>
    <cellStyle name="20 % - Accent6 6 2 3 2" xfId="1816" xr:uid="{89B75727-2803-430F-AEEF-C8BC807173B2}"/>
    <cellStyle name="20 % - Accent6 6 2 4" xfId="1308" xr:uid="{240FE594-E55E-41FB-9691-3E1F27B84EDA}"/>
    <cellStyle name="20 % - Accent6 6 3" xfId="413" xr:uid="{2C707D76-D233-4B31-8346-E62437D92DB2}"/>
    <cellStyle name="20 % - Accent6 6 3 2" xfId="921" xr:uid="{45D44DDE-4BCB-427D-BC05-3F8FD9DC385A}"/>
    <cellStyle name="20 % - Accent6 6 3 2 2" xfId="1944" xr:uid="{F77E3206-1E5E-451C-BA02-6AC9AAD55DAC}"/>
    <cellStyle name="20 % - Accent6 6 3 3" xfId="1436" xr:uid="{813B8450-B669-46CC-80AE-3E25847ED874}"/>
    <cellStyle name="20 % - Accent6 6 4" xfId="667" xr:uid="{033E3A26-3C9C-4E40-9287-9BB6B6681870}"/>
    <cellStyle name="20 % - Accent6 6 4 2" xfId="1690" xr:uid="{2B0C85B1-DB61-4CB9-9487-B8FA80E5CC0C}"/>
    <cellStyle name="20 % - Accent6 6 5" xfId="1183" xr:uid="{14A907CB-61DF-4EF9-A3C0-7989C3D485F3}"/>
    <cellStyle name="20 % - Accent6 7" xfId="174" xr:uid="{395B6EA3-3665-41FE-BAD6-D75AC4B1DDD4}"/>
    <cellStyle name="20 % - Accent6 7 2" xfId="431" xr:uid="{47F25AC1-D0F4-4C86-B9C7-762AB1E39F21}"/>
    <cellStyle name="20 % - Accent6 7 2 2" xfId="939" xr:uid="{5F691EAA-E803-4D04-9C0C-D9008AD43A33}"/>
    <cellStyle name="20 % - Accent6 7 2 2 2" xfId="1962" xr:uid="{FEEADAF4-BB03-4DBB-BDC2-F0E8BA0E9487}"/>
    <cellStyle name="20 % - Accent6 7 2 3" xfId="1454" xr:uid="{5A44605F-A7EF-4642-BCA1-B19477BCE895}"/>
    <cellStyle name="20 % - Accent6 7 3" xfId="685" xr:uid="{54AF07F7-CC21-4A5C-AF61-9B99D8E2683F}"/>
    <cellStyle name="20 % - Accent6 7 3 2" xfId="1708" xr:uid="{9BA40F16-FBD9-4A2F-ABE6-16F0D49FC78F}"/>
    <cellStyle name="20 % - Accent6 7 4" xfId="1201" xr:uid="{BEDC9A1C-BD62-414B-98EE-AC76ADECB0CE}"/>
    <cellStyle name="20 % - Accent6 8" xfId="305" xr:uid="{43D15AA8-A847-45D5-866D-E66944CC929A}"/>
    <cellStyle name="20 % - Accent6 8 2" xfId="813" xr:uid="{26506450-CE07-490E-A3C5-81C2BF7940F4}"/>
    <cellStyle name="20 % - Accent6 8 2 2" xfId="1836" xr:uid="{C61B38B7-9CCC-4FDA-91F0-D56DC4EF2401}"/>
    <cellStyle name="20 % - Accent6 8 3" xfId="1328" xr:uid="{574161BB-E6B6-4170-A0A6-0A5E0A0DE200}"/>
    <cellStyle name="20 % - Accent6 9" xfId="559" xr:uid="{E02F9BB1-406D-474D-B70F-7F2177194498}"/>
    <cellStyle name="20 % - Accent6 9 2" xfId="1582" xr:uid="{21B2430B-8CA8-47C1-940B-05F207EBDBAA}"/>
    <cellStyle name="40 % - Accent1" xfId="18" builtinId="31" customBuiltin="1"/>
    <cellStyle name="40 % - Accent1 10" xfId="1066" xr:uid="{ADC9C0EA-0F60-4757-B62E-ED30F49D81A9}"/>
    <cellStyle name="40 % - Accent1 2" xfId="63" xr:uid="{2508E347-420A-4F12-9867-BC713F611211}"/>
    <cellStyle name="40 % - Accent1 2 2" xfId="189" xr:uid="{9A4A5249-8A08-4539-B9F4-8E5D791723EC}"/>
    <cellStyle name="40 % - Accent1 2 2 2" xfId="446" xr:uid="{7C26070B-CEEA-4A39-8623-5435ED64F111}"/>
    <cellStyle name="40 % - Accent1 2 2 2 2" xfId="954" xr:uid="{C381DDC2-D4EF-44E2-B959-A850086874EC}"/>
    <cellStyle name="40 % - Accent1 2 2 2 2 2" xfId="1977" xr:uid="{F07F9AA8-B9EB-431C-9BDC-4926F5744C0C}"/>
    <cellStyle name="40 % - Accent1 2 2 2 3" xfId="1469" xr:uid="{5A6ED20D-8D09-4EC8-B2F8-E94FF230C083}"/>
    <cellStyle name="40 % - Accent1 2 2 3" xfId="700" xr:uid="{DE85C48E-E5A0-43AD-ABEE-FF1304F995E9}"/>
    <cellStyle name="40 % - Accent1 2 2 3 2" xfId="1723" xr:uid="{3F07C949-AC16-4368-8DD0-EB039BE45680}"/>
    <cellStyle name="40 % - Accent1 2 2 4" xfId="1215" xr:uid="{DFCD2233-41FD-4652-BA36-8FA3FB79B568}"/>
    <cellStyle name="40 % - Accent1 2 3" xfId="320" xr:uid="{4839859D-0E5A-4CE0-BF2D-D4CE64BD0C06}"/>
    <cellStyle name="40 % - Accent1 2 3 2" xfId="828" xr:uid="{5109CDB2-0A67-4C99-AF55-FFDF1DE5825B}"/>
    <cellStyle name="40 % - Accent1 2 3 2 2" xfId="1851" xr:uid="{1B697D3D-25B0-4EB7-895E-57DD00C21990}"/>
    <cellStyle name="40 % - Accent1 2 3 3" xfId="1343" xr:uid="{CB2FEF4A-E7BD-4AC0-9050-B78C6D98681E}"/>
    <cellStyle name="40 % - Accent1 2 4" xfId="574" xr:uid="{EDBD2FA8-B846-4EC1-8588-F31FC12918E2}"/>
    <cellStyle name="40 % - Accent1 2 4 2" xfId="1597" xr:uid="{8E85B238-5702-4DA1-A4D9-5B915229946E}"/>
    <cellStyle name="40 % - Accent1 2 5" xfId="1090" xr:uid="{2F78315B-A6A4-4235-890A-5061A79148D2}"/>
    <cellStyle name="40 % - Accent1 3" xfId="84" xr:uid="{AA6C23DE-A56E-4905-9074-A87A784C3C90}"/>
    <cellStyle name="40 % - Accent1 3 2" xfId="210" xr:uid="{487AAB8D-1BCE-40FB-826F-B26616D9044B}"/>
    <cellStyle name="40 % - Accent1 3 2 2" xfId="467" xr:uid="{5C085C84-AA4F-4C57-80B3-5C39AE031F34}"/>
    <cellStyle name="40 % - Accent1 3 2 2 2" xfId="975" xr:uid="{8C56EDC9-01EC-4DFC-81FA-F9B69286B42B}"/>
    <cellStyle name="40 % - Accent1 3 2 2 2 2" xfId="1998" xr:uid="{E373921C-5BF7-444F-920F-AE7FA327BCC0}"/>
    <cellStyle name="40 % - Accent1 3 2 2 3" xfId="1490" xr:uid="{BB611501-BD2A-44ED-A341-D95E9C538D44}"/>
    <cellStyle name="40 % - Accent1 3 2 3" xfId="721" xr:uid="{36BFFC6F-CC9A-4A2E-A00B-8983775F33B3}"/>
    <cellStyle name="40 % - Accent1 3 2 3 2" xfId="1744" xr:uid="{9F283DFD-2BD8-43A0-ADAB-C9F2FFB79046}"/>
    <cellStyle name="40 % - Accent1 3 2 4" xfId="1236" xr:uid="{2DE9AACE-D7DA-4F24-8FE7-A7B7EA5CA7AB}"/>
    <cellStyle name="40 % - Accent1 3 3" xfId="341" xr:uid="{C5E7F82A-DFDA-4E7D-930F-D3D5000FC561}"/>
    <cellStyle name="40 % - Accent1 3 3 2" xfId="849" xr:uid="{17952833-698F-4FA5-A93C-AC86536FAA7E}"/>
    <cellStyle name="40 % - Accent1 3 3 2 2" xfId="1872" xr:uid="{312B208C-89DE-4495-BD5F-5E275568E7AC}"/>
    <cellStyle name="40 % - Accent1 3 3 3" xfId="1364" xr:uid="{C74D2024-6C0C-4DF3-A917-2AEE7C5EC933}"/>
    <cellStyle name="40 % - Accent1 3 4" xfId="595" xr:uid="{E4C56715-065D-466C-B9F8-1A38F7FA895F}"/>
    <cellStyle name="40 % - Accent1 3 4 2" xfId="1618" xr:uid="{8CB374AB-ABA7-4EB5-AB1C-8B41A22E0812}"/>
    <cellStyle name="40 % - Accent1 3 5" xfId="1111" xr:uid="{82D57F6B-DA92-45CF-907E-8BB2979C591F}"/>
    <cellStyle name="40 % - Accent1 4" xfId="105" xr:uid="{8A27F3E6-021E-4734-BB83-6ADD1DAAD38F}"/>
    <cellStyle name="40 % - Accent1 4 2" xfId="231" xr:uid="{DB789AD6-A2D3-4AD4-8870-DA9961D79258}"/>
    <cellStyle name="40 % - Accent1 4 2 2" xfId="488" xr:uid="{060375E8-11EF-43D3-8886-9E4CAC7409B5}"/>
    <cellStyle name="40 % - Accent1 4 2 2 2" xfId="996" xr:uid="{5B373AEB-3B49-47C6-A313-3B9B17091DA1}"/>
    <cellStyle name="40 % - Accent1 4 2 2 2 2" xfId="2019" xr:uid="{F1D966B0-8DDD-4AF8-93B0-4D756B447ABF}"/>
    <cellStyle name="40 % - Accent1 4 2 2 3" xfId="1511" xr:uid="{BA10F9E1-0B7B-41EE-B8BD-BE675094B610}"/>
    <cellStyle name="40 % - Accent1 4 2 3" xfId="742" xr:uid="{7ACDCEC4-2443-46BB-A88B-C2517F6150A7}"/>
    <cellStyle name="40 % - Accent1 4 2 3 2" xfId="1765" xr:uid="{A096E7D9-FAB2-456F-8163-9C72C5C65FC3}"/>
    <cellStyle name="40 % - Accent1 4 2 4" xfId="1257" xr:uid="{AC8DC0DE-DA2B-4EBF-80E6-AC25C33DEC75}"/>
    <cellStyle name="40 % - Accent1 4 3" xfId="362" xr:uid="{26EDF757-F616-4E51-9F08-125356B80C8A}"/>
    <cellStyle name="40 % - Accent1 4 3 2" xfId="870" xr:uid="{FFF933B5-5B61-4012-A639-14867F665536}"/>
    <cellStyle name="40 % - Accent1 4 3 2 2" xfId="1893" xr:uid="{4659BE71-0D1B-43C3-AB22-D865C8C154F7}"/>
    <cellStyle name="40 % - Accent1 4 3 3" xfId="1385" xr:uid="{14571CAD-9C50-4A6C-896E-C5E02C763D9C}"/>
    <cellStyle name="40 % - Accent1 4 4" xfId="616" xr:uid="{4E682AB4-DE9F-42EA-AB7A-A2A68950F715}"/>
    <cellStyle name="40 % - Accent1 4 4 2" xfId="1639" xr:uid="{6ADA982F-2595-4157-B497-4497908FF4D7}"/>
    <cellStyle name="40 % - Accent1 4 5" xfId="1132" xr:uid="{C2E6E156-D2E5-4F7C-A8F3-F2CC1DCA4207}"/>
    <cellStyle name="40 % - Accent1 5" xfId="126" xr:uid="{1F79A2F7-4AFE-4B7E-BB70-990409CD7B1B}"/>
    <cellStyle name="40 % - Accent1 5 2" xfId="252" xr:uid="{CB80B05E-D3CB-4785-AB91-48EADCA087E6}"/>
    <cellStyle name="40 % - Accent1 5 2 2" xfId="509" xr:uid="{25A19669-AAA6-4FFD-B964-76BB2A24D649}"/>
    <cellStyle name="40 % - Accent1 5 2 2 2" xfId="1017" xr:uid="{BB2267FB-AC20-4790-AD97-0D539092658D}"/>
    <cellStyle name="40 % - Accent1 5 2 2 2 2" xfId="2040" xr:uid="{DDCAD617-BB02-43B6-9055-C1B42A45DE43}"/>
    <cellStyle name="40 % - Accent1 5 2 2 3" xfId="1532" xr:uid="{14DF89DD-49DF-4677-BAFD-96FB85946C5B}"/>
    <cellStyle name="40 % - Accent1 5 2 3" xfId="763" xr:uid="{1E86BDD0-0240-423E-9F68-C6072F647EE5}"/>
    <cellStyle name="40 % - Accent1 5 2 3 2" xfId="1786" xr:uid="{29FA6B1E-941B-49CE-91C5-DA38546D6FA9}"/>
    <cellStyle name="40 % - Accent1 5 2 4" xfId="1278" xr:uid="{153B6CD4-EDE8-4BC9-8441-AC98BB23D552}"/>
    <cellStyle name="40 % - Accent1 5 3" xfId="383" xr:uid="{09B43E3C-2693-4373-9A61-968019FE4717}"/>
    <cellStyle name="40 % - Accent1 5 3 2" xfId="891" xr:uid="{34490475-1D32-4C87-A0BE-DC94C482295C}"/>
    <cellStyle name="40 % - Accent1 5 3 2 2" xfId="1914" xr:uid="{6F1114F0-7A01-4D21-94C2-8B35D33064F3}"/>
    <cellStyle name="40 % - Accent1 5 3 3" xfId="1406" xr:uid="{167946C4-17F2-4BF5-B5DA-5BAF399AE6B0}"/>
    <cellStyle name="40 % - Accent1 5 4" xfId="637" xr:uid="{B4CC4C01-62AD-4DEA-B1DB-44A91B58F68E}"/>
    <cellStyle name="40 % - Accent1 5 4 2" xfId="1660" xr:uid="{5F27E039-6441-4018-A00F-945FD6480F70}"/>
    <cellStyle name="40 % - Accent1 5 5" xfId="1153" xr:uid="{9EB7F08E-951F-41F1-9765-194E665F3421}"/>
    <cellStyle name="40 % - Accent1 6" xfId="147" xr:uid="{9D34C06E-39F8-40A3-ADC4-9973FEC11D03}"/>
    <cellStyle name="40 % - Accent1 6 2" xfId="273" xr:uid="{C0566B5F-2074-4575-8AF7-0C5D3D336292}"/>
    <cellStyle name="40 % - Accent1 6 2 2" xfId="530" xr:uid="{E4E68264-8923-4A14-98BA-ED0AEDE85663}"/>
    <cellStyle name="40 % - Accent1 6 2 2 2" xfId="1038" xr:uid="{9FDB7D78-6ECB-42E1-A1A4-95CED8405569}"/>
    <cellStyle name="40 % - Accent1 6 2 2 2 2" xfId="2061" xr:uid="{9E17FF8D-5AF8-405F-A76E-340B5B218F8C}"/>
    <cellStyle name="40 % - Accent1 6 2 2 3" xfId="1553" xr:uid="{5FE6F720-D34C-40DD-9214-79DF38FAE7CD}"/>
    <cellStyle name="40 % - Accent1 6 2 3" xfId="784" xr:uid="{0AFDB212-C675-4828-A4FD-59E1C095B329}"/>
    <cellStyle name="40 % - Accent1 6 2 3 2" xfId="1807" xr:uid="{FD6A72FF-DF48-43D4-B5E5-E8170718ED81}"/>
    <cellStyle name="40 % - Accent1 6 2 4" xfId="1299" xr:uid="{9E1E507D-ABB4-4FFD-AE7F-D693B713DB3D}"/>
    <cellStyle name="40 % - Accent1 6 3" xfId="404" xr:uid="{2FDBC937-4C9E-4363-8EC4-B90D1627EC9F}"/>
    <cellStyle name="40 % - Accent1 6 3 2" xfId="912" xr:uid="{232AD818-F0EF-4759-9276-7D0B6824A6B7}"/>
    <cellStyle name="40 % - Accent1 6 3 2 2" xfId="1935" xr:uid="{12B11789-C584-426F-B635-D7F7AADB724C}"/>
    <cellStyle name="40 % - Accent1 6 3 3" xfId="1427" xr:uid="{DF88F7C8-F63E-4259-8DA8-511C4344C789}"/>
    <cellStyle name="40 % - Accent1 6 4" xfId="658" xr:uid="{DB7A27E4-0881-4C75-B301-48BAFB628591}"/>
    <cellStyle name="40 % - Accent1 6 4 2" xfId="1681" xr:uid="{44228C09-79B6-49AD-9C02-3B7EFD79A3F0}"/>
    <cellStyle name="40 % - Accent1 6 5" xfId="1174" xr:uid="{B56AC3A5-CF18-43C4-B224-CA622F808F43}"/>
    <cellStyle name="40 % - Accent1 7" xfId="165" xr:uid="{2C193D39-899A-442B-912B-895551100E9D}"/>
    <cellStyle name="40 % - Accent1 7 2" xfId="422" xr:uid="{82CA8BA7-7F2B-4022-BA2E-3C31FAC4C2FE}"/>
    <cellStyle name="40 % - Accent1 7 2 2" xfId="930" xr:uid="{44901600-10CB-4E75-B2A6-C8E5912D8F24}"/>
    <cellStyle name="40 % - Accent1 7 2 2 2" xfId="1953" xr:uid="{6FB0D953-9237-4171-A625-9E8CA50A7FBE}"/>
    <cellStyle name="40 % - Accent1 7 2 3" xfId="1445" xr:uid="{49AA04E0-8C34-4A68-A796-5AF3B3724215}"/>
    <cellStyle name="40 % - Accent1 7 3" xfId="676" xr:uid="{678CBA76-ADC9-43F7-BF66-B2DE3BE293EE}"/>
    <cellStyle name="40 % - Accent1 7 3 2" xfId="1699" xr:uid="{846C8951-9A90-4131-B910-E9FD53738782}"/>
    <cellStyle name="40 % - Accent1 7 4" xfId="1192" xr:uid="{0C4648C3-56EC-4575-B8B2-817CC42BE6BF}"/>
    <cellStyle name="40 % - Accent1 8" xfId="296" xr:uid="{B0914CAB-0C68-44A0-9D52-1A64C4D36481}"/>
    <cellStyle name="40 % - Accent1 8 2" xfId="804" xr:uid="{5EBBFF16-F115-411A-9D7F-7C9AF0376072}"/>
    <cellStyle name="40 % - Accent1 8 2 2" xfId="1827" xr:uid="{83E1BADB-C0B1-4FF8-83A2-F7742EC133E5}"/>
    <cellStyle name="40 % - Accent1 8 3" xfId="1319" xr:uid="{6B3E6C3C-3C03-404E-A0F8-3CA3CDC731E0}"/>
    <cellStyle name="40 % - Accent1 9" xfId="550" xr:uid="{8830AB53-5D2C-44D7-9DFA-6EC4C79AA0A6}"/>
    <cellStyle name="40 % - Accent1 9 2" xfId="1573" xr:uid="{84A970C2-4779-4548-9B22-F78CD03BE266}"/>
    <cellStyle name="40 % - Accent2" xfId="21" builtinId="35" customBuiltin="1"/>
    <cellStyle name="40 % - Accent2 10" xfId="1068" xr:uid="{400ACC66-A1FA-46CC-B707-6A7EEF2B8EC9}"/>
    <cellStyle name="40 % - Accent2 2" xfId="65" xr:uid="{F500B16C-D3AA-4245-A00D-3A699198E52D}"/>
    <cellStyle name="40 % - Accent2 2 2" xfId="191" xr:uid="{530FE660-3A83-4825-9634-DCEEEB00B1AD}"/>
    <cellStyle name="40 % - Accent2 2 2 2" xfId="448" xr:uid="{6E736DF3-EB6C-471D-BD80-6688F096E4EE}"/>
    <cellStyle name="40 % - Accent2 2 2 2 2" xfId="956" xr:uid="{5030C6D0-FB15-4BDC-8384-3BBFB3D30B9D}"/>
    <cellStyle name="40 % - Accent2 2 2 2 2 2" xfId="1979" xr:uid="{B9F1B169-3A1D-48B1-9986-2772493C14F6}"/>
    <cellStyle name="40 % - Accent2 2 2 2 3" xfId="1471" xr:uid="{22F09AD6-574E-4780-A6EA-4392FBBF1605}"/>
    <cellStyle name="40 % - Accent2 2 2 3" xfId="702" xr:uid="{AFE276F3-F22C-4773-B135-F753371253F2}"/>
    <cellStyle name="40 % - Accent2 2 2 3 2" xfId="1725" xr:uid="{E8076953-FC95-48D3-815D-6AC2B93749E3}"/>
    <cellStyle name="40 % - Accent2 2 2 4" xfId="1217" xr:uid="{6DA0A8B9-A8D3-4DF0-B4C5-F4258423A4EF}"/>
    <cellStyle name="40 % - Accent2 2 3" xfId="322" xr:uid="{968CB8C8-BEAD-49B4-AAEF-A4C5B68481ED}"/>
    <cellStyle name="40 % - Accent2 2 3 2" xfId="830" xr:uid="{AE7D83CB-4845-4C8F-B03D-2046F069743B}"/>
    <cellStyle name="40 % - Accent2 2 3 2 2" xfId="1853" xr:uid="{0729FEE8-E973-4BBE-9C7D-61FE79187829}"/>
    <cellStyle name="40 % - Accent2 2 3 3" xfId="1345" xr:uid="{85C58952-CA8B-4690-9C5D-E51D63324A18}"/>
    <cellStyle name="40 % - Accent2 2 4" xfId="576" xr:uid="{E080926E-746C-4790-A065-0C18340DE147}"/>
    <cellStyle name="40 % - Accent2 2 4 2" xfId="1599" xr:uid="{49C255C6-C7E7-4601-B627-7A092347B970}"/>
    <cellStyle name="40 % - Accent2 2 5" xfId="1092" xr:uid="{8E9F9CD9-5F8C-4F6F-913C-10C030946DB1}"/>
    <cellStyle name="40 % - Accent2 3" xfId="86" xr:uid="{68602538-E156-4AA0-9DFD-4CA27617B526}"/>
    <cellStyle name="40 % - Accent2 3 2" xfId="212" xr:uid="{2C79A0F3-7A4A-4B18-8E74-50CEFD808DF2}"/>
    <cellStyle name="40 % - Accent2 3 2 2" xfId="469" xr:uid="{A585E129-2C90-4E72-9A84-5EE28EBEB97F}"/>
    <cellStyle name="40 % - Accent2 3 2 2 2" xfId="977" xr:uid="{496FA35A-F786-4E2F-932B-BA85991A1D7B}"/>
    <cellStyle name="40 % - Accent2 3 2 2 2 2" xfId="2000" xr:uid="{E2900317-FED4-4800-9DBF-475561F9523F}"/>
    <cellStyle name="40 % - Accent2 3 2 2 3" xfId="1492" xr:uid="{4CF02AAD-6FCA-41B6-9B62-2333434AA750}"/>
    <cellStyle name="40 % - Accent2 3 2 3" xfId="723" xr:uid="{9A7F3532-8948-4711-955B-94F8D1197AF6}"/>
    <cellStyle name="40 % - Accent2 3 2 3 2" xfId="1746" xr:uid="{A0CE0779-C6C0-40BB-939F-E68C221B6467}"/>
    <cellStyle name="40 % - Accent2 3 2 4" xfId="1238" xr:uid="{7E973151-8AEC-41CE-951C-C0EA018BF236}"/>
    <cellStyle name="40 % - Accent2 3 3" xfId="343" xr:uid="{52AAD228-372E-414C-A665-364DC98F343A}"/>
    <cellStyle name="40 % - Accent2 3 3 2" xfId="851" xr:uid="{0B505D57-1B18-4E1A-B411-B0A19F360B0A}"/>
    <cellStyle name="40 % - Accent2 3 3 2 2" xfId="1874" xr:uid="{F6D4DA39-3E69-43DD-906C-345FA53DBC88}"/>
    <cellStyle name="40 % - Accent2 3 3 3" xfId="1366" xr:uid="{C8D40E5B-0355-4695-9914-6D479448EEAF}"/>
    <cellStyle name="40 % - Accent2 3 4" xfId="597" xr:uid="{CFED178C-C280-4FD0-B6AD-67E293FDF8CB}"/>
    <cellStyle name="40 % - Accent2 3 4 2" xfId="1620" xr:uid="{220C1083-72B2-4367-A781-E473F9A87C48}"/>
    <cellStyle name="40 % - Accent2 3 5" xfId="1113" xr:uid="{3E8FEFDF-69CE-4DCD-8DDB-90FEED0F5D37}"/>
    <cellStyle name="40 % - Accent2 4" xfId="107" xr:uid="{AF3B5021-EB64-424B-A55F-350E59644E0F}"/>
    <cellStyle name="40 % - Accent2 4 2" xfId="233" xr:uid="{04025C75-5A2F-4015-AC67-A1D591A62629}"/>
    <cellStyle name="40 % - Accent2 4 2 2" xfId="490" xr:uid="{D1733F71-C4B2-42AB-8F09-1B1534080F8A}"/>
    <cellStyle name="40 % - Accent2 4 2 2 2" xfId="998" xr:uid="{FCA2D8B5-E2D0-45F2-821F-9754C398A7C6}"/>
    <cellStyle name="40 % - Accent2 4 2 2 2 2" xfId="2021" xr:uid="{D2DCE4B5-06C5-48B4-80F7-1E22EB8B84A7}"/>
    <cellStyle name="40 % - Accent2 4 2 2 3" xfId="1513" xr:uid="{C8FE3C1C-0259-4146-8CA5-576F26C44790}"/>
    <cellStyle name="40 % - Accent2 4 2 3" xfId="744" xr:uid="{102FA5FD-90FC-42C0-830D-00A30DACDD12}"/>
    <cellStyle name="40 % - Accent2 4 2 3 2" xfId="1767" xr:uid="{90AE74A2-3A62-4BBE-BD01-BC29281E5571}"/>
    <cellStyle name="40 % - Accent2 4 2 4" xfId="1259" xr:uid="{9FFC7774-436C-43D6-B570-79A95E5B6A94}"/>
    <cellStyle name="40 % - Accent2 4 3" xfId="364" xr:uid="{A3F949CF-16ED-474B-8F09-AE1A351D178D}"/>
    <cellStyle name="40 % - Accent2 4 3 2" xfId="872" xr:uid="{E69A0956-08F5-496C-87CB-9CB15C61E88F}"/>
    <cellStyle name="40 % - Accent2 4 3 2 2" xfId="1895" xr:uid="{9C170C54-C2CB-4174-8BEE-B6CF31E38EE2}"/>
    <cellStyle name="40 % - Accent2 4 3 3" xfId="1387" xr:uid="{9626F565-B7FA-47F9-9425-FAE0F7E7378E}"/>
    <cellStyle name="40 % - Accent2 4 4" xfId="618" xr:uid="{F948E6BB-3711-4AD0-BD89-AEC02F00DA0A}"/>
    <cellStyle name="40 % - Accent2 4 4 2" xfId="1641" xr:uid="{F83773A4-3E28-4909-BCD7-C5FEA30DAC24}"/>
    <cellStyle name="40 % - Accent2 4 5" xfId="1134" xr:uid="{E4A97719-F69C-4F57-A83F-99A38F88B0D3}"/>
    <cellStyle name="40 % - Accent2 5" xfId="128" xr:uid="{16FA7797-54D6-4D66-8FCE-AE137D78CBBF}"/>
    <cellStyle name="40 % - Accent2 5 2" xfId="254" xr:uid="{FB1BE6FC-00DC-4E9D-A635-5B250675C7E5}"/>
    <cellStyle name="40 % - Accent2 5 2 2" xfId="511" xr:uid="{D4C0434F-40DD-4B2E-AFF0-2890975F6F56}"/>
    <cellStyle name="40 % - Accent2 5 2 2 2" xfId="1019" xr:uid="{44C41C43-965C-419B-B053-D5E674BE6C21}"/>
    <cellStyle name="40 % - Accent2 5 2 2 2 2" xfId="2042" xr:uid="{BD3262F2-ACDD-48A4-9D7B-2E3FC4796DE8}"/>
    <cellStyle name="40 % - Accent2 5 2 2 3" xfId="1534" xr:uid="{0E44D657-E4A8-4DB7-9DBD-D6FA6D257084}"/>
    <cellStyle name="40 % - Accent2 5 2 3" xfId="765" xr:uid="{6A956B7E-AB25-4A62-A6A6-5D7FB45D3BD4}"/>
    <cellStyle name="40 % - Accent2 5 2 3 2" xfId="1788" xr:uid="{894ACFDA-609E-4D9D-8C6D-94660FDE2434}"/>
    <cellStyle name="40 % - Accent2 5 2 4" xfId="1280" xr:uid="{16D9C009-0CCD-49CF-9431-F996F1EA7186}"/>
    <cellStyle name="40 % - Accent2 5 3" xfId="385" xr:uid="{E0949D4F-0138-41AA-BD56-F5C1D63A3B44}"/>
    <cellStyle name="40 % - Accent2 5 3 2" xfId="893" xr:uid="{157E3931-DB33-4D0B-9851-DA68322E1EA0}"/>
    <cellStyle name="40 % - Accent2 5 3 2 2" xfId="1916" xr:uid="{E4CDC1C2-0664-41FD-AA5B-C8750E8024CA}"/>
    <cellStyle name="40 % - Accent2 5 3 3" xfId="1408" xr:uid="{8B7BF8DB-CF11-49C8-B4A3-E829690D557A}"/>
    <cellStyle name="40 % - Accent2 5 4" xfId="639" xr:uid="{DC44A962-0CF0-4164-AE36-677F7294EFC0}"/>
    <cellStyle name="40 % - Accent2 5 4 2" xfId="1662" xr:uid="{05B60645-2F99-4314-9949-A48B48C8FE39}"/>
    <cellStyle name="40 % - Accent2 5 5" xfId="1155" xr:uid="{37448A8E-C6C2-4584-9763-15C180108A25}"/>
    <cellStyle name="40 % - Accent2 6" xfId="149" xr:uid="{44C0D66E-312A-4153-BC0D-F99974F2B9B0}"/>
    <cellStyle name="40 % - Accent2 6 2" xfId="275" xr:uid="{28256D25-5561-495E-9501-92985A197382}"/>
    <cellStyle name="40 % - Accent2 6 2 2" xfId="532" xr:uid="{5763FD55-3F9B-4034-A372-B5DBA10CD780}"/>
    <cellStyle name="40 % - Accent2 6 2 2 2" xfId="1040" xr:uid="{04F99999-4EC9-4BAC-9366-01CA5B0960FB}"/>
    <cellStyle name="40 % - Accent2 6 2 2 2 2" xfId="2063" xr:uid="{74D50517-CF7F-4094-8B05-AB04AD257996}"/>
    <cellStyle name="40 % - Accent2 6 2 2 3" xfId="1555" xr:uid="{5E22CF9B-FDB0-45AB-B219-0837D574E8D3}"/>
    <cellStyle name="40 % - Accent2 6 2 3" xfId="786" xr:uid="{06E0C316-0AEA-452A-B158-01DA2B9AA544}"/>
    <cellStyle name="40 % - Accent2 6 2 3 2" xfId="1809" xr:uid="{E5A3419D-6521-4621-AFE5-E660A5A9B61C}"/>
    <cellStyle name="40 % - Accent2 6 2 4" xfId="1301" xr:uid="{515D8659-8018-4058-AA37-504B209BDD27}"/>
    <cellStyle name="40 % - Accent2 6 3" xfId="406" xr:uid="{0DF6B097-DB4A-4E0E-BDC4-DF436A800E42}"/>
    <cellStyle name="40 % - Accent2 6 3 2" xfId="914" xr:uid="{DDC7DDBC-05FD-4885-A03D-8CFD81B212E9}"/>
    <cellStyle name="40 % - Accent2 6 3 2 2" xfId="1937" xr:uid="{691D7B22-7BD2-4185-B385-540E914F4F02}"/>
    <cellStyle name="40 % - Accent2 6 3 3" xfId="1429" xr:uid="{294DA4D6-9082-4F6B-8818-096C6CE038D3}"/>
    <cellStyle name="40 % - Accent2 6 4" xfId="660" xr:uid="{0A0D4D9A-A75E-4A45-BB85-A5D8620E048A}"/>
    <cellStyle name="40 % - Accent2 6 4 2" xfId="1683" xr:uid="{F9DCC93B-6E2A-4258-8D53-DAA6C873BA68}"/>
    <cellStyle name="40 % - Accent2 6 5" xfId="1176" xr:uid="{909419FD-2F1F-4431-97B1-75EAD1A6483C}"/>
    <cellStyle name="40 % - Accent2 7" xfId="167" xr:uid="{BC8E4797-A597-4BF1-9B50-A685C7EA5326}"/>
    <cellStyle name="40 % - Accent2 7 2" xfId="424" xr:uid="{D82BE296-90AC-45A3-9586-CE4FD9FFBCF5}"/>
    <cellStyle name="40 % - Accent2 7 2 2" xfId="932" xr:uid="{F877EB69-DD8E-4D36-B21F-6DE6305BD2A3}"/>
    <cellStyle name="40 % - Accent2 7 2 2 2" xfId="1955" xr:uid="{29697174-38B3-47E0-BB94-FCF5304468CA}"/>
    <cellStyle name="40 % - Accent2 7 2 3" xfId="1447" xr:uid="{E63706A8-2487-4013-9375-952A32AB1A5F}"/>
    <cellStyle name="40 % - Accent2 7 3" xfId="678" xr:uid="{7742573E-EE75-4747-988F-AE1692121BB8}"/>
    <cellStyle name="40 % - Accent2 7 3 2" xfId="1701" xr:uid="{B8A70823-3434-4DA1-8726-19C92322B97A}"/>
    <cellStyle name="40 % - Accent2 7 4" xfId="1194" xr:uid="{E7EE7DCD-9BF8-4E46-8D95-E0726A4A7987}"/>
    <cellStyle name="40 % - Accent2 8" xfId="298" xr:uid="{DEC614A3-3E79-43E9-93EA-EBE84A4AEEF9}"/>
    <cellStyle name="40 % - Accent2 8 2" xfId="806" xr:uid="{C880C83C-133B-4018-A25C-AEBDB0A169BD}"/>
    <cellStyle name="40 % - Accent2 8 2 2" xfId="1829" xr:uid="{20832FAF-A1B0-4FED-BE26-2ADB4DF0827C}"/>
    <cellStyle name="40 % - Accent2 8 3" xfId="1321" xr:uid="{BE59A437-2FDE-4569-A8A2-07D776C86BEB}"/>
    <cellStyle name="40 % - Accent2 9" xfId="552" xr:uid="{B75434F0-1A75-4D2C-A5C1-81F65C907477}"/>
    <cellStyle name="40 % - Accent2 9 2" xfId="1575" xr:uid="{E82E644F-A536-401C-8FFE-3ECE7C71822A}"/>
    <cellStyle name="40 % - Accent3" xfId="24" builtinId="39" customBuiltin="1"/>
    <cellStyle name="40 % - Accent3 10" xfId="1070" xr:uid="{66A11825-A5BD-4D29-8088-4FD1CD782C79}"/>
    <cellStyle name="40 % - Accent3 2" xfId="67" xr:uid="{24AA24E4-E549-41D7-BFF5-A722B1BF09CD}"/>
    <cellStyle name="40 % - Accent3 2 2" xfId="193" xr:uid="{CC983877-AE7B-444C-BEF3-8F5E31E4126A}"/>
    <cellStyle name="40 % - Accent3 2 2 2" xfId="450" xr:uid="{477B6731-1B6F-4BCD-8B70-BF81A13DFE40}"/>
    <cellStyle name="40 % - Accent3 2 2 2 2" xfId="958" xr:uid="{4645CA21-E2E2-4B8D-BEC0-AF8498699D6B}"/>
    <cellStyle name="40 % - Accent3 2 2 2 2 2" xfId="1981" xr:uid="{00344A93-E98F-4CE8-A864-C73725B0059A}"/>
    <cellStyle name="40 % - Accent3 2 2 2 3" xfId="1473" xr:uid="{CD624798-911B-4AA4-8E87-771AF90A86E6}"/>
    <cellStyle name="40 % - Accent3 2 2 3" xfId="704" xr:uid="{4E764712-5B91-4324-AD42-4B11940AC144}"/>
    <cellStyle name="40 % - Accent3 2 2 3 2" xfId="1727" xr:uid="{B580028E-2617-43B0-98C3-25E9B5859038}"/>
    <cellStyle name="40 % - Accent3 2 2 4" xfId="1219" xr:uid="{38844497-46A3-4079-96D1-D45A7B4FD8CB}"/>
    <cellStyle name="40 % - Accent3 2 3" xfId="324" xr:uid="{8DDB3192-4CD1-4928-9762-4154E2571F48}"/>
    <cellStyle name="40 % - Accent3 2 3 2" xfId="832" xr:uid="{14C9078E-7BFA-43CE-9B6C-91FF99359D3D}"/>
    <cellStyle name="40 % - Accent3 2 3 2 2" xfId="1855" xr:uid="{D1FA9501-1C16-42F7-8DB6-67CE7D7B37AE}"/>
    <cellStyle name="40 % - Accent3 2 3 3" xfId="1347" xr:uid="{F4DF4C05-BB91-493A-83A4-E5DCD4E76878}"/>
    <cellStyle name="40 % - Accent3 2 4" xfId="578" xr:uid="{BA3E3162-667C-4F51-9793-B0960BD11D78}"/>
    <cellStyle name="40 % - Accent3 2 4 2" xfId="1601" xr:uid="{DAB2E932-745F-4E1C-BDB9-F081B65792A5}"/>
    <cellStyle name="40 % - Accent3 2 5" xfId="1094" xr:uid="{B5C26CDB-A4F0-434C-B838-6CFCA1E6E12A}"/>
    <cellStyle name="40 % - Accent3 3" xfId="88" xr:uid="{5F3082C6-7339-40A7-840F-68863ABE0A53}"/>
    <cellStyle name="40 % - Accent3 3 2" xfId="214" xr:uid="{5B8ED362-58DE-4B04-9E71-1EC28A65E934}"/>
    <cellStyle name="40 % - Accent3 3 2 2" xfId="471" xr:uid="{00B10F74-2DD5-4886-91DC-C1BC6BA04A37}"/>
    <cellStyle name="40 % - Accent3 3 2 2 2" xfId="979" xr:uid="{61F16F11-8F63-49FF-9CE7-C4C789ACE48D}"/>
    <cellStyle name="40 % - Accent3 3 2 2 2 2" xfId="2002" xr:uid="{4F1D4413-3FB0-4E8B-809E-5FE5D2F150A3}"/>
    <cellStyle name="40 % - Accent3 3 2 2 3" xfId="1494" xr:uid="{786F56F1-73C9-46F1-BFD9-978CA4463E6A}"/>
    <cellStyle name="40 % - Accent3 3 2 3" xfId="725" xr:uid="{B0764E7F-0328-4E58-B81A-B7D690A9D33C}"/>
    <cellStyle name="40 % - Accent3 3 2 3 2" xfId="1748" xr:uid="{49BF34E1-7086-40C9-BA3E-910E1C626DFF}"/>
    <cellStyle name="40 % - Accent3 3 2 4" xfId="1240" xr:uid="{FBD67D32-287F-4931-A2A3-DDB28DC41FE0}"/>
    <cellStyle name="40 % - Accent3 3 3" xfId="345" xr:uid="{BBCE8234-81DA-4920-A5D2-233DE12C7A54}"/>
    <cellStyle name="40 % - Accent3 3 3 2" xfId="853" xr:uid="{18AB530A-208A-406A-A188-B831FF761557}"/>
    <cellStyle name="40 % - Accent3 3 3 2 2" xfId="1876" xr:uid="{E47EC19D-DB63-4D30-B023-368C8EA2D61F}"/>
    <cellStyle name="40 % - Accent3 3 3 3" xfId="1368" xr:uid="{990E664C-162F-46DE-AC62-540709B56B4A}"/>
    <cellStyle name="40 % - Accent3 3 4" xfId="599" xr:uid="{06DED8D5-F9B1-463D-8144-50A3B65C99D8}"/>
    <cellStyle name="40 % - Accent3 3 4 2" xfId="1622" xr:uid="{B4E16749-5B7D-4B23-834D-572FEA52AE09}"/>
    <cellStyle name="40 % - Accent3 3 5" xfId="1115" xr:uid="{38B002AA-992B-44B4-B987-02AA5ED5DE78}"/>
    <cellStyle name="40 % - Accent3 4" xfId="109" xr:uid="{56C6E269-D6A2-4C5E-9D43-C35E89039B84}"/>
    <cellStyle name="40 % - Accent3 4 2" xfId="235" xr:uid="{0CBD7338-8B27-4E84-86AF-DC60DE34932E}"/>
    <cellStyle name="40 % - Accent3 4 2 2" xfId="492" xr:uid="{F5CC9BE3-5229-4C46-8885-A2E5B7DC46A8}"/>
    <cellStyle name="40 % - Accent3 4 2 2 2" xfId="1000" xr:uid="{C5EE7832-E659-4F57-A547-628410D5C80F}"/>
    <cellStyle name="40 % - Accent3 4 2 2 2 2" xfId="2023" xr:uid="{61F92216-8149-4560-B59A-A99E38B1F9EE}"/>
    <cellStyle name="40 % - Accent3 4 2 2 3" xfId="1515" xr:uid="{E71DF230-6401-4A0D-8AA8-E1439B76419B}"/>
    <cellStyle name="40 % - Accent3 4 2 3" xfId="746" xr:uid="{580EB4D8-D100-4058-93CF-289F3DB12E56}"/>
    <cellStyle name="40 % - Accent3 4 2 3 2" xfId="1769" xr:uid="{3ACCB23D-6E29-4651-88A7-6AE4688C5F86}"/>
    <cellStyle name="40 % - Accent3 4 2 4" xfId="1261" xr:uid="{4F03C4A0-DD1A-4E08-ACF0-C8B3B4E5BA66}"/>
    <cellStyle name="40 % - Accent3 4 3" xfId="366" xr:uid="{01B9BA71-38F9-4179-B482-65E6B507622B}"/>
    <cellStyle name="40 % - Accent3 4 3 2" xfId="874" xr:uid="{8EC985EF-8D5D-4F2D-AA80-A9AF16BC937E}"/>
    <cellStyle name="40 % - Accent3 4 3 2 2" xfId="1897" xr:uid="{0B32FD57-A18A-45B4-B47C-57FC6B46AC77}"/>
    <cellStyle name="40 % - Accent3 4 3 3" xfId="1389" xr:uid="{6A231CD8-4635-4D11-BFC8-787348001A9A}"/>
    <cellStyle name="40 % - Accent3 4 4" xfId="620" xr:uid="{D1EF4ECC-72A5-4B20-93BF-39EC1060C528}"/>
    <cellStyle name="40 % - Accent3 4 4 2" xfId="1643" xr:uid="{8EB3659F-CD45-4451-B47A-042FCD36F764}"/>
    <cellStyle name="40 % - Accent3 4 5" xfId="1136" xr:uid="{2D4BAF57-72B3-4C61-90B7-73DF59CD8829}"/>
    <cellStyle name="40 % - Accent3 5" xfId="130" xr:uid="{5CF8983A-34F6-4A41-827E-D138D1401DB1}"/>
    <cellStyle name="40 % - Accent3 5 2" xfId="256" xr:uid="{54EA431E-51E7-4BA0-B608-F210550983FC}"/>
    <cellStyle name="40 % - Accent3 5 2 2" xfId="513" xr:uid="{DB08AA7F-8D4B-40B7-AAE5-A1E202B2A0F3}"/>
    <cellStyle name="40 % - Accent3 5 2 2 2" xfId="1021" xr:uid="{1600FFAD-5C5C-4D1E-A9B6-002627365234}"/>
    <cellStyle name="40 % - Accent3 5 2 2 2 2" xfId="2044" xr:uid="{C287C414-7DB2-4D68-9138-FE668B3AA97C}"/>
    <cellStyle name="40 % - Accent3 5 2 2 3" xfId="1536" xr:uid="{C1BFE7F0-21AC-47F4-A585-B2A9EE930142}"/>
    <cellStyle name="40 % - Accent3 5 2 3" xfId="767" xr:uid="{6179D84A-AC55-45E7-8BAD-25874762151A}"/>
    <cellStyle name="40 % - Accent3 5 2 3 2" xfId="1790" xr:uid="{2AD48BC7-143A-47EC-B466-62B8D0EA5208}"/>
    <cellStyle name="40 % - Accent3 5 2 4" xfId="1282" xr:uid="{7F9D1F0C-6B1F-49EC-93A0-AD2A76F6CF63}"/>
    <cellStyle name="40 % - Accent3 5 3" xfId="387" xr:uid="{E37EACDE-6ECB-470A-BB06-647E742033E7}"/>
    <cellStyle name="40 % - Accent3 5 3 2" xfId="895" xr:uid="{7154CA76-A8DF-4670-B46B-C99291994944}"/>
    <cellStyle name="40 % - Accent3 5 3 2 2" xfId="1918" xr:uid="{A5BD38CF-C9F0-43B1-96F4-B4CD85C11544}"/>
    <cellStyle name="40 % - Accent3 5 3 3" xfId="1410" xr:uid="{DF99FE05-3345-4E30-9D4D-81B0276A8E65}"/>
    <cellStyle name="40 % - Accent3 5 4" xfId="641" xr:uid="{72B5D8DA-7194-45AA-9C02-E4A0C165277A}"/>
    <cellStyle name="40 % - Accent3 5 4 2" xfId="1664" xr:uid="{E2A7EB74-F239-45F3-B5C6-8496FD443A76}"/>
    <cellStyle name="40 % - Accent3 5 5" xfId="1157" xr:uid="{8BA3CAA9-0C8A-499C-83D0-C1E372E1DB7D}"/>
    <cellStyle name="40 % - Accent3 6" xfId="151" xr:uid="{9DED1CC4-A4F1-48F6-A014-191D72EBD688}"/>
    <cellStyle name="40 % - Accent3 6 2" xfId="277" xr:uid="{201B5EA9-1257-42D4-AFA7-0AC93713B997}"/>
    <cellStyle name="40 % - Accent3 6 2 2" xfId="534" xr:uid="{D403FB26-8F07-41E1-912B-36A8B00E9853}"/>
    <cellStyle name="40 % - Accent3 6 2 2 2" xfId="1042" xr:uid="{7C294320-2093-48B2-983B-CC9B70976410}"/>
    <cellStyle name="40 % - Accent3 6 2 2 2 2" xfId="2065" xr:uid="{B0D2DD96-A012-4FB6-9EC7-723439FE168F}"/>
    <cellStyle name="40 % - Accent3 6 2 2 3" xfId="1557" xr:uid="{2097D087-767A-4F30-8974-3288F99BF15F}"/>
    <cellStyle name="40 % - Accent3 6 2 3" xfId="788" xr:uid="{92DB426B-636A-4AD6-AB96-2514B38C9620}"/>
    <cellStyle name="40 % - Accent3 6 2 3 2" xfId="1811" xr:uid="{F46FAAC0-C87C-4D3A-AEAD-18A6557F28ED}"/>
    <cellStyle name="40 % - Accent3 6 2 4" xfId="1303" xr:uid="{6EA6DAA3-361E-47EB-A24C-32D7DC360EF8}"/>
    <cellStyle name="40 % - Accent3 6 3" xfId="408" xr:uid="{FECB5BF6-063F-4047-BD06-A19BF19ACF8E}"/>
    <cellStyle name="40 % - Accent3 6 3 2" xfId="916" xr:uid="{2668341B-3166-4326-8689-408D9C596E92}"/>
    <cellStyle name="40 % - Accent3 6 3 2 2" xfId="1939" xr:uid="{EFCB9B5E-93C5-434E-BC20-CD2D60A6AF7F}"/>
    <cellStyle name="40 % - Accent3 6 3 3" xfId="1431" xr:uid="{D26F00C0-4CE1-4DE2-98CF-FEA2FF9421AD}"/>
    <cellStyle name="40 % - Accent3 6 4" xfId="662" xr:uid="{37917077-8BFF-4596-9ABD-C308B13441D4}"/>
    <cellStyle name="40 % - Accent3 6 4 2" xfId="1685" xr:uid="{F7DDE830-FF51-4BE5-A3F5-2A70C039BAA3}"/>
    <cellStyle name="40 % - Accent3 6 5" xfId="1178" xr:uid="{A25910D8-0270-4AE9-9EAA-A960E4100391}"/>
    <cellStyle name="40 % - Accent3 7" xfId="169" xr:uid="{2DE1C3BB-A520-4911-A55E-37A737A87E9E}"/>
    <cellStyle name="40 % - Accent3 7 2" xfId="426" xr:uid="{248597DD-266A-4097-9E44-8C5780C9DCEA}"/>
    <cellStyle name="40 % - Accent3 7 2 2" xfId="934" xr:uid="{E091FC23-975E-4B4E-AB79-8370A06D0118}"/>
    <cellStyle name="40 % - Accent3 7 2 2 2" xfId="1957" xr:uid="{05AB6696-291A-4F4B-9659-FCA61CA40024}"/>
    <cellStyle name="40 % - Accent3 7 2 3" xfId="1449" xr:uid="{523BC90E-0729-4978-9C8A-DDAA16995B89}"/>
    <cellStyle name="40 % - Accent3 7 3" xfId="680" xr:uid="{F9E49759-E947-41F7-8E66-11F10EB9546A}"/>
    <cellStyle name="40 % - Accent3 7 3 2" xfId="1703" xr:uid="{DC2857A8-6285-4B5E-854F-D1EC4FD0E45D}"/>
    <cellStyle name="40 % - Accent3 7 4" xfId="1196" xr:uid="{A08F4BBE-2130-4E69-805E-76B36CA268AA}"/>
    <cellStyle name="40 % - Accent3 8" xfId="300" xr:uid="{58437447-2A93-44ED-9C2D-40C8AF13FC69}"/>
    <cellStyle name="40 % - Accent3 8 2" xfId="808" xr:uid="{F6A9DA26-045D-4D5F-BA68-640EB57F4B96}"/>
    <cellStyle name="40 % - Accent3 8 2 2" xfId="1831" xr:uid="{91A846EF-9E9F-42AA-88D7-659E9F338DCF}"/>
    <cellStyle name="40 % - Accent3 8 3" xfId="1323" xr:uid="{64C19642-3464-4477-93D1-34C4B371A4C4}"/>
    <cellStyle name="40 % - Accent3 9" xfId="554" xr:uid="{38CF1B34-282B-4A53-94F0-7A394E321263}"/>
    <cellStyle name="40 % - Accent3 9 2" xfId="1577" xr:uid="{622942D7-119E-4EA9-A9DC-4BF3F469EC04}"/>
    <cellStyle name="40 % - Accent4" xfId="27" builtinId="43" customBuiltin="1"/>
    <cellStyle name="40 % - Accent4 10" xfId="1072" xr:uid="{2E61BB09-391F-44E8-B010-6CA5CC5D8BA9}"/>
    <cellStyle name="40 % - Accent4 2" xfId="69" xr:uid="{33033DE6-D065-4598-B98B-67C0AEEA3A59}"/>
    <cellStyle name="40 % - Accent4 2 2" xfId="195" xr:uid="{508F1A6F-6270-471F-8B1E-2D1C0ED0C560}"/>
    <cellStyle name="40 % - Accent4 2 2 2" xfId="452" xr:uid="{CF3A9DF4-07BC-49F0-829F-9AFA6D902323}"/>
    <cellStyle name="40 % - Accent4 2 2 2 2" xfId="960" xr:uid="{5AE74686-7E64-4E39-9BAD-4838E5200F0F}"/>
    <cellStyle name="40 % - Accent4 2 2 2 2 2" xfId="1983" xr:uid="{5E7B3A8B-97BB-4CBE-9079-985351278B7B}"/>
    <cellStyle name="40 % - Accent4 2 2 2 3" xfId="1475" xr:uid="{7C301AE7-1BCF-4D47-8E0A-D0D68A5E9381}"/>
    <cellStyle name="40 % - Accent4 2 2 3" xfId="706" xr:uid="{AB97F319-E6AE-4D5A-817D-724F38161B0D}"/>
    <cellStyle name="40 % - Accent4 2 2 3 2" xfId="1729" xr:uid="{A6499540-9F31-48BA-ACD0-66EC1CBA4F53}"/>
    <cellStyle name="40 % - Accent4 2 2 4" xfId="1221" xr:uid="{DA4ECC10-00AE-4510-B53A-2B5E51716BB5}"/>
    <cellStyle name="40 % - Accent4 2 3" xfId="326" xr:uid="{EED23ECD-ABEB-48AE-9A25-2173F5A48BAF}"/>
    <cellStyle name="40 % - Accent4 2 3 2" xfId="834" xr:uid="{CE478932-1C66-40F2-8813-D4CFC71AB95C}"/>
    <cellStyle name="40 % - Accent4 2 3 2 2" xfId="1857" xr:uid="{9B04EE24-8576-4699-92D6-70FA8E002CAC}"/>
    <cellStyle name="40 % - Accent4 2 3 3" xfId="1349" xr:uid="{62716CDA-BE5F-4218-A4D7-9E10D483C9CD}"/>
    <cellStyle name="40 % - Accent4 2 4" xfId="580" xr:uid="{236939BF-F471-4424-8AD1-51061431EB30}"/>
    <cellStyle name="40 % - Accent4 2 4 2" xfId="1603" xr:uid="{33A567C3-CFC0-4C62-92D9-B745E1E29A14}"/>
    <cellStyle name="40 % - Accent4 2 5" xfId="1096" xr:uid="{1BD9607F-4D10-49EF-BDCE-F751DCD93D07}"/>
    <cellStyle name="40 % - Accent4 3" xfId="90" xr:uid="{9720AD3B-A791-4DC3-B455-5F12CBD50EDE}"/>
    <cellStyle name="40 % - Accent4 3 2" xfId="216" xr:uid="{4DC2672C-A3BA-429E-8723-D8B5510D8C78}"/>
    <cellStyle name="40 % - Accent4 3 2 2" xfId="473" xr:uid="{3484E60B-0766-4865-888A-8F2DA506D5A7}"/>
    <cellStyle name="40 % - Accent4 3 2 2 2" xfId="981" xr:uid="{7F368941-0C20-4485-AA3B-98CAA0FAED64}"/>
    <cellStyle name="40 % - Accent4 3 2 2 2 2" xfId="2004" xr:uid="{231C2CAD-73F7-4025-A09C-7F0BE03C2B66}"/>
    <cellStyle name="40 % - Accent4 3 2 2 3" xfId="1496" xr:uid="{E54F2D47-BBC9-4F49-8A35-45503D33FDB7}"/>
    <cellStyle name="40 % - Accent4 3 2 3" xfId="727" xr:uid="{CD99F598-DF02-40AD-AE5E-B24D07CDD87E}"/>
    <cellStyle name="40 % - Accent4 3 2 3 2" xfId="1750" xr:uid="{7F63E99A-C64B-445F-A578-8A45E62F02A9}"/>
    <cellStyle name="40 % - Accent4 3 2 4" xfId="1242" xr:uid="{FDD332FB-217E-415C-BFD9-AB68940DF8FD}"/>
    <cellStyle name="40 % - Accent4 3 3" xfId="347" xr:uid="{EFFB736C-59B5-49B1-8006-E1E171572657}"/>
    <cellStyle name="40 % - Accent4 3 3 2" xfId="855" xr:uid="{4896C61F-0AE5-469A-9CCF-C962DFA87EFC}"/>
    <cellStyle name="40 % - Accent4 3 3 2 2" xfId="1878" xr:uid="{9DD1A661-16D2-4BE9-9D44-1FC565AFCE99}"/>
    <cellStyle name="40 % - Accent4 3 3 3" xfId="1370" xr:uid="{00153B1F-1A5A-4C8A-9D84-50FC6DFE60CD}"/>
    <cellStyle name="40 % - Accent4 3 4" xfId="601" xr:uid="{2DFE1FC9-9680-493D-A75A-4D2390F71594}"/>
    <cellStyle name="40 % - Accent4 3 4 2" xfId="1624" xr:uid="{E4A60698-F90D-4C6E-8E67-90E3F01650EC}"/>
    <cellStyle name="40 % - Accent4 3 5" xfId="1117" xr:uid="{B12EFEB7-845D-43BF-94D4-BB7A7C1F33C1}"/>
    <cellStyle name="40 % - Accent4 4" xfId="111" xr:uid="{BE709549-AF93-44BA-855A-DB4AF42EBAA5}"/>
    <cellStyle name="40 % - Accent4 4 2" xfId="237" xr:uid="{ED8C7851-C90F-4728-B664-E14C5FA95404}"/>
    <cellStyle name="40 % - Accent4 4 2 2" xfId="494" xr:uid="{681D6921-CCE9-4525-9B76-D8C9A28B2368}"/>
    <cellStyle name="40 % - Accent4 4 2 2 2" xfId="1002" xr:uid="{D27E41F7-2CD6-4C9D-92EF-244296835441}"/>
    <cellStyle name="40 % - Accent4 4 2 2 2 2" xfId="2025" xr:uid="{B0DFC52E-9E29-4A02-897C-BB5BBFDD8335}"/>
    <cellStyle name="40 % - Accent4 4 2 2 3" xfId="1517" xr:uid="{28EC0D91-55AD-4B6D-B1B3-F29200446F35}"/>
    <cellStyle name="40 % - Accent4 4 2 3" xfId="748" xr:uid="{D6B95A59-03EE-43D9-8037-29E346163FAD}"/>
    <cellStyle name="40 % - Accent4 4 2 3 2" xfId="1771" xr:uid="{25AFE700-3687-4628-B66A-B1530945651F}"/>
    <cellStyle name="40 % - Accent4 4 2 4" xfId="1263" xr:uid="{58285D16-E845-4CF1-AF83-C49866AF7E7C}"/>
    <cellStyle name="40 % - Accent4 4 3" xfId="368" xr:uid="{6B2BA1C9-D7E9-4750-9808-9EC3E7044591}"/>
    <cellStyle name="40 % - Accent4 4 3 2" xfId="876" xr:uid="{330113B7-39D8-4B6D-A73A-FB6AC412A923}"/>
    <cellStyle name="40 % - Accent4 4 3 2 2" xfId="1899" xr:uid="{24BD0B63-C9CC-43DD-8030-9595BD80C906}"/>
    <cellStyle name="40 % - Accent4 4 3 3" xfId="1391" xr:uid="{305FBDC6-C4DA-46D2-88C4-38BCFCD4AEEB}"/>
    <cellStyle name="40 % - Accent4 4 4" xfId="622" xr:uid="{42DAD617-6D1C-43D7-9F96-B9561D2B3F56}"/>
    <cellStyle name="40 % - Accent4 4 4 2" xfId="1645" xr:uid="{5032890A-814F-482C-80BB-EA3577AA0C6D}"/>
    <cellStyle name="40 % - Accent4 4 5" xfId="1138" xr:uid="{46270A53-F195-47E1-B17C-0D549C78D8B5}"/>
    <cellStyle name="40 % - Accent4 5" xfId="132" xr:uid="{7CCC30F6-A432-4BE4-B34E-34D9A2296D2C}"/>
    <cellStyle name="40 % - Accent4 5 2" xfId="258" xr:uid="{91CD47E3-10E5-40C9-9957-DEB56515842E}"/>
    <cellStyle name="40 % - Accent4 5 2 2" xfId="515" xr:uid="{AB025728-4284-419A-A31E-1D5BBFADDC08}"/>
    <cellStyle name="40 % - Accent4 5 2 2 2" xfId="1023" xr:uid="{B2EC4794-881B-4D71-B743-FB559FEC8113}"/>
    <cellStyle name="40 % - Accent4 5 2 2 2 2" xfId="2046" xr:uid="{9B63B37B-CF47-4426-AE49-1C37513E5F33}"/>
    <cellStyle name="40 % - Accent4 5 2 2 3" xfId="1538" xr:uid="{C53171F9-959B-4029-BB05-CB99E17980F2}"/>
    <cellStyle name="40 % - Accent4 5 2 3" xfId="769" xr:uid="{D112185C-C73B-4CB6-B356-93DF75B9E98C}"/>
    <cellStyle name="40 % - Accent4 5 2 3 2" xfId="1792" xr:uid="{86A0B912-737E-4A87-A824-29EA230F7BBB}"/>
    <cellStyle name="40 % - Accent4 5 2 4" xfId="1284" xr:uid="{91325314-56F0-4304-BE30-046B2F6DA14D}"/>
    <cellStyle name="40 % - Accent4 5 3" xfId="389" xr:uid="{1B818280-22B4-4A91-9896-5E90F27B8142}"/>
    <cellStyle name="40 % - Accent4 5 3 2" xfId="897" xr:uid="{6C9D69B1-A935-46AA-A86F-B6D3095FDFE3}"/>
    <cellStyle name="40 % - Accent4 5 3 2 2" xfId="1920" xr:uid="{E12AA155-704A-4F3C-A11A-9CF2BDE202C2}"/>
    <cellStyle name="40 % - Accent4 5 3 3" xfId="1412" xr:uid="{2FE5205B-E2F4-422E-82A2-3F8FC63EDE3D}"/>
    <cellStyle name="40 % - Accent4 5 4" xfId="643" xr:uid="{5F8FEDEF-613B-4144-9E64-BC764148DA99}"/>
    <cellStyle name="40 % - Accent4 5 4 2" xfId="1666" xr:uid="{572B495E-136F-4776-AFEB-15F262D80D32}"/>
    <cellStyle name="40 % - Accent4 5 5" xfId="1159" xr:uid="{D2B091C0-F6F4-4010-A89A-15462D164353}"/>
    <cellStyle name="40 % - Accent4 6" xfId="153" xr:uid="{FB8AB208-781E-4774-BA6B-D9602C1D9952}"/>
    <cellStyle name="40 % - Accent4 6 2" xfId="279" xr:uid="{DC4C1432-F201-47A6-91E4-69DF528E47B8}"/>
    <cellStyle name="40 % - Accent4 6 2 2" xfId="536" xr:uid="{2AD4AF3A-2259-4362-B342-2742BDCC2270}"/>
    <cellStyle name="40 % - Accent4 6 2 2 2" xfId="1044" xr:uid="{013D6D56-FC14-4EE6-B0FC-4AACCE813B85}"/>
    <cellStyle name="40 % - Accent4 6 2 2 2 2" xfId="2067" xr:uid="{1B5F800D-1BA5-470A-B1C5-34F8CB8D7F85}"/>
    <cellStyle name="40 % - Accent4 6 2 2 3" xfId="1559" xr:uid="{057DD5B8-2818-4935-810E-6E795C675781}"/>
    <cellStyle name="40 % - Accent4 6 2 3" xfId="790" xr:uid="{3EB0474F-1161-49E0-84B7-F77332296076}"/>
    <cellStyle name="40 % - Accent4 6 2 3 2" xfId="1813" xr:uid="{54C35F2F-2C4D-45EA-9B81-CC6EFB16D7E4}"/>
    <cellStyle name="40 % - Accent4 6 2 4" xfId="1305" xr:uid="{2287703B-C761-4D9C-8A01-F525468C5C26}"/>
    <cellStyle name="40 % - Accent4 6 3" xfId="410" xr:uid="{C90177C6-BBBF-445F-936D-788FBA8D36E5}"/>
    <cellStyle name="40 % - Accent4 6 3 2" xfId="918" xr:uid="{C101CE81-61D4-4392-ABF6-1C9A3DA71C1D}"/>
    <cellStyle name="40 % - Accent4 6 3 2 2" xfId="1941" xr:uid="{20422341-6556-4A8D-A6B2-69A2DCEB7F60}"/>
    <cellStyle name="40 % - Accent4 6 3 3" xfId="1433" xr:uid="{E20ACC7A-A3B2-427F-B521-A4621DDA0332}"/>
    <cellStyle name="40 % - Accent4 6 4" xfId="664" xr:uid="{EC142854-FC82-4637-9736-9C05DF00542B}"/>
    <cellStyle name="40 % - Accent4 6 4 2" xfId="1687" xr:uid="{7A95B22A-4C8E-465B-B45E-B7670CFF328E}"/>
    <cellStyle name="40 % - Accent4 6 5" xfId="1180" xr:uid="{0DAC0D90-1B80-4AF4-8A41-87B9F93ADC62}"/>
    <cellStyle name="40 % - Accent4 7" xfId="171" xr:uid="{7B6C514D-28B1-499E-B1DE-78160D245AF7}"/>
    <cellStyle name="40 % - Accent4 7 2" xfId="428" xr:uid="{D8266A24-8911-4E83-A323-4879D85B4997}"/>
    <cellStyle name="40 % - Accent4 7 2 2" xfId="936" xr:uid="{67EBADE0-1FF4-40F3-A56F-EDD7C784D6A7}"/>
    <cellStyle name="40 % - Accent4 7 2 2 2" xfId="1959" xr:uid="{F585A393-F008-428A-A32C-F54AAC3FAA36}"/>
    <cellStyle name="40 % - Accent4 7 2 3" xfId="1451" xr:uid="{87F07BB8-5D52-4A0B-9E6E-9A38D4D0D37A}"/>
    <cellStyle name="40 % - Accent4 7 3" xfId="682" xr:uid="{DB5FD52A-9B11-40BF-87C8-1D51800ACEED}"/>
    <cellStyle name="40 % - Accent4 7 3 2" xfId="1705" xr:uid="{63B7EB61-79FD-41AF-ACF8-27D0EE9CB910}"/>
    <cellStyle name="40 % - Accent4 7 4" xfId="1198" xr:uid="{7ADF1105-9CC2-4B4F-96E0-5CF84DBCA5CB}"/>
    <cellStyle name="40 % - Accent4 8" xfId="302" xr:uid="{F71ED832-EC9A-4786-8A78-6A964BC02AE8}"/>
    <cellStyle name="40 % - Accent4 8 2" xfId="810" xr:uid="{37B43B96-7673-43C9-8830-B658CA2D1410}"/>
    <cellStyle name="40 % - Accent4 8 2 2" xfId="1833" xr:uid="{03660A3B-7626-4D97-8581-C12519BAE8E9}"/>
    <cellStyle name="40 % - Accent4 8 3" xfId="1325" xr:uid="{84F01BD9-09B2-4759-AECC-C8AFFBC9C082}"/>
    <cellStyle name="40 % - Accent4 9" xfId="556" xr:uid="{E0339081-B6A4-4978-BD0D-2C5EEA10C1DD}"/>
    <cellStyle name="40 % - Accent4 9 2" xfId="1579" xr:uid="{5AD2E0FE-ED27-45B3-A73C-83284194F5F3}"/>
    <cellStyle name="40 % - Accent5" xfId="30" builtinId="47" customBuiltin="1"/>
    <cellStyle name="40 % - Accent5 10" xfId="1074" xr:uid="{4C477793-0DA3-4EA8-9EE8-859EBA745169}"/>
    <cellStyle name="40 % - Accent5 2" xfId="71" xr:uid="{5BF2443A-4076-4E15-84A1-B14FD5ECC989}"/>
    <cellStyle name="40 % - Accent5 2 2" xfId="197" xr:uid="{209351BE-47E0-4430-88F7-9C3E10C720A9}"/>
    <cellStyle name="40 % - Accent5 2 2 2" xfId="454" xr:uid="{F8191ACC-FB78-455E-AF86-815D47A42ED4}"/>
    <cellStyle name="40 % - Accent5 2 2 2 2" xfId="962" xr:uid="{CDB1436D-445F-4C6C-BA3A-A029945D7764}"/>
    <cellStyle name="40 % - Accent5 2 2 2 2 2" xfId="1985" xr:uid="{BC096FC6-9410-4852-A5B4-A0F715E0488E}"/>
    <cellStyle name="40 % - Accent5 2 2 2 3" xfId="1477" xr:uid="{536281FB-B13E-4582-AAB8-766C99F5203A}"/>
    <cellStyle name="40 % - Accent5 2 2 3" xfId="708" xr:uid="{80B4B1C7-082B-43A2-8064-5957ECD63906}"/>
    <cellStyle name="40 % - Accent5 2 2 3 2" xfId="1731" xr:uid="{014EDBE0-4684-4B40-B8EF-6597222A662C}"/>
    <cellStyle name="40 % - Accent5 2 2 4" xfId="1223" xr:uid="{08EA62E9-DD98-4EF3-811E-2403904CF6F1}"/>
    <cellStyle name="40 % - Accent5 2 3" xfId="328" xr:uid="{3DB2AD14-7311-4583-971A-BAD6BA5EDC02}"/>
    <cellStyle name="40 % - Accent5 2 3 2" xfId="836" xr:uid="{EC00E175-15C3-41E8-A720-F89D4800D237}"/>
    <cellStyle name="40 % - Accent5 2 3 2 2" xfId="1859" xr:uid="{A5AF1AAC-E301-450C-91C0-FCDB2196500E}"/>
    <cellStyle name="40 % - Accent5 2 3 3" xfId="1351" xr:uid="{37CD102D-3B11-488E-9A2E-F1E37A2F849C}"/>
    <cellStyle name="40 % - Accent5 2 4" xfId="582" xr:uid="{7FFB4A6E-E125-4DC4-A0FF-1E697BE05E4C}"/>
    <cellStyle name="40 % - Accent5 2 4 2" xfId="1605" xr:uid="{4504A496-5F4A-434B-B1EF-F61B2E9A6F54}"/>
    <cellStyle name="40 % - Accent5 2 5" xfId="1098" xr:uid="{CF1EB6C6-1CDA-43D3-A3A0-F6FFAB76F13A}"/>
    <cellStyle name="40 % - Accent5 3" xfId="92" xr:uid="{C1967DB5-7803-456A-9945-AEFBFFA67310}"/>
    <cellStyle name="40 % - Accent5 3 2" xfId="218" xr:uid="{570713F1-D069-4DAB-8635-D17A197B1214}"/>
    <cellStyle name="40 % - Accent5 3 2 2" xfId="475" xr:uid="{23F18BFD-ED94-48D8-9119-9DD46FCD55B0}"/>
    <cellStyle name="40 % - Accent5 3 2 2 2" xfId="983" xr:uid="{133A8543-C0BB-4AD1-8C1A-3D2F1079EE9A}"/>
    <cellStyle name="40 % - Accent5 3 2 2 2 2" xfId="2006" xr:uid="{2C5465F6-4FF8-4E1A-9C2F-3B08008B4E55}"/>
    <cellStyle name="40 % - Accent5 3 2 2 3" xfId="1498" xr:uid="{BCCA1512-CF7F-4FBD-B4E1-C9C155441FAE}"/>
    <cellStyle name="40 % - Accent5 3 2 3" xfId="729" xr:uid="{718EAE28-31FE-42AA-A2BB-F838F95115D4}"/>
    <cellStyle name="40 % - Accent5 3 2 3 2" xfId="1752" xr:uid="{93839D0F-B875-43A4-B451-BE321411D891}"/>
    <cellStyle name="40 % - Accent5 3 2 4" xfId="1244" xr:uid="{B2F0B774-3589-4C94-98AF-BAC257057E4B}"/>
    <cellStyle name="40 % - Accent5 3 3" xfId="349" xr:uid="{94FA5662-8480-4847-AC7F-CA1EF1E95FA0}"/>
    <cellStyle name="40 % - Accent5 3 3 2" xfId="857" xr:uid="{66AA8EEE-B231-47AC-9EED-44553728D38C}"/>
    <cellStyle name="40 % - Accent5 3 3 2 2" xfId="1880" xr:uid="{314F9445-595D-4BC1-B369-489F5D4BE5F7}"/>
    <cellStyle name="40 % - Accent5 3 3 3" xfId="1372" xr:uid="{63833C22-4618-41BE-AADB-1F42059138F8}"/>
    <cellStyle name="40 % - Accent5 3 4" xfId="603" xr:uid="{5D20D218-9DDA-4570-9579-A0DDFFA6580A}"/>
    <cellStyle name="40 % - Accent5 3 4 2" xfId="1626" xr:uid="{9E774A0E-709F-43D5-952B-CEA8602BF2A8}"/>
    <cellStyle name="40 % - Accent5 3 5" xfId="1119" xr:uid="{5E06921B-84A5-4050-B30B-50C62229397F}"/>
    <cellStyle name="40 % - Accent5 4" xfId="113" xr:uid="{03409AA1-E13A-4EF4-888D-68AE016C0121}"/>
    <cellStyle name="40 % - Accent5 4 2" xfId="239" xr:uid="{72156276-14F0-4CFC-9832-8D3B0E37FCE2}"/>
    <cellStyle name="40 % - Accent5 4 2 2" xfId="496" xr:uid="{D389571D-768F-4733-821E-A7A0785B3600}"/>
    <cellStyle name="40 % - Accent5 4 2 2 2" xfId="1004" xr:uid="{3EEFD5E0-0178-40A5-ABA6-2F4ABD2F0E74}"/>
    <cellStyle name="40 % - Accent5 4 2 2 2 2" xfId="2027" xr:uid="{F1A36702-3778-48A3-8E03-6D892132A646}"/>
    <cellStyle name="40 % - Accent5 4 2 2 3" xfId="1519" xr:uid="{CE81395B-90BC-4CFB-BF0A-FE2F24830A80}"/>
    <cellStyle name="40 % - Accent5 4 2 3" xfId="750" xr:uid="{D04321FF-C9DB-4F83-87C1-B3B0467E66C7}"/>
    <cellStyle name="40 % - Accent5 4 2 3 2" xfId="1773" xr:uid="{A4D64073-94B4-4D96-9858-A6F2C10AE519}"/>
    <cellStyle name="40 % - Accent5 4 2 4" xfId="1265" xr:uid="{FE37F495-DE0F-4033-9688-4051C1C77D73}"/>
    <cellStyle name="40 % - Accent5 4 3" xfId="370" xr:uid="{E35AED68-FD36-4619-89DF-FA04031D8745}"/>
    <cellStyle name="40 % - Accent5 4 3 2" xfId="878" xr:uid="{08A6388F-FDD3-4927-B626-F06CCD93B315}"/>
    <cellStyle name="40 % - Accent5 4 3 2 2" xfId="1901" xr:uid="{5E765E57-DB1A-45C3-A607-2F451D1288BF}"/>
    <cellStyle name="40 % - Accent5 4 3 3" xfId="1393" xr:uid="{A75B7B3F-E1CA-45A9-A800-E1B7239E7E3C}"/>
    <cellStyle name="40 % - Accent5 4 4" xfId="624" xr:uid="{FFB2FE0D-A1BF-42DD-93F5-31F9D50296EB}"/>
    <cellStyle name="40 % - Accent5 4 4 2" xfId="1647" xr:uid="{32D065EE-A719-4E92-AD9F-641255769044}"/>
    <cellStyle name="40 % - Accent5 4 5" xfId="1140" xr:uid="{C8C04928-461B-4B38-A886-E4A72BAC97CF}"/>
    <cellStyle name="40 % - Accent5 5" xfId="134" xr:uid="{49C328ED-D62B-406E-9D0C-AFAAC07FF0C4}"/>
    <cellStyle name="40 % - Accent5 5 2" xfId="260" xr:uid="{6E9ECBC6-A63E-4A51-BBA6-27163D62239D}"/>
    <cellStyle name="40 % - Accent5 5 2 2" xfId="517" xr:uid="{16460555-16C6-4D65-AE08-467EFE7B5326}"/>
    <cellStyle name="40 % - Accent5 5 2 2 2" xfId="1025" xr:uid="{D73DB278-6BF9-4B1D-A593-419591F61F0D}"/>
    <cellStyle name="40 % - Accent5 5 2 2 2 2" xfId="2048" xr:uid="{AB088C37-4ACB-4056-863D-5959768AEBEE}"/>
    <cellStyle name="40 % - Accent5 5 2 2 3" xfId="1540" xr:uid="{A6669941-6FC2-4382-B702-4C32144BD200}"/>
    <cellStyle name="40 % - Accent5 5 2 3" xfId="771" xr:uid="{B9AF51D5-7487-42CD-9157-E46DDCFE734E}"/>
    <cellStyle name="40 % - Accent5 5 2 3 2" xfId="1794" xr:uid="{7C8DE4BF-79D5-4EFC-A6F0-E6E0EF0F0D82}"/>
    <cellStyle name="40 % - Accent5 5 2 4" xfId="1286" xr:uid="{379925AC-27D3-4E3C-970A-C397B93693EE}"/>
    <cellStyle name="40 % - Accent5 5 3" xfId="391" xr:uid="{2487D6F8-D0D8-4F7F-B81A-5C2FD53DADF6}"/>
    <cellStyle name="40 % - Accent5 5 3 2" xfId="899" xr:uid="{F7569427-4CA4-423F-B57B-31A6199FF1B0}"/>
    <cellStyle name="40 % - Accent5 5 3 2 2" xfId="1922" xr:uid="{385BC510-48AB-4906-B43D-342D6CACCAA1}"/>
    <cellStyle name="40 % - Accent5 5 3 3" xfId="1414" xr:uid="{609B3472-2C19-4FE9-A98C-B9E0B6E00BE0}"/>
    <cellStyle name="40 % - Accent5 5 4" xfId="645" xr:uid="{17564254-D6A2-4B92-8C1E-1F374CAE6EF1}"/>
    <cellStyle name="40 % - Accent5 5 4 2" xfId="1668" xr:uid="{E3A94F89-8338-4688-A2A2-85EA9E378938}"/>
    <cellStyle name="40 % - Accent5 5 5" xfId="1161" xr:uid="{EDCC7592-1CD1-498E-B209-D13B7AFC88F1}"/>
    <cellStyle name="40 % - Accent5 6" xfId="155" xr:uid="{D6EDEFE0-3E8E-4CCD-90D5-F0B3BCBC86B7}"/>
    <cellStyle name="40 % - Accent5 6 2" xfId="281" xr:uid="{AA0A2A6B-49D9-4878-AE38-D19EF31C0AEE}"/>
    <cellStyle name="40 % - Accent5 6 2 2" xfId="538" xr:uid="{E803517B-EAEA-4FB2-9AF0-70446C0356D6}"/>
    <cellStyle name="40 % - Accent5 6 2 2 2" xfId="1046" xr:uid="{61849982-A53D-49E6-96C2-1D19A16E4320}"/>
    <cellStyle name="40 % - Accent5 6 2 2 2 2" xfId="2069" xr:uid="{4692CEC8-A9FC-452A-A3E5-EC13B823D949}"/>
    <cellStyle name="40 % - Accent5 6 2 2 3" xfId="1561" xr:uid="{594F7577-D5AC-49D6-88AC-AB902DDB1CE1}"/>
    <cellStyle name="40 % - Accent5 6 2 3" xfId="792" xr:uid="{F3971B5C-0C63-496D-B2FA-D7723CFAE2C5}"/>
    <cellStyle name="40 % - Accent5 6 2 3 2" xfId="1815" xr:uid="{C6354EC3-799F-4C4F-B460-8C58ADED1C93}"/>
    <cellStyle name="40 % - Accent5 6 2 4" xfId="1307" xr:uid="{84F9F99E-608F-4FDC-B2BB-77C05340E001}"/>
    <cellStyle name="40 % - Accent5 6 3" xfId="412" xr:uid="{AC8050A7-7EFF-4948-A7B2-2E3012E64B07}"/>
    <cellStyle name="40 % - Accent5 6 3 2" xfId="920" xr:uid="{33D6D16D-3FD3-4E60-B4F2-361A8CA030D0}"/>
    <cellStyle name="40 % - Accent5 6 3 2 2" xfId="1943" xr:uid="{11F0CED4-D644-447A-AEDC-C35494036BE6}"/>
    <cellStyle name="40 % - Accent5 6 3 3" xfId="1435" xr:uid="{44A29976-96E8-40BD-8AF9-EFEB6C51697F}"/>
    <cellStyle name="40 % - Accent5 6 4" xfId="666" xr:uid="{9DEAEBE6-B0EF-4B2E-BAC8-70D837AC38EC}"/>
    <cellStyle name="40 % - Accent5 6 4 2" xfId="1689" xr:uid="{E1E8E981-570E-4327-AF29-4D47B55E1167}"/>
    <cellStyle name="40 % - Accent5 6 5" xfId="1182" xr:uid="{6CB2EA96-2666-4A25-98E0-BE9EAFEB9F5B}"/>
    <cellStyle name="40 % - Accent5 7" xfId="173" xr:uid="{8138EC0A-788E-42C1-8007-859EC4118FC6}"/>
    <cellStyle name="40 % - Accent5 7 2" xfId="430" xr:uid="{2B8E9CEF-7825-40F6-B8E4-9130893721DF}"/>
    <cellStyle name="40 % - Accent5 7 2 2" xfId="938" xr:uid="{345E823F-56B3-4B06-A7E0-081EEF3A2CBD}"/>
    <cellStyle name="40 % - Accent5 7 2 2 2" xfId="1961" xr:uid="{55F84A06-EA9E-4F44-A2BB-624D8C7EB39F}"/>
    <cellStyle name="40 % - Accent5 7 2 3" xfId="1453" xr:uid="{34B42D65-0FF6-45FA-B98B-4DF679BAC591}"/>
    <cellStyle name="40 % - Accent5 7 3" xfId="684" xr:uid="{6C845562-AFFD-49A1-9A37-30DD0301EFB3}"/>
    <cellStyle name="40 % - Accent5 7 3 2" xfId="1707" xr:uid="{6D55DD62-01EC-4615-A24C-AA9C9B2C7970}"/>
    <cellStyle name="40 % - Accent5 7 4" xfId="1200" xr:uid="{B09108D1-63B9-4F08-9DCA-15BE59CEA930}"/>
    <cellStyle name="40 % - Accent5 8" xfId="304" xr:uid="{540380A9-7C06-4647-96F9-847E79BA73D5}"/>
    <cellStyle name="40 % - Accent5 8 2" xfId="812" xr:uid="{34E5CD8D-BB3F-4488-94A5-AD4CEE36FA7F}"/>
    <cellStyle name="40 % - Accent5 8 2 2" xfId="1835" xr:uid="{235FB323-0321-4CEE-87BA-84F7969EF257}"/>
    <cellStyle name="40 % - Accent5 8 3" xfId="1327" xr:uid="{0965BC71-8E0D-4A24-9C37-94639A2752CD}"/>
    <cellStyle name="40 % - Accent5 9" xfId="558" xr:uid="{5DD87F66-5778-4465-9CC8-024590F2304F}"/>
    <cellStyle name="40 % - Accent5 9 2" xfId="1581" xr:uid="{F82001E7-BB79-4056-AE84-809C0440D89E}"/>
    <cellStyle name="40 % - Accent6" xfId="33" builtinId="51" customBuiltin="1"/>
    <cellStyle name="40 % - Accent6 10" xfId="1076" xr:uid="{30D0E13F-F470-4C09-ABDE-0685E81626C6}"/>
    <cellStyle name="40 % - Accent6 2" xfId="73" xr:uid="{A8F6C38F-1080-406D-BDB9-7F2B466FD146}"/>
    <cellStyle name="40 % - Accent6 2 2" xfId="199" xr:uid="{3CEC9E1E-51C7-45AE-ACDE-DC57D9C1F24A}"/>
    <cellStyle name="40 % - Accent6 2 2 2" xfId="456" xr:uid="{607DB7D6-B7C1-44FC-B293-C35BEEC6988A}"/>
    <cellStyle name="40 % - Accent6 2 2 2 2" xfId="964" xr:uid="{EB94B528-8201-4D6B-A924-291FEFF16CCB}"/>
    <cellStyle name="40 % - Accent6 2 2 2 2 2" xfId="1987" xr:uid="{D2F359E6-CDAD-4A09-99C6-367518648368}"/>
    <cellStyle name="40 % - Accent6 2 2 2 3" xfId="1479" xr:uid="{12A14357-EFBB-4775-AF2C-0FAB511DBFD7}"/>
    <cellStyle name="40 % - Accent6 2 2 3" xfId="710" xr:uid="{A93994D2-7E43-43B0-AC0F-DF94B6A533F4}"/>
    <cellStyle name="40 % - Accent6 2 2 3 2" xfId="1733" xr:uid="{88203779-CB6C-4A72-A0C2-1465D2C6F268}"/>
    <cellStyle name="40 % - Accent6 2 2 4" xfId="1225" xr:uid="{3536CE91-88D3-4E15-B8B9-F12D4EDF6E2B}"/>
    <cellStyle name="40 % - Accent6 2 3" xfId="330" xr:uid="{512D34DB-2578-45F2-BE4F-3BF17E13AC0D}"/>
    <cellStyle name="40 % - Accent6 2 3 2" xfId="838" xr:uid="{EE9AE76E-D33F-49CF-9C4D-321B23717065}"/>
    <cellStyle name="40 % - Accent6 2 3 2 2" xfId="1861" xr:uid="{9AC41265-B48A-4D25-86FE-EAC96C642A84}"/>
    <cellStyle name="40 % - Accent6 2 3 3" xfId="1353" xr:uid="{68816E19-0115-462F-BC21-182C053CC0AC}"/>
    <cellStyle name="40 % - Accent6 2 4" xfId="584" xr:uid="{16D33AAD-73E5-42DA-9C1E-64FF2F6FE4F5}"/>
    <cellStyle name="40 % - Accent6 2 4 2" xfId="1607" xr:uid="{0F307614-0C2C-42DA-BFA5-6239FF10DADD}"/>
    <cellStyle name="40 % - Accent6 2 5" xfId="1100" xr:uid="{C66DC048-851E-4929-A33E-325171778B74}"/>
    <cellStyle name="40 % - Accent6 3" xfId="94" xr:uid="{D5E465D2-FE58-43DB-A9F4-CB22B93128BB}"/>
    <cellStyle name="40 % - Accent6 3 2" xfId="220" xr:uid="{9C33830B-132A-4693-B508-1379A284B745}"/>
    <cellStyle name="40 % - Accent6 3 2 2" xfId="477" xr:uid="{565C7EDD-D4FB-49B5-B02C-467040E5C1F9}"/>
    <cellStyle name="40 % - Accent6 3 2 2 2" xfId="985" xr:uid="{074E8257-9C23-482C-AEC2-912AFF1A3915}"/>
    <cellStyle name="40 % - Accent6 3 2 2 2 2" xfId="2008" xr:uid="{CA2FBE28-B302-46F5-A814-22E8831F983F}"/>
    <cellStyle name="40 % - Accent6 3 2 2 3" xfId="1500" xr:uid="{96E373FE-2DA7-4DCB-A986-5EFD3376C973}"/>
    <cellStyle name="40 % - Accent6 3 2 3" xfId="731" xr:uid="{2CA5B62D-A3F0-4F74-AD12-0DCB087B0331}"/>
    <cellStyle name="40 % - Accent6 3 2 3 2" xfId="1754" xr:uid="{59F38CE5-BCEC-46E2-8C6D-BC37E84B2537}"/>
    <cellStyle name="40 % - Accent6 3 2 4" xfId="1246" xr:uid="{23140040-2242-4A4A-92BE-5164DB0CB351}"/>
    <cellStyle name="40 % - Accent6 3 3" xfId="351" xr:uid="{FF72B32B-F780-415A-975D-ABF6AD6FE3EC}"/>
    <cellStyle name="40 % - Accent6 3 3 2" xfId="859" xr:uid="{90A6ACCE-0AC4-46E2-B0D3-E09F7AC41DDB}"/>
    <cellStyle name="40 % - Accent6 3 3 2 2" xfId="1882" xr:uid="{064E52FD-38B1-4147-B5B8-DEAF151D3A87}"/>
    <cellStyle name="40 % - Accent6 3 3 3" xfId="1374" xr:uid="{1BA99414-8415-4440-B8E5-A09143F8824F}"/>
    <cellStyle name="40 % - Accent6 3 4" xfId="605" xr:uid="{24FB2A09-5935-4013-9931-A47ED697EC98}"/>
    <cellStyle name="40 % - Accent6 3 4 2" xfId="1628" xr:uid="{F284FD68-3614-47F7-9875-C2FD5807B41E}"/>
    <cellStyle name="40 % - Accent6 3 5" xfId="1121" xr:uid="{61A5C241-0CF9-4943-BB8D-BBC61D4CF4C2}"/>
    <cellStyle name="40 % - Accent6 4" xfId="115" xr:uid="{2EA86938-3711-41A3-8AFB-FF1E6FD77DFA}"/>
    <cellStyle name="40 % - Accent6 4 2" xfId="241" xr:uid="{89D8D8C2-4A29-40AA-9BE6-A20299C0EA4E}"/>
    <cellStyle name="40 % - Accent6 4 2 2" xfId="498" xr:uid="{89196326-D7FA-487E-8091-F57A6126082A}"/>
    <cellStyle name="40 % - Accent6 4 2 2 2" xfId="1006" xr:uid="{8A85CA5A-DEED-4CE2-8402-11A86B5D9D71}"/>
    <cellStyle name="40 % - Accent6 4 2 2 2 2" xfId="2029" xr:uid="{A5C901D1-35D4-4CEB-831B-75E897B57746}"/>
    <cellStyle name="40 % - Accent6 4 2 2 3" xfId="1521" xr:uid="{51DDE445-6605-4B1E-9A97-0DE25F91C9F4}"/>
    <cellStyle name="40 % - Accent6 4 2 3" xfId="752" xr:uid="{953A71B8-5989-40C7-9AF0-87B335CAE1EC}"/>
    <cellStyle name="40 % - Accent6 4 2 3 2" xfId="1775" xr:uid="{93B1269D-A817-4375-8CA7-25A060C2B70B}"/>
    <cellStyle name="40 % - Accent6 4 2 4" xfId="1267" xr:uid="{AAB8FFFE-7E3E-410C-AD16-2BA35DDA9BDD}"/>
    <cellStyle name="40 % - Accent6 4 3" xfId="372" xr:uid="{3C378C35-549B-4AD8-88FB-C31DD70C69D1}"/>
    <cellStyle name="40 % - Accent6 4 3 2" xfId="880" xr:uid="{921B05DA-B725-4157-9311-C6361769F85D}"/>
    <cellStyle name="40 % - Accent6 4 3 2 2" xfId="1903" xr:uid="{DC1A243C-2AA5-4F98-BBA3-9A27DF4F5D53}"/>
    <cellStyle name="40 % - Accent6 4 3 3" xfId="1395" xr:uid="{11F5AFF3-D4FF-4FFE-8CEB-305B09E46F36}"/>
    <cellStyle name="40 % - Accent6 4 4" xfId="626" xr:uid="{88964576-05CB-403C-9EF5-096650233E0B}"/>
    <cellStyle name="40 % - Accent6 4 4 2" xfId="1649" xr:uid="{857B3A8A-CC60-47DE-9F0E-1B53DDCB990D}"/>
    <cellStyle name="40 % - Accent6 4 5" xfId="1142" xr:uid="{F2961746-BFE2-43C2-9763-84E3412AE1A0}"/>
    <cellStyle name="40 % - Accent6 5" xfId="136" xr:uid="{926E1FC3-6B2F-48B4-8606-5F9F81A519BE}"/>
    <cellStyle name="40 % - Accent6 5 2" xfId="262" xr:uid="{A2791DB4-B633-4A24-9272-811276738529}"/>
    <cellStyle name="40 % - Accent6 5 2 2" xfId="519" xr:uid="{2062B9EA-1871-4CD9-B531-317C9D9799F1}"/>
    <cellStyle name="40 % - Accent6 5 2 2 2" xfId="1027" xr:uid="{F4292471-FDE0-477D-A9DF-E4A3FF5C4EB6}"/>
    <cellStyle name="40 % - Accent6 5 2 2 2 2" xfId="2050" xr:uid="{3C0FD901-4955-4957-B193-8A73A6C5CD56}"/>
    <cellStyle name="40 % - Accent6 5 2 2 3" xfId="1542" xr:uid="{6B56BB25-F6DD-43B4-ACDA-7BE6739C19E2}"/>
    <cellStyle name="40 % - Accent6 5 2 3" xfId="773" xr:uid="{2A4D5AA6-EFC2-4E10-A21B-42534792EA45}"/>
    <cellStyle name="40 % - Accent6 5 2 3 2" xfId="1796" xr:uid="{6D51F604-D957-4E9E-B1B5-E36E5D139940}"/>
    <cellStyle name="40 % - Accent6 5 2 4" xfId="1288" xr:uid="{F814CA49-7702-4D18-B2DB-E3E8079908F6}"/>
    <cellStyle name="40 % - Accent6 5 3" xfId="393" xr:uid="{F1F80903-E41A-490C-B241-78D9B6D0E7DC}"/>
    <cellStyle name="40 % - Accent6 5 3 2" xfId="901" xr:uid="{9F88CE20-B2F9-4DB0-A81D-9B55D4848BC7}"/>
    <cellStyle name="40 % - Accent6 5 3 2 2" xfId="1924" xr:uid="{2FE5E7CB-0196-49E5-A84E-B3136F02D071}"/>
    <cellStyle name="40 % - Accent6 5 3 3" xfId="1416" xr:uid="{CBD7CDCC-6A85-4526-AF48-938D69753FDA}"/>
    <cellStyle name="40 % - Accent6 5 4" xfId="647" xr:uid="{709F2550-0D55-433F-B229-184892496A5A}"/>
    <cellStyle name="40 % - Accent6 5 4 2" xfId="1670" xr:uid="{B04C8927-E223-4065-BB65-69E1733DF00C}"/>
    <cellStyle name="40 % - Accent6 5 5" xfId="1163" xr:uid="{D4843B39-EE47-4798-ADA0-CFBA431189A1}"/>
    <cellStyle name="40 % - Accent6 6" xfId="157" xr:uid="{DF13A441-0775-4A41-BFB1-6831443F0BAC}"/>
    <cellStyle name="40 % - Accent6 6 2" xfId="283" xr:uid="{3D1FE71B-717A-4B2E-8BFB-343680B6C357}"/>
    <cellStyle name="40 % - Accent6 6 2 2" xfId="540" xr:uid="{A78F344B-9E4D-4A9D-9B55-5224510B9835}"/>
    <cellStyle name="40 % - Accent6 6 2 2 2" xfId="1048" xr:uid="{471861BD-398E-41B7-A808-E6BE8D3E7735}"/>
    <cellStyle name="40 % - Accent6 6 2 2 2 2" xfId="2071" xr:uid="{9C1ECB79-584C-4C73-971E-35FEFDD60FC7}"/>
    <cellStyle name="40 % - Accent6 6 2 2 3" xfId="1563" xr:uid="{F1830C31-19E8-4859-BC27-F472F735E076}"/>
    <cellStyle name="40 % - Accent6 6 2 3" xfId="794" xr:uid="{E88255D6-2ED2-42C2-87FD-724CF533273B}"/>
    <cellStyle name="40 % - Accent6 6 2 3 2" xfId="1817" xr:uid="{6A6236DD-6A20-477B-8434-C2B3BD974464}"/>
    <cellStyle name="40 % - Accent6 6 2 4" xfId="1309" xr:uid="{F2D35A4F-C7F7-4103-A196-47E511FB1BE8}"/>
    <cellStyle name="40 % - Accent6 6 3" xfId="414" xr:uid="{EAAE2A1B-1DD4-42CB-BEBD-C664B8CCFE89}"/>
    <cellStyle name="40 % - Accent6 6 3 2" xfId="922" xr:uid="{0A741D88-01E1-41BF-AA79-195E7E225A76}"/>
    <cellStyle name="40 % - Accent6 6 3 2 2" xfId="1945" xr:uid="{7391EB80-C501-4DBD-ACF9-472827AFDBC0}"/>
    <cellStyle name="40 % - Accent6 6 3 3" xfId="1437" xr:uid="{278A9895-4C5B-4145-A0DA-74F10FC137A4}"/>
    <cellStyle name="40 % - Accent6 6 4" xfId="668" xr:uid="{AA553C75-5C70-4A64-833F-80477F2BD8EF}"/>
    <cellStyle name="40 % - Accent6 6 4 2" xfId="1691" xr:uid="{720191E7-E3C0-4F10-8FFF-5D7741CF915D}"/>
    <cellStyle name="40 % - Accent6 6 5" xfId="1184" xr:uid="{C16050D8-C090-4445-92D4-A84C6B95978A}"/>
    <cellStyle name="40 % - Accent6 7" xfId="175" xr:uid="{7B2AC6C7-9CB5-4E14-B1B7-823266E4B87C}"/>
    <cellStyle name="40 % - Accent6 7 2" xfId="432" xr:uid="{594E0D7D-5E79-42B9-9241-4C3AA4E9D2CB}"/>
    <cellStyle name="40 % - Accent6 7 2 2" xfId="940" xr:uid="{F415E0C4-DFCC-4220-AAAF-C2A46012AF52}"/>
    <cellStyle name="40 % - Accent6 7 2 2 2" xfId="1963" xr:uid="{742974A8-9DAA-4F46-B9D9-2142D1831630}"/>
    <cellStyle name="40 % - Accent6 7 2 3" xfId="1455" xr:uid="{AE1A9B16-DA23-42B2-B793-DF28331BEB31}"/>
    <cellStyle name="40 % - Accent6 7 3" xfId="686" xr:uid="{212E94EC-FCFA-4CE9-9BEF-0759FE38C60E}"/>
    <cellStyle name="40 % - Accent6 7 3 2" xfId="1709" xr:uid="{C4F20A9B-8E8B-4FAF-A2F9-2F2B7860B7ED}"/>
    <cellStyle name="40 % - Accent6 7 4" xfId="1202" xr:uid="{868F7F06-5587-48A5-8221-F252415EBC8D}"/>
    <cellStyle name="40 % - Accent6 8" xfId="306" xr:uid="{8227FC55-0E2E-4558-A96A-049BD2CEEB54}"/>
    <cellStyle name="40 % - Accent6 8 2" xfId="814" xr:uid="{433B8998-E421-4008-961B-F24CC43C9AAB}"/>
    <cellStyle name="40 % - Accent6 8 2 2" xfId="1837" xr:uid="{D7D12605-CE28-42AC-A99D-86A22168DD1C}"/>
    <cellStyle name="40 % - Accent6 8 3" xfId="1329" xr:uid="{900E7FE9-5645-4C0D-8D63-824B2DABA6C0}"/>
    <cellStyle name="40 % - Accent6 9" xfId="560" xr:uid="{B62A177F-E3E2-4E90-9668-5B6EBD0DD8F5}"/>
    <cellStyle name="40 % - Accent6 9 2" xfId="1583" xr:uid="{863E2424-41BA-4A6E-89EA-5DAE0F0FFDF9}"/>
    <cellStyle name="60 % - Accent1 2" xfId="53" xr:uid="{3BFF3833-443D-4AFB-B803-2C09210B50BB}"/>
    <cellStyle name="60 % - Accent1 2 10" xfId="1080" xr:uid="{7E609F42-22D4-4443-8088-44E70BC074F5}"/>
    <cellStyle name="60 % - Accent1 2 2" xfId="74" xr:uid="{529209D9-E893-46E3-B142-3CFFB6BE6B70}"/>
    <cellStyle name="60 % - Accent1 2 2 2" xfId="200" xr:uid="{D2F3495F-9A06-458A-A5F1-B5D8C5A102E1}"/>
    <cellStyle name="60 % - Accent1 2 2 2 2" xfId="457" xr:uid="{5F79839F-8B01-455F-A620-277D182D7035}"/>
    <cellStyle name="60 % - Accent1 2 2 2 2 2" xfId="965" xr:uid="{B53367E0-A8FB-4A16-AAC3-E12807B18001}"/>
    <cellStyle name="60 % - Accent1 2 2 2 2 2 2" xfId="1988" xr:uid="{04E3FB9E-7DF0-468C-89DB-C3A4F78FA562}"/>
    <cellStyle name="60 % - Accent1 2 2 2 2 3" xfId="1480" xr:uid="{0556B895-7CAC-4DE3-8003-B651852FF94E}"/>
    <cellStyle name="60 % - Accent1 2 2 2 3" xfId="711" xr:uid="{B1BA9CD4-4348-4093-B99F-B160367C779D}"/>
    <cellStyle name="60 % - Accent1 2 2 2 3 2" xfId="1734" xr:uid="{AAF30751-A840-4715-9EEC-54A506DC3F2B}"/>
    <cellStyle name="60 % - Accent1 2 2 2 4" xfId="1226" xr:uid="{0BA39281-B7BF-4CEC-9AAA-0AB2E82A5DA4}"/>
    <cellStyle name="60 % - Accent1 2 2 3" xfId="331" xr:uid="{B571859A-A6FC-4CF8-BAC9-E838BADFBDA3}"/>
    <cellStyle name="60 % - Accent1 2 2 3 2" xfId="839" xr:uid="{DF483BDE-BE6D-4711-9836-A1A793080A47}"/>
    <cellStyle name="60 % - Accent1 2 2 3 2 2" xfId="1862" xr:uid="{699A2148-AC5E-4340-AF35-48E69A50B13F}"/>
    <cellStyle name="60 % - Accent1 2 2 3 3" xfId="1354" xr:uid="{C2C7D9D8-E57C-4A32-9D7E-D87D6C40FF11}"/>
    <cellStyle name="60 % - Accent1 2 2 4" xfId="585" xr:uid="{CB872958-DFB3-4F32-BBA9-CF41D3525A74}"/>
    <cellStyle name="60 % - Accent1 2 2 4 2" xfId="1608" xr:uid="{EFF0A43A-F361-4B07-BDB6-FB127A64C0FE}"/>
    <cellStyle name="60 % - Accent1 2 2 5" xfId="1101" xr:uid="{23431386-284F-4FA5-8407-C071D1328A42}"/>
    <cellStyle name="60 % - Accent1 2 3" xfId="95" xr:uid="{C6D7BA48-F214-4DFA-8F04-3D3EAB7494DE}"/>
    <cellStyle name="60 % - Accent1 2 3 2" xfId="221" xr:uid="{A519A2AA-E09E-4C66-8E15-ED35C8345139}"/>
    <cellStyle name="60 % - Accent1 2 3 2 2" xfId="478" xr:uid="{7C90D9DD-82FA-4AE1-B9C6-32F1A2746C91}"/>
    <cellStyle name="60 % - Accent1 2 3 2 2 2" xfId="986" xr:uid="{6D31BCD6-5778-4911-886D-9903FB2B4218}"/>
    <cellStyle name="60 % - Accent1 2 3 2 2 2 2" xfId="2009" xr:uid="{58ADF8CD-763E-4659-8EE8-66A2327A14ED}"/>
    <cellStyle name="60 % - Accent1 2 3 2 2 3" xfId="1501" xr:uid="{088810AF-9CBA-4283-AC10-226B9DAE42A4}"/>
    <cellStyle name="60 % - Accent1 2 3 2 3" xfId="732" xr:uid="{834AE5CA-D19F-43A5-AE6A-9FF371DACB5F}"/>
    <cellStyle name="60 % - Accent1 2 3 2 3 2" xfId="1755" xr:uid="{45ED7057-A9F5-4076-9880-3F1514AFB4F0}"/>
    <cellStyle name="60 % - Accent1 2 3 2 4" xfId="1247" xr:uid="{4DD45681-D6A4-4647-A76F-E997685263FE}"/>
    <cellStyle name="60 % - Accent1 2 3 3" xfId="352" xr:uid="{C0EA1A08-C0BB-4844-8BB5-E96FCDC8F4EC}"/>
    <cellStyle name="60 % - Accent1 2 3 3 2" xfId="860" xr:uid="{67A9D032-FD4B-4C1A-B2B5-CBD0473C23CD}"/>
    <cellStyle name="60 % - Accent1 2 3 3 2 2" xfId="1883" xr:uid="{151CC436-786A-4E31-8167-8C9283FC0311}"/>
    <cellStyle name="60 % - Accent1 2 3 3 3" xfId="1375" xr:uid="{1489E855-82D1-4A95-8FD1-D4F842DAD49E}"/>
    <cellStyle name="60 % - Accent1 2 3 4" xfId="606" xr:uid="{690C92D2-B9A6-4478-989A-8931EF9577EF}"/>
    <cellStyle name="60 % - Accent1 2 3 4 2" xfId="1629" xr:uid="{90EA4A84-3F57-40ED-94C1-ABB1A8A1FC95}"/>
    <cellStyle name="60 % - Accent1 2 3 5" xfId="1122" xr:uid="{057E7096-F10F-4C2D-BDEC-497C1CA00295}"/>
    <cellStyle name="60 % - Accent1 2 4" xfId="116" xr:uid="{FED5FF8A-F9B2-4DE8-B3C4-D3B93FE9A3F7}"/>
    <cellStyle name="60 % - Accent1 2 4 2" xfId="242" xr:uid="{ADB6B30F-3497-4775-A2F3-9D6D61A69F6D}"/>
    <cellStyle name="60 % - Accent1 2 4 2 2" xfId="499" xr:uid="{617191A8-A008-44F0-A782-FB0B7DA8B260}"/>
    <cellStyle name="60 % - Accent1 2 4 2 2 2" xfId="1007" xr:uid="{02FB5FF7-0EA9-4B89-B3C3-552630AF2008}"/>
    <cellStyle name="60 % - Accent1 2 4 2 2 2 2" xfId="2030" xr:uid="{2379E51B-2BD4-4540-8657-FF4B606BA955}"/>
    <cellStyle name="60 % - Accent1 2 4 2 2 3" xfId="1522" xr:uid="{11B2EF85-21C4-4C1D-AF20-26834A69FADC}"/>
    <cellStyle name="60 % - Accent1 2 4 2 3" xfId="753" xr:uid="{E58D6C8D-B56A-4E2D-9983-086673F73EBD}"/>
    <cellStyle name="60 % - Accent1 2 4 2 3 2" xfId="1776" xr:uid="{FBE75ADA-0941-4371-9384-F4212FDAD354}"/>
    <cellStyle name="60 % - Accent1 2 4 2 4" xfId="1268" xr:uid="{2F27C146-EFED-4F2A-BDC2-47A3EB482951}"/>
    <cellStyle name="60 % - Accent1 2 4 3" xfId="373" xr:uid="{DD965A20-2165-49B2-ABB9-5B95A0B6B386}"/>
    <cellStyle name="60 % - Accent1 2 4 3 2" xfId="881" xr:uid="{C89925A2-991B-42D0-AE84-FE56C7E04DEA}"/>
    <cellStyle name="60 % - Accent1 2 4 3 2 2" xfId="1904" xr:uid="{5DD897FB-DD78-4B22-9BAB-34B0B23153AD}"/>
    <cellStyle name="60 % - Accent1 2 4 3 3" xfId="1396" xr:uid="{74B1B75C-3939-4FE2-BCC4-F814CD53BEA7}"/>
    <cellStyle name="60 % - Accent1 2 4 4" xfId="627" xr:uid="{2D6FA70C-5C08-42DD-A7FE-7CEDA1351E4F}"/>
    <cellStyle name="60 % - Accent1 2 4 4 2" xfId="1650" xr:uid="{1F2E1600-A3C7-4D55-841E-E662A04DC97F}"/>
    <cellStyle name="60 % - Accent1 2 4 5" xfId="1143" xr:uid="{958BF25C-34B1-4A13-ADC7-AA3E5F0B8F80}"/>
    <cellStyle name="60 % - Accent1 2 5" xfId="137" xr:uid="{2FCD4CDD-7CD3-4FB1-AA95-42E6F0D10C4F}"/>
    <cellStyle name="60 % - Accent1 2 5 2" xfId="263" xr:uid="{91ED12E5-796D-4612-A373-39AF9BA19F9E}"/>
    <cellStyle name="60 % - Accent1 2 5 2 2" xfId="520" xr:uid="{8FE72605-91F2-426A-A76A-3673BAB22A8C}"/>
    <cellStyle name="60 % - Accent1 2 5 2 2 2" xfId="1028" xr:uid="{B2C9295A-DC32-4D27-A9F0-ECA07DCA9672}"/>
    <cellStyle name="60 % - Accent1 2 5 2 2 2 2" xfId="2051" xr:uid="{06774C90-3FAB-40A8-A563-200BFCD991A1}"/>
    <cellStyle name="60 % - Accent1 2 5 2 2 3" xfId="1543" xr:uid="{A909B61A-F194-444E-82A4-39723B574FC7}"/>
    <cellStyle name="60 % - Accent1 2 5 2 3" xfId="774" xr:uid="{AF9C6D5A-ED4A-420E-A786-68E31C0ABD01}"/>
    <cellStyle name="60 % - Accent1 2 5 2 3 2" xfId="1797" xr:uid="{EDBFD685-6759-4EE9-9AEA-F98A3E5AD8A2}"/>
    <cellStyle name="60 % - Accent1 2 5 2 4" xfId="1289" xr:uid="{6920EB06-8398-4DF2-B113-50E0DA6D77D1}"/>
    <cellStyle name="60 % - Accent1 2 5 3" xfId="394" xr:uid="{2D7996D8-5F4C-4383-9705-E0E110FF7059}"/>
    <cellStyle name="60 % - Accent1 2 5 3 2" xfId="902" xr:uid="{C6C155F2-C5BE-4FD2-AEDC-966F3B1EA8F0}"/>
    <cellStyle name="60 % - Accent1 2 5 3 2 2" xfId="1925" xr:uid="{9B850C4F-337A-436B-83C6-96BBC1C5ED81}"/>
    <cellStyle name="60 % - Accent1 2 5 3 3" xfId="1417" xr:uid="{121A43E9-2004-4DD3-A02A-0BA8347E4DA6}"/>
    <cellStyle name="60 % - Accent1 2 5 4" xfId="648" xr:uid="{1E451EDB-A3CB-4732-9AEA-7AEF6116E182}"/>
    <cellStyle name="60 % - Accent1 2 5 4 2" xfId="1671" xr:uid="{97EE2AAA-C0E5-4C55-A7AD-CB2B0E5506A3}"/>
    <cellStyle name="60 % - Accent1 2 5 5" xfId="1164" xr:uid="{74B3BC00-8EA5-43FE-B049-FF56928AAD1B}"/>
    <cellStyle name="60 % - Accent1 2 6" xfId="158" xr:uid="{25D7A33C-8A54-4F1A-AB12-42B5B81615B1}"/>
    <cellStyle name="60 % - Accent1 2 6 2" xfId="284" xr:uid="{3B89E20F-8282-47FA-B6E7-5A2399A5B708}"/>
    <cellStyle name="60 % - Accent1 2 6 2 2" xfId="541" xr:uid="{584124B6-6FB4-426B-BDC2-F3D66C2CFF16}"/>
    <cellStyle name="60 % - Accent1 2 6 2 2 2" xfId="1049" xr:uid="{3F51876B-4F6C-4ADF-84C1-838A49D7D3E5}"/>
    <cellStyle name="60 % - Accent1 2 6 2 2 2 2" xfId="2072" xr:uid="{CDD50C1A-5C50-4E93-95A1-812F4809B3BB}"/>
    <cellStyle name="60 % - Accent1 2 6 2 2 3" xfId="1564" xr:uid="{6915C6C2-6514-4A4D-A17C-4A7475A5843A}"/>
    <cellStyle name="60 % - Accent1 2 6 2 3" xfId="795" xr:uid="{DD961FBE-7114-4000-A21A-AE28FB02A43D}"/>
    <cellStyle name="60 % - Accent1 2 6 2 3 2" xfId="1818" xr:uid="{319EC5E7-AEA1-4DA4-AE1A-0792012587AD}"/>
    <cellStyle name="60 % - Accent1 2 6 2 4" xfId="1310" xr:uid="{FC434960-B42C-4E28-8097-E7704417329E}"/>
    <cellStyle name="60 % - Accent1 2 6 3" xfId="415" xr:uid="{A144E69C-2B44-4224-AB67-D3AA2FC486B0}"/>
    <cellStyle name="60 % - Accent1 2 6 3 2" xfId="923" xr:uid="{9ACFCCF2-AE5F-41EF-9965-A42F01BD3A69}"/>
    <cellStyle name="60 % - Accent1 2 6 3 2 2" xfId="1946" xr:uid="{87434430-DD9D-46E3-8C7E-257205904462}"/>
    <cellStyle name="60 % - Accent1 2 6 3 3" xfId="1438" xr:uid="{31D0E55A-4E07-47DC-9338-651B5DE14203}"/>
    <cellStyle name="60 % - Accent1 2 6 4" xfId="669" xr:uid="{CE3E5F8F-6F45-47B3-ACFC-1FCA5D5EF79B}"/>
    <cellStyle name="60 % - Accent1 2 6 4 2" xfId="1692" xr:uid="{7FD98A69-D20F-44B3-94D6-E9075D688841}"/>
    <cellStyle name="60 % - Accent1 2 6 5" xfId="1185" xr:uid="{21925457-BA72-4093-ADE6-40354DC69F5A}"/>
    <cellStyle name="60 % - Accent1 2 7" xfId="179" xr:uid="{15408655-8885-4C7E-A434-53EB60A7CE6B}"/>
    <cellStyle name="60 % - Accent1 2 7 2" xfId="436" xr:uid="{A18685DA-8F4A-4E08-BFD8-9BF8845DB837}"/>
    <cellStyle name="60 % - Accent1 2 7 2 2" xfId="944" xr:uid="{9E8A7DB0-E9EA-4439-BCE1-6529490EA9F3}"/>
    <cellStyle name="60 % - Accent1 2 7 2 2 2" xfId="1967" xr:uid="{0CB8A110-E83B-42C2-9F08-1374BDE4F512}"/>
    <cellStyle name="60 % - Accent1 2 7 2 3" xfId="1459" xr:uid="{62BE03A4-F850-4E5C-ADE5-600A3AAD04F8}"/>
    <cellStyle name="60 % - Accent1 2 7 3" xfId="690" xr:uid="{7931E39B-2F7F-4F6D-9AD6-56C99933F340}"/>
    <cellStyle name="60 % - Accent1 2 7 3 2" xfId="1713" xr:uid="{559C8885-B72B-4F9C-9C14-46B94CA9000D}"/>
    <cellStyle name="60 % - Accent1 2 7 4" xfId="1205" xr:uid="{27EFFC67-C815-4D3B-A824-6DF3088D8B33}"/>
    <cellStyle name="60 % - Accent1 2 8" xfId="310" xr:uid="{DF950F25-C0DD-40AB-8EF5-3E977963B638}"/>
    <cellStyle name="60 % - Accent1 2 8 2" xfId="818" xr:uid="{BDD1BB37-474D-4336-9DED-F491204C727C}"/>
    <cellStyle name="60 % - Accent1 2 8 2 2" xfId="1841" xr:uid="{BE8636F1-2CB2-48EE-844C-8C0082821B13}"/>
    <cellStyle name="60 % - Accent1 2 8 3" xfId="1333" xr:uid="{370626B7-4CE4-4A37-AB2B-57490F3EC5E7}"/>
    <cellStyle name="60 % - Accent1 2 9" xfId="564" xr:uid="{E89F8750-5B86-4AC8-9F9C-75319668045B}"/>
    <cellStyle name="60 % - Accent1 2 9 2" xfId="1587" xr:uid="{9A26658F-00E4-47F2-99B7-67C69A03C5C3}"/>
    <cellStyle name="60 % - Accent1 3" xfId="45" xr:uid="{CB899C6D-C7C1-49BF-8CFA-E71236FBEBEF}"/>
    <cellStyle name="60 % - Accent2 2" xfId="54" xr:uid="{4D472384-4318-4CBA-B51F-DC42CEE7197D}"/>
    <cellStyle name="60 % - Accent2 2 10" xfId="1081" xr:uid="{246507D7-CA74-452E-8C35-81889421814D}"/>
    <cellStyle name="60 % - Accent2 2 2" xfId="75" xr:uid="{1756FB28-D333-4EB2-97C2-1EA44D797142}"/>
    <cellStyle name="60 % - Accent2 2 2 2" xfId="201" xr:uid="{CA450C4C-DC65-4DC3-A7BC-E4D456E06D89}"/>
    <cellStyle name="60 % - Accent2 2 2 2 2" xfId="458" xr:uid="{1E7AB028-4405-4E93-B41A-AA0B16860D94}"/>
    <cellStyle name="60 % - Accent2 2 2 2 2 2" xfId="966" xr:uid="{7B4AF963-00D0-4207-ACAD-C8010DA8AF80}"/>
    <cellStyle name="60 % - Accent2 2 2 2 2 2 2" xfId="1989" xr:uid="{E6873868-E0DF-4DA2-AA52-52B4552AE703}"/>
    <cellStyle name="60 % - Accent2 2 2 2 2 3" xfId="1481" xr:uid="{66760FC0-9E8F-4BB4-A410-47AA79BF48A7}"/>
    <cellStyle name="60 % - Accent2 2 2 2 3" xfId="712" xr:uid="{FEFB3C1B-72BF-44F5-B3D3-E6BF4595AFE8}"/>
    <cellStyle name="60 % - Accent2 2 2 2 3 2" xfId="1735" xr:uid="{AB53D79D-6614-478D-B39D-A22169CCF48C}"/>
    <cellStyle name="60 % - Accent2 2 2 2 4" xfId="1227" xr:uid="{06713830-1FE1-400D-B274-C1DDE4A4680F}"/>
    <cellStyle name="60 % - Accent2 2 2 3" xfId="332" xr:uid="{31A56B3C-A280-4AB5-B887-F18A2A1402CC}"/>
    <cellStyle name="60 % - Accent2 2 2 3 2" xfId="840" xr:uid="{9A6C30E8-C3E8-4FA0-BBBE-299197A5596A}"/>
    <cellStyle name="60 % - Accent2 2 2 3 2 2" xfId="1863" xr:uid="{33C57E48-7B58-4F69-9B3F-995AA1F4A5E6}"/>
    <cellStyle name="60 % - Accent2 2 2 3 3" xfId="1355" xr:uid="{9D6D4DC0-5EAD-43EC-B288-18BD7F8F250D}"/>
    <cellStyle name="60 % - Accent2 2 2 4" xfId="586" xr:uid="{E1BE4EAD-B2A6-4C72-B008-43898F95E0F5}"/>
    <cellStyle name="60 % - Accent2 2 2 4 2" xfId="1609" xr:uid="{E5507536-9D60-4678-9356-47B637BCC376}"/>
    <cellStyle name="60 % - Accent2 2 2 5" xfId="1102" xr:uid="{AE574403-0820-49F9-85E5-5F88FAC72162}"/>
    <cellStyle name="60 % - Accent2 2 3" xfId="96" xr:uid="{A39DA95D-F625-4FD8-BDD3-0284502279B8}"/>
    <cellStyle name="60 % - Accent2 2 3 2" xfId="222" xr:uid="{167186AD-A567-4076-AE3C-04EDEF5EE563}"/>
    <cellStyle name="60 % - Accent2 2 3 2 2" xfId="479" xr:uid="{BA113864-9F88-49D2-B2D7-BBCC39EBBC73}"/>
    <cellStyle name="60 % - Accent2 2 3 2 2 2" xfId="987" xr:uid="{15118A9E-99F0-4460-896C-E27D776D525B}"/>
    <cellStyle name="60 % - Accent2 2 3 2 2 2 2" xfId="2010" xr:uid="{0FCCCB8B-CAC3-4E48-B51F-9FFD53839EEA}"/>
    <cellStyle name="60 % - Accent2 2 3 2 2 3" xfId="1502" xr:uid="{FAADE6C9-3521-4D5B-8085-935A57197AB6}"/>
    <cellStyle name="60 % - Accent2 2 3 2 3" xfId="733" xr:uid="{609B5FDA-5273-4386-B007-DE22FFFD8A6B}"/>
    <cellStyle name="60 % - Accent2 2 3 2 3 2" xfId="1756" xr:uid="{E408ECB2-DF62-49D3-BD03-B5E185974E14}"/>
    <cellStyle name="60 % - Accent2 2 3 2 4" xfId="1248" xr:uid="{0BF029D2-846B-4CDD-AF68-ECD79C14B249}"/>
    <cellStyle name="60 % - Accent2 2 3 3" xfId="353" xr:uid="{BE69DAF5-A1CC-4BFD-AA4B-B5159CD1BADA}"/>
    <cellStyle name="60 % - Accent2 2 3 3 2" xfId="861" xr:uid="{823B8648-031D-4181-A43E-F693D76FAF5C}"/>
    <cellStyle name="60 % - Accent2 2 3 3 2 2" xfId="1884" xr:uid="{7AADA773-A72F-42D2-A30C-EC1221120B4C}"/>
    <cellStyle name="60 % - Accent2 2 3 3 3" xfId="1376" xr:uid="{0F84968B-AAE7-4A43-B013-9BCDA5DFCAA5}"/>
    <cellStyle name="60 % - Accent2 2 3 4" xfId="607" xr:uid="{ED6FFF8E-DA51-4095-B793-1B4AA92DD148}"/>
    <cellStyle name="60 % - Accent2 2 3 4 2" xfId="1630" xr:uid="{2EE0C053-D203-4867-A7EF-06AAE4009F84}"/>
    <cellStyle name="60 % - Accent2 2 3 5" xfId="1123" xr:uid="{FEFCE021-1E89-465A-AA28-C2FE35A06DAB}"/>
    <cellStyle name="60 % - Accent2 2 4" xfId="117" xr:uid="{DEA0DFF6-B1D1-4BA1-92F3-310B7185E28B}"/>
    <cellStyle name="60 % - Accent2 2 4 2" xfId="243" xr:uid="{67AA9869-3427-4A74-AD5B-5F14C56C216E}"/>
    <cellStyle name="60 % - Accent2 2 4 2 2" xfId="500" xr:uid="{B15D5551-B5E8-4FBD-BF15-1D9DD6CDB526}"/>
    <cellStyle name="60 % - Accent2 2 4 2 2 2" xfId="1008" xr:uid="{F46CE927-7BB1-41AA-83D5-5030668BDA12}"/>
    <cellStyle name="60 % - Accent2 2 4 2 2 2 2" xfId="2031" xr:uid="{EBC9D1C9-5156-4174-8558-9AFDE4E930E3}"/>
    <cellStyle name="60 % - Accent2 2 4 2 2 3" xfId="1523" xr:uid="{CB404BDC-BB8A-4314-916C-05E3D75B01AA}"/>
    <cellStyle name="60 % - Accent2 2 4 2 3" xfId="754" xr:uid="{9B0119FE-40D6-4379-AD20-902D99A5EC37}"/>
    <cellStyle name="60 % - Accent2 2 4 2 3 2" xfId="1777" xr:uid="{DB5DF206-1458-4198-AE04-169FE899014D}"/>
    <cellStyle name="60 % - Accent2 2 4 2 4" xfId="1269" xr:uid="{3D144A86-F199-4A66-9CB1-92471120383C}"/>
    <cellStyle name="60 % - Accent2 2 4 3" xfId="374" xr:uid="{927BA0A5-CCD6-41A6-AB1E-6D56D8A794C4}"/>
    <cellStyle name="60 % - Accent2 2 4 3 2" xfId="882" xr:uid="{9277F57A-ED09-4DCD-A626-B2E61DAF3292}"/>
    <cellStyle name="60 % - Accent2 2 4 3 2 2" xfId="1905" xr:uid="{6C1798E4-8F47-44B3-BA07-04E1BA401FEF}"/>
    <cellStyle name="60 % - Accent2 2 4 3 3" xfId="1397" xr:uid="{AA1EBD45-9A27-44E4-AD3E-5E7151C88CED}"/>
    <cellStyle name="60 % - Accent2 2 4 4" xfId="628" xr:uid="{FBF9FF31-05DE-4951-B00D-B19DE5229C53}"/>
    <cellStyle name="60 % - Accent2 2 4 4 2" xfId="1651" xr:uid="{AE60905C-96DE-4586-8461-157A1AE264FB}"/>
    <cellStyle name="60 % - Accent2 2 4 5" xfId="1144" xr:uid="{B20AE12C-AEF5-4AE2-83D0-567B1109FDA3}"/>
    <cellStyle name="60 % - Accent2 2 5" xfId="138" xr:uid="{22BC4851-65B3-45F3-B7E8-B7375A763A6A}"/>
    <cellStyle name="60 % - Accent2 2 5 2" xfId="264" xr:uid="{EE04B889-61DB-444E-9730-9ED37050E5F7}"/>
    <cellStyle name="60 % - Accent2 2 5 2 2" xfId="521" xr:uid="{2AAF26AE-6910-4904-91B3-4FCC85CF23AB}"/>
    <cellStyle name="60 % - Accent2 2 5 2 2 2" xfId="1029" xr:uid="{BC7357D3-852F-4A2C-89B1-F3ABD0FB5B44}"/>
    <cellStyle name="60 % - Accent2 2 5 2 2 2 2" xfId="2052" xr:uid="{9D68B18A-98A8-4C37-88AB-6656D9A165D3}"/>
    <cellStyle name="60 % - Accent2 2 5 2 2 3" xfId="1544" xr:uid="{42FDB45A-1938-44C5-B42D-9ECEFE1F1E3C}"/>
    <cellStyle name="60 % - Accent2 2 5 2 3" xfId="775" xr:uid="{51E13EE9-7529-4FF0-8E8A-16598801C9FB}"/>
    <cellStyle name="60 % - Accent2 2 5 2 3 2" xfId="1798" xr:uid="{7ADCDF70-6E74-4581-B04E-CB1431F26F05}"/>
    <cellStyle name="60 % - Accent2 2 5 2 4" xfId="1290" xr:uid="{CE5F21BB-92AD-4319-AA61-97F19B008782}"/>
    <cellStyle name="60 % - Accent2 2 5 3" xfId="395" xr:uid="{A952E56F-9C34-4D87-A4D4-0B20C431E117}"/>
    <cellStyle name="60 % - Accent2 2 5 3 2" xfId="903" xr:uid="{D4E56CF3-8949-489A-8AC6-055846C16FE1}"/>
    <cellStyle name="60 % - Accent2 2 5 3 2 2" xfId="1926" xr:uid="{376A7952-904A-473A-B4B5-EEE9BA2563EA}"/>
    <cellStyle name="60 % - Accent2 2 5 3 3" xfId="1418" xr:uid="{E9B03713-9D14-41D4-A7FA-189AE3AF3921}"/>
    <cellStyle name="60 % - Accent2 2 5 4" xfId="649" xr:uid="{55C7344D-31BE-4B8C-AC70-39D5E743BA0E}"/>
    <cellStyle name="60 % - Accent2 2 5 4 2" xfId="1672" xr:uid="{40205E37-232A-4903-97D6-3D2A595A40F2}"/>
    <cellStyle name="60 % - Accent2 2 5 5" xfId="1165" xr:uid="{50018441-C82A-4E51-B3DD-BB27E254796A}"/>
    <cellStyle name="60 % - Accent2 2 6" xfId="159" xr:uid="{5B8BD581-9607-4E35-B603-468EC8957CA4}"/>
    <cellStyle name="60 % - Accent2 2 6 2" xfId="285" xr:uid="{0EA35D1B-85D1-4B06-B973-DE8F26F6FF98}"/>
    <cellStyle name="60 % - Accent2 2 6 2 2" xfId="542" xr:uid="{53BD53D8-7091-4DA7-BE7A-C29E2A15556E}"/>
    <cellStyle name="60 % - Accent2 2 6 2 2 2" xfId="1050" xr:uid="{4202A515-0018-4C4F-BBFB-989E7F76FEEB}"/>
    <cellStyle name="60 % - Accent2 2 6 2 2 2 2" xfId="2073" xr:uid="{78D2402A-E709-416D-B8D2-66E8956473B6}"/>
    <cellStyle name="60 % - Accent2 2 6 2 2 3" xfId="1565" xr:uid="{701538FF-CBE4-4032-9D81-62012082132E}"/>
    <cellStyle name="60 % - Accent2 2 6 2 3" xfId="796" xr:uid="{639A4587-BB75-465A-8959-4B2787EBA6F9}"/>
    <cellStyle name="60 % - Accent2 2 6 2 3 2" xfId="1819" xr:uid="{64616059-970E-48D3-A6D5-12AA67CDF340}"/>
    <cellStyle name="60 % - Accent2 2 6 2 4" xfId="1311" xr:uid="{7CF6F027-18F9-4B3F-B3BF-0AFD32C9D0E1}"/>
    <cellStyle name="60 % - Accent2 2 6 3" xfId="416" xr:uid="{5054920E-AA07-4503-883D-2EC339035F2F}"/>
    <cellStyle name="60 % - Accent2 2 6 3 2" xfId="924" xr:uid="{F1216557-141A-4BE2-9F10-2639DBDBED66}"/>
    <cellStyle name="60 % - Accent2 2 6 3 2 2" xfId="1947" xr:uid="{DF99BA72-BE67-44E6-B0D2-A9B03038EC89}"/>
    <cellStyle name="60 % - Accent2 2 6 3 3" xfId="1439" xr:uid="{1DFA1EB1-8861-4DAB-B66E-6DB14CDB9A29}"/>
    <cellStyle name="60 % - Accent2 2 6 4" xfId="670" xr:uid="{8339FB5C-922C-4B0F-A2FD-D26747D54AB3}"/>
    <cellStyle name="60 % - Accent2 2 6 4 2" xfId="1693" xr:uid="{7F536D51-7C88-41E1-B3B9-A0D78D29BFB3}"/>
    <cellStyle name="60 % - Accent2 2 6 5" xfId="1186" xr:uid="{06E38D06-5A03-429C-9A93-8458E37F43C1}"/>
    <cellStyle name="60 % - Accent2 2 7" xfId="180" xr:uid="{CD0BDD0A-6B19-46DF-9FDB-F18C6BFB338A}"/>
    <cellStyle name="60 % - Accent2 2 7 2" xfId="437" xr:uid="{A30D7445-C0E4-4C17-A70D-497839594401}"/>
    <cellStyle name="60 % - Accent2 2 7 2 2" xfId="945" xr:uid="{502F21DE-D083-43B8-837C-4BD24F73F9AA}"/>
    <cellStyle name="60 % - Accent2 2 7 2 2 2" xfId="1968" xr:uid="{A9D63E49-D117-423A-879B-8F0621BE1007}"/>
    <cellStyle name="60 % - Accent2 2 7 2 3" xfId="1460" xr:uid="{6C2C36F9-4FF6-42F0-83B5-C3459064EB6E}"/>
    <cellStyle name="60 % - Accent2 2 7 3" xfId="691" xr:uid="{96FA0110-C9F5-4CC1-BD77-5A6C9995B437}"/>
    <cellStyle name="60 % - Accent2 2 7 3 2" xfId="1714" xr:uid="{F3250F4D-30BE-4DD0-9CBF-0889BD23E1FF}"/>
    <cellStyle name="60 % - Accent2 2 7 4" xfId="1206" xr:uid="{EF082BEB-7473-47E0-A939-790072CAF3CE}"/>
    <cellStyle name="60 % - Accent2 2 8" xfId="311" xr:uid="{3B683465-BAAB-44C7-BF98-38F6C2697C39}"/>
    <cellStyle name="60 % - Accent2 2 8 2" xfId="819" xr:uid="{BB9E8142-0C01-4546-B463-E6605F52215B}"/>
    <cellStyle name="60 % - Accent2 2 8 2 2" xfId="1842" xr:uid="{54DBB126-F9F1-40A6-BE9E-78B786CC01E7}"/>
    <cellStyle name="60 % - Accent2 2 8 3" xfId="1334" xr:uid="{990442D1-3C3A-4997-8A31-2831BB2844A2}"/>
    <cellStyle name="60 % - Accent2 2 9" xfId="565" xr:uid="{2B41A612-C99B-46E5-9593-8E154F6AB1FB}"/>
    <cellStyle name="60 % - Accent2 2 9 2" xfId="1588" xr:uid="{56903B2B-DC47-4DB0-A09C-83AE081FD07A}"/>
    <cellStyle name="60 % - Accent2 3" xfId="46" xr:uid="{491CFC10-65BA-4697-A62C-6CC693496685}"/>
    <cellStyle name="60 % - Accent3 2" xfId="55" xr:uid="{602E4BD4-A015-4F7E-A7C8-06BAD83D2A7E}"/>
    <cellStyle name="60 % - Accent3 2 10" xfId="1082" xr:uid="{ED2C69F2-8054-4654-899F-901FA2E8B63F}"/>
    <cellStyle name="60 % - Accent3 2 2" xfId="76" xr:uid="{EB26002D-1013-4294-AA24-AC434609CA96}"/>
    <cellStyle name="60 % - Accent3 2 2 2" xfId="202" xr:uid="{AA3E9280-C0F2-462F-B40E-97ED50527F6C}"/>
    <cellStyle name="60 % - Accent3 2 2 2 2" xfId="459" xr:uid="{FE3A4190-C2A5-438C-97B0-06E7E0844B3B}"/>
    <cellStyle name="60 % - Accent3 2 2 2 2 2" xfId="967" xr:uid="{2BF0D15D-69B4-4D37-A0D7-1C2243308921}"/>
    <cellStyle name="60 % - Accent3 2 2 2 2 2 2" xfId="1990" xr:uid="{14E7577D-2CE1-480D-8F16-1723C5D37821}"/>
    <cellStyle name="60 % - Accent3 2 2 2 2 3" xfId="1482" xr:uid="{04FB1683-A8EE-4F6D-A218-307CAE5BC21B}"/>
    <cellStyle name="60 % - Accent3 2 2 2 3" xfId="713" xr:uid="{A31F4864-2643-4D0A-9316-AEB15B6E3E8E}"/>
    <cellStyle name="60 % - Accent3 2 2 2 3 2" xfId="1736" xr:uid="{3848208C-DD73-4BC1-B643-C5BE688E7152}"/>
    <cellStyle name="60 % - Accent3 2 2 2 4" xfId="1228" xr:uid="{6B566397-AFD3-4665-BEAF-4148B56EFC0F}"/>
    <cellStyle name="60 % - Accent3 2 2 3" xfId="333" xr:uid="{755A0F59-0A5B-4297-AB3F-4A03213E72DA}"/>
    <cellStyle name="60 % - Accent3 2 2 3 2" xfId="841" xr:uid="{7B767F8D-DE02-4BC5-9589-9E2C819B4AD3}"/>
    <cellStyle name="60 % - Accent3 2 2 3 2 2" xfId="1864" xr:uid="{A23A262B-44D6-44C5-9EFD-CDEB8F9A863E}"/>
    <cellStyle name="60 % - Accent3 2 2 3 3" xfId="1356" xr:uid="{65295D0B-58A3-432B-B2BC-1DCC16063F23}"/>
    <cellStyle name="60 % - Accent3 2 2 4" xfId="587" xr:uid="{BC10D726-47ED-45C1-A4D5-9642C456B90F}"/>
    <cellStyle name="60 % - Accent3 2 2 4 2" xfId="1610" xr:uid="{22A214AD-C1A3-4C7F-BEE9-2DB6E2EC6456}"/>
    <cellStyle name="60 % - Accent3 2 2 5" xfId="1103" xr:uid="{92F273D6-8777-4BC0-97CC-C5EAE7FFACCC}"/>
    <cellStyle name="60 % - Accent3 2 3" xfId="97" xr:uid="{E1C87DE4-8D27-4617-A5A4-E032020E951A}"/>
    <cellStyle name="60 % - Accent3 2 3 2" xfId="223" xr:uid="{6F91A77C-80CB-44E2-BAFC-66BDCC1ECF43}"/>
    <cellStyle name="60 % - Accent3 2 3 2 2" xfId="480" xr:uid="{2C228E3D-0AD8-43D7-99D1-4C30B421DDD1}"/>
    <cellStyle name="60 % - Accent3 2 3 2 2 2" xfId="988" xr:uid="{1EABF938-F011-4D01-8058-4304537345EA}"/>
    <cellStyle name="60 % - Accent3 2 3 2 2 2 2" xfId="2011" xr:uid="{2E78CE14-C7EA-46CC-B2D7-4C6988FA723F}"/>
    <cellStyle name="60 % - Accent3 2 3 2 2 3" xfId="1503" xr:uid="{4A7EAE18-789B-4201-AD36-42315FD420EA}"/>
    <cellStyle name="60 % - Accent3 2 3 2 3" xfId="734" xr:uid="{49EBB98B-787B-4B41-BAAD-973BF288806E}"/>
    <cellStyle name="60 % - Accent3 2 3 2 3 2" xfId="1757" xr:uid="{62184A08-7134-42FC-BA90-94C73AE79064}"/>
    <cellStyle name="60 % - Accent3 2 3 2 4" xfId="1249" xr:uid="{616DECBA-86D8-453B-B7F0-A2ACB174A91C}"/>
    <cellStyle name="60 % - Accent3 2 3 3" xfId="354" xr:uid="{D4371166-AB79-4246-9C7E-3459AB4A3D1F}"/>
    <cellStyle name="60 % - Accent3 2 3 3 2" xfId="862" xr:uid="{56CC23D2-60B7-4F64-BE60-8086389976E1}"/>
    <cellStyle name="60 % - Accent3 2 3 3 2 2" xfId="1885" xr:uid="{6441BA02-48C2-44CB-8966-14C9465AD3FA}"/>
    <cellStyle name="60 % - Accent3 2 3 3 3" xfId="1377" xr:uid="{696BF024-48C8-4314-9809-64122481BC57}"/>
    <cellStyle name="60 % - Accent3 2 3 4" xfId="608" xr:uid="{D56CC6C8-BD33-4A2C-A0DF-8115DD4F219C}"/>
    <cellStyle name="60 % - Accent3 2 3 4 2" xfId="1631" xr:uid="{E5DE206C-94DC-48A6-B56A-E930308B51E0}"/>
    <cellStyle name="60 % - Accent3 2 3 5" xfId="1124" xr:uid="{2C674CD3-9CD0-417A-90D3-A640B6137298}"/>
    <cellStyle name="60 % - Accent3 2 4" xfId="118" xr:uid="{A767D28A-ADFD-44C5-8E41-04CA653A6EC5}"/>
    <cellStyle name="60 % - Accent3 2 4 2" xfId="244" xr:uid="{2D82FFF8-4C7F-4634-A133-C0D8104A4EFE}"/>
    <cellStyle name="60 % - Accent3 2 4 2 2" xfId="501" xr:uid="{4655CF9C-DDE7-4379-9AB9-C6FBE253C205}"/>
    <cellStyle name="60 % - Accent3 2 4 2 2 2" xfId="1009" xr:uid="{D0673728-DA80-4346-BF8A-DD255624FC37}"/>
    <cellStyle name="60 % - Accent3 2 4 2 2 2 2" xfId="2032" xr:uid="{CD8A1508-F3F3-4920-A37F-E04191212B88}"/>
    <cellStyle name="60 % - Accent3 2 4 2 2 3" xfId="1524" xr:uid="{ECA64E3D-D4B5-4A29-8AA8-67B458E3F1BA}"/>
    <cellStyle name="60 % - Accent3 2 4 2 3" xfId="755" xr:uid="{341314E8-6EC8-43D7-AF55-565EEF31E2A1}"/>
    <cellStyle name="60 % - Accent3 2 4 2 3 2" xfId="1778" xr:uid="{EABAE1BF-0C9B-4559-BAD6-E80E2B7FD631}"/>
    <cellStyle name="60 % - Accent3 2 4 2 4" xfId="1270" xr:uid="{8BED9912-1233-43AB-A74A-42D66F59757B}"/>
    <cellStyle name="60 % - Accent3 2 4 3" xfId="375" xr:uid="{B8D1222E-24FA-48BD-96EC-B803C94C731A}"/>
    <cellStyle name="60 % - Accent3 2 4 3 2" xfId="883" xr:uid="{4229F098-D8FA-4789-85D8-393486686B56}"/>
    <cellStyle name="60 % - Accent3 2 4 3 2 2" xfId="1906" xr:uid="{33DF898C-AD11-4B90-82BB-C3CB7BE7EC27}"/>
    <cellStyle name="60 % - Accent3 2 4 3 3" xfId="1398" xr:uid="{F2C28440-698C-49D9-9C66-70ACA2CE3E6F}"/>
    <cellStyle name="60 % - Accent3 2 4 4" xfId="629" xr:uid="{0655EB3D-4D16-483D-8D12-95A72A4414C3}"/>
    <cellStyle name="60 % - Accent3 2 4 4 2" xfId="1652" xr:uid="{9426354D-5974-447B-94B0-CFC27284D7F6}"/>
    <cellStyle name="60 % - Accent3 2 4 5" xfId="1145" xr:uid="{788C50AC-B98C-4908-8F08-4060100D2E1C}"/>
    <cellStyle name="60 % - Accent3 2 5" xfId="139" xr:uid="{9B955DB4-C6A6-4195-A10B-AD0AA00D17C2}"/>
    <cellStyle name="60 % - Accent3 2 5 2" xfId="265" xr:uid="{3B46DC70-2EDB-4535-A7E5-44CA174D955D}"/>
    <cellStyle name="60 % - Accent3 2 5 2 2" xfId="522" xr:uid="{E55A23FA-9757-4F1F-9302-C005C7928C6D}"/>
    <cellStyle name="60 % - Accent3 2 5 2 2 2" xfId="1030" xr:uid="{B5FF7500-EE80-4F9C-A9D9-E1599AFDE8B6}"/>
    <cellStyle name="60 % - Accent3 2 5 2 2 2 2" xfId="2053" xr:uid="{FD64425E-4F70-4A6C-BABD-64CAAF5B65FA}"/>
    <cellStyle name="60 % - Accent3 2 5 2 2 3" xfId="1545" xr:uid="{29E2F472-2DEE-4F99-985E-F26BE5623052}"/>
    <cellStyle name="60 % - Accent3 2 5 2 3" xfId="776" xr:uid="{F59E44DF-D39F-4369-A9A1-65554CC6C2BD}"/>
    <cellStyle name="60 % - Accent3 2 5 2 3 2" xfId="1799" xr:uid="{5DE2560D-AB78-4BFE-94AC-DEC214BF40CB}"/>
    <cellStyle name="60 % - Accent3 2 5 2 4" xfId="1291" xr:uid="{28707379-AB4A-4056-9C00-473B326221FD}"/>
    <cellStyle name="60 % - Accent3 2 5 3" xfId="396" xr:uid="{2763B77B-56AF-4CCF-A182-7858ADF67D28}"/>
    <cellStyle name="60 % - Accent3 2 5 3 2" xfId="904" xr:uid="{1CF6AEF8-0CC9-4355-B70E-64305133E1C5}"/>
    <cellStyle name="60 % - Accent3 2 5 3 2 2" xfId="1927" xr:uid="{1B21F749-B2E7-4394-8B34-E9EC2BF9D1B9}"/>
    <cellStyle name="60 % - Accent3 2 5 3 3" xfId="1419" xr:uid="{14AEC906-F7E7-4F6F-A4DE-392190A08BF6}"/>
    <cellStyle name="60 % - Accent3 2 5 4" xfId="650" xr:uid="{E1AD59CB-AF44-418C-8C32-E88D559A4AF0}"/>
    <cellStyle name="60 % - Accent3 2 5 4 2" xfId="1673" xr:uid="{DF08FD75-306F-46CF-9AF4-60D0283CE594}"/>
    <cellStyle name="60 % - Accent3 2 5 5" xfId="1166" xr:uid="{FEDFF996-0EB7-4415-A582-A2CB322C93BB}"/>
    <cellStyle name="60 % - Accent3 2 6" xfId="160" xr:uid="{395E82D0-695A-4D85-9787-016931571FDB}"/>
    <cellStyle name="60 % - Accent3 2 6 2" xfId="286" xr:uid="{959EC299-D9F4-45A0-81AA-F0E57AB02170}"/>
    <cellStyle name="60 % - Accent3 2 6 2 2" xfId="543" xr:uid="{73B484C0-7793-43FC-B9B1-E8912D3E19F2}"/>
    <cellStyle name="60 % - Accent3 2 6 2 2 2" xfId="1051" xr:uid="{29FB4A21-F0FA-4FBB-A83C-743B5D0939C4}"/>
    <cellStyle name="60 % - Accent3 2 6 2 2 2 2" xfId="2074" xr:uid="{9C550A17-9163-4AE9-9EA5-4888C8C97E72}"/>
    <cellStyle name="60 % - Accent3 2 6 2 2 3" xfId="1566" xr:uid="{2D8ED706-E004-4851-BF62-C5B23A29AC0A}"/>
    <cellStyle name="60 % - Accent3 2 6 2 3" xfId="797" xr:uid="{878430CA-AA90-43E4-88F2-13B014CD79C8}"/>
    <cellStyle name="60 % - Accent3 2 6 2 3 2" xfId="1820" xr:uid="{EFDD1961-4D05-4310-A021-EE78C8D9048F}"/>
    <cellStyle name="60 % - Accent3 2 6 2 4" xfId="1312" xr:uid="{66C45160-45B3-42E6-9866-B2A40B14042C}"/>
    <cellStyle name="60 % - Accent3 2 6 3" xfId="417" xr:uid="{9CFD6640-F84A-485A-9471-6490A6BFF01A}"/>
    <cellStyle name="60 % - Accent3 2 6 3 2" xfId="925" xr:uid="{6B7CD2DD-E15E-463A-83EE-D5BFB388F677}"/>
    <cellStyle name="60 % - Accent3 2 6 3 2 2" xfId="1948" xr:uid="{FD684657-F853-4F3B-A45E-C98B0C71F3CF}"/>
    <cellStyle name="60 % - Accent3 2 6 3 3" xfId="1440" xr:uid="{2BC0F7AD-092A-4B83-9A99-9AD83F6239ED}"/>
    <cellStyle name="60 % - Accent3 2 6 4" xfId="671" xr:uid="{011EEDC3-F3CA-4C04-AB72-47F77594DF6F}"/>
    <cellStyle name="60 % - Accent3 2 6 4 2" xfId="1694" xr:uid="{07846E09-9DBD-4390-982A-02208956A326}"/>
    <cellStyle name="60 % - Accent3 2 6 5" xfId="1187" xr:uid="{4FF86191-74BE-4FDC-9FCD-D217C8A011E7}"/>
    <cellStyle name="60 % - Accent3 2 7" xfId="181" xr:uid="{C2D8C5B1-C505-44DC-BE79-8C4D520724C0}"/>
    <cellStyle name="60 % - Accent3 2 7 2" xfId="438" xr:uid="{15A6D0A5-9516-47EE-87EE-23D95BD88325}"/>
    <cellStyle name="60 % - Accent3 2 7 2 2" xfId="946" xr:uid="{F27E2F44-1AA4-4663-9AAA-CE1AFF3E5234}"/>
    <cellStyle name="60 % - Accent3 2 7 2 2 2" xfId="1969" xr:uid="{348BA105-47B5-4EF5-9DB1-B4CCFDAFC785}"/>
    <cellStyle name="60 % - Accent3 2 7 2 3" xfId="1461" xr:uid="{CEF8CB05-5213-4832-8392-965391732DEC}"/>
    <cellStyle name="60 % - Accent3 2 7 3" xfId="692" xr:uid="{205998AE-4F86-4ABA-8D41-B12840190EDE}"/>
    <cellStyle name="60 % - Accent3 2 7 3 2" xfId="1715" xr:uid="{C77F579E-96A8-4F17-9665-CD8962D5940F}"/>
    <cellStyle name="60 % - Accent3 2 7 4" xfId="1207" xr:uid="{8F7705A9-E48B-4532-A938-4E7BA1A399A2}"/>
    <cellStyle name="60 % - Accent3 2 8" xfId="312" xr:uid="{D907CDC5-492F-4A96-A179-86795DB9F481}"/>
    <cellStyle name="60 % - Accent3 2 8 2" xfId="820" xr:uid="{E4D03F1B-5882-4D65-92DE-0743D424FC2C}"/>
    <cellStyle name="60 % - Accent3 2 8 2 2" xfId="1843" xr:uid="{BE9DC825-2B24-41DF-85FE-7638C50C4522}"/>
    <cellStyle name="60 % - Accent3 2 8 3" xfId="1335" xr:uid="{4D37FDD4-82CE-4AC9-B351-00F4B3ECB3BC}"/>
    <cellStyle name="60 % - Accent3 2 9" xfId="566" xr:uid="{A97E3326-E8C9-4E71-8983-D0033ED2A163}"/>
    <cellStyle name="60 % - Accent3 2 9 2" xfId="1589" xr:uid="{3AD282A3-0A1D-449D-9B4A-616D40639DAE}"/>
    <cellStyle name="60 % - Accent3 3" xfId="47" xr:uid="{BF625EE1-2A63-44A4-9658-B8B425279C1F}"/>
    <cellStyle name="60 % - Accent4 2" xfId="56" xr:uid="{5423663D-3DBA-4A82-9F69-E4F3C4086A3F}"/>
    <cellStyle name="60 % - Accent4 2 10" xfId="1083" xr:uid="{D27DECD7-5B5E-498D-917E-33B237BA1985}"/>
    <cellStyle name="60 % - Accent4 2 2" xfId="77" xr:uid="{0681B720-3C11-4786-B2C9-87301A51654F}"/>
    <cellStyle name="60 % - Accent4 2 2 2" xfId="203" xr:uid="{946A790A-3FE1-41D6-BB62-2258F8FE7F00}"/>
    <cellStyle name="60 % - Accent4 2 2 2 2" xfId="460" xr:uid="{8DFD410F-3531-4D0A-8308-C9EBE00D8BF7}"/>
    <cellStyle name="60 % - Accent4 2 2 2 2 2" xfId="968" xr:uid="{241E25EF-C59B-45E8-8420-BE3CFD8994E6}"/>
    <cellStyle name="60 % - Accent4 2 2 2 2 2 2" xfId="1991" xr:uid="{087258F5-D104-461D-B41A-2C517CBC0B95}"/>
    <cellStyle name="60 % - Accent4 2 2 2 2 3" xfId="1483" xr:uid="{C40D32AA-CE6C-433D-B301-C1DD508F0747}"/>
    <cellStyle name="60 % - Accent4 2 2 2 3" xfId="714" xr:uid="{3881A86E-3289-4C45-9449-0C321B0947CD}"/>
    <cellStyle name="60 % - Accent4 2 2 2 3 2" xfId="1737" xr:uid="{B33DFA1C-F8EB-4C4F-9C7B-0D11BB0B19C7}"/>
    <cellStyle name="60 % - Accent4 2 2 2 4" xfId="1229" xr:uid="{3FBE3144-542F-48D1-9DFD-79EA20A87EB7}"/>
    <cellStyle name="60 % - Accent4 2 2 3" xfId="334" xr:uid="{1371E725-741C-4FAE-AC92-1C010438E9EA}"/>
    <cellStyle name="60 % - Accent4 2 2 3 2" xfId="842" xr:uid="{5A36F42C-3116-4159-82EA-3B7570850564}"/>
    <cellStyle name="60 % - Accent4 2 2 3 2 2" xfId="1865" xr:uid="{AEB52197-707C-4B1A-A102-D504CB0C687F}"/>
    <cellStyle name="60 % - Accent4 2 2 3 3" xfId="1357" xr:uid="{FB80BF92-0B4A-4FE0-A00F-541471452899}"/>
    <cellStyle name="60 % - Accent4 2 2 4" xfId="588" xr:uid="{786123C5-A6A5-4F1C-A504-917FC2B74DCE}"/>
    <cellStyle name="60 % - Accent4 2 2 4 2" xfId="1611" xr:uid="{2D7D666B-C205-4459-9188-D87F5E955F8A}"/>
    <cellStyle name="60 % - Accent4 2 2 5" xfId="1104" xr:uid="{81CA195C-FC9F-49B6-AE63-9A3CA1AA42B0}"/>
    <cellStyle name="60 % - Accent4 2 3" xfId="98" xr:uid="{20ACEB9B-4DA1-40B2-A45A-2FEF3A657097}"/>
    <cellStyle name="60 % - Accent4 2 3 2" xfId="224" xr:uid="{8120A023-DCD0-4DA2-9DD6-1832C7B59869}"/>
    <cellStyle name="60 % - Accent4 2 3 2 2" xfId="481" xr:uid="{03E7EBF7-9B89-486C-A2AA-0500EA4D503E}"/>
    <cellStyle name="60 % - Accent4 2 3 2 2 2" xfId="989" xr:uid="{F0B4A90F-8213-492E-91F9-16BCEB9E140C}"/>
    <cellStyle name="60 % - Accent4 2 3 2 2 2 2" xfId="2012" xr:uid="{467B78A5-565E-4CE4-84D0-4F34BE70DBF3}"/>
    <cellStyle name="60 % - Accent4 2 3 2 2 3" xfId="1504" xr:uid="{7B4E5CB8-1909-43E2-975D-EEA7348FE816}"/>
    <cellStyle name="60 % - Accent4 2 3 2 3" xfId="735" xr:uid="{19D72AE1-B3DC-4335-80A8-BE3EF1D6D08A}"/>
    <cellStyle name="60 % - Accent4 2 3 2 3 2" xfId="1758" xr:uid="{C254AE9F-85BB-4899-BB87-A78425AA2141}"/>
    <cellStyle name="60 % - Accent4 2 3 2 4" xfId="1250" xr:uid="{AAA3D825-BBAB-4618-8FBD-C7E552BECC2B}"/>
    <cellStyle name="60 % - Accent4 2 3 3" xfId="355" xr:uid="{E9B78E16-C089-40A7-A2A7-BF14594D7038}"/>
    <cellStyle name="60 % - Accent4 2 3 3 2" xfId="863" xr:uid="{B9EB041D-918C-4D27-8269-FC49DC09AF43}"/>
    <cellStyle name="60 % - Accent4 2 3 3 2 2" xfId="1886" xr:uid="{1D8601A3-9F89-470F-BAC4-7F6BD9886951}"/>
    <cellStyle name="60 % - Accent4 2 3 3 3" xfId="1378" xr:uid="{3A5D416A-F00C-4E83-B7B4-9CF3AD13E72F}"/>
    <cellStyle name="60 % - Accent4 2 3 4" xfId="609" xr:uid="{1C237AAD-A70C-416F-AA4C-5DDF48D62E53}"/>
    <cellStyle name="60 % - Accent4 2 3 4 2" xfId="1632" xr:uid="{D2A61D2D-6D5E-4208-80E4-58DFD4184022}"/>
    <cellStyle name="60 % - Accent4 2 3 5" xfId="1125" xr:uid="{E54B21E3-7CE3-4EF3-919C-6F625E9FDAD2}"/>
    <cellStyle name="60 % - Accent4 2 4" xfId="119" xr:uid="{43EB8747-38AE-4695-887A-E5F95D4871D8}"/>
    <cellStyle name="60 % - Accent4 2 4 2" xfId="245" xr:uid="{3341D944-B3F4-41FA-94FA-9BE24A593B3D}"/>
    <cellStyle name="60 % - Accent4 2 4 2 2" xfId="502" xr:uid="{DA7818DD-EB31-47A4-9F80-144FE1173C71}"/>
    <cellStyle name="60 % - Accent4 2 4 2 2 2" xfId="1010" xr:uid="{18AC9759-1F79-4112-8CFA-08C04F34E15B}"/>
    <cellStyle name="60 % - Accent4 2 4 2 2 2 2" xfId="2033" xr:uid="{C805E663-D7AD-41DB-B877-CF4667EBCF33}"/>
    <cellStyle name="60 % - Accent4 2 4 2 2 3" xfId="1525" xr:uid="{9B19D72F-1B9B-4512-B497-313710201A15}"/>
    <cellStyle name="60 % - Accent4 2 4 2 3" xfId="756" xr:uid="{AC8AAE20-7573-45B3-A255-8E04B3FAEBB1}"/>
    <cellStyle name="60 % - Accent4 2 4 2 3 2" xfId="1779" xr:uid="{5D8109A5-9531-4FC1-B5A8-5FA12EB40CFC}"/>
    <cellStyle name="60 % - Accent4 2 4 2 4" xfId="1271" xr:uid="{1EA1046C-649B-48A8-BB23-99EBB856B2B9}"/>
    <cellStyle name="60 % - Accent4 2 4 3" xfId="376" xr:uid="{FAAE315D-C6AF-4FEC-A87A-8A10B2CC3AD9}"/>
    <cellStyle name="60 % - Accent4 2 4 3 2" xfId="884" xr:uid="{3C8DCC84-4ECF-4F01-BF94-6A24DA0DE7E3}"/>
    <cellStyle name="60 % - Accent4 2 4 3 2 2" xfId="1907" xr:uid="{D2635914-EF5A-469E-9A1B-84BA656897C5}"/>
    <cellStyle name="60 % - Accent4 2 4 3 3" xfId="1399" xr:uid="{3C2FC5E4-2128-4892-BBAE-3D5FBF38BB7F}"/>
    <cellStyle name="60 % - Accent4 2 4 4" xfId="630" xr:uid="{26E63541-77D2-4574-AD2A-6DE50F849FFA}"/>
    <cellStyle name="60 % - Accent4 2 4 4 2" xfId="1653" xr:uid="{1F0560FB-2BB3-4755-A6AD-C0A790486BEF}"/>
    <cellStyle name="60 % - Accent4 2 4 5" xfId="1146" xr:uid="{6C006BF8-B562-498D-A265-897DB397632D}"/>
    <cellStyle name="60 % - Accent4 2 5" xfId="140" xr:uid="{7A996282-F4F0-4417-903F-52C8135F214A}"/>
    <cellStyle name="60 % - Accent4 2 5 2" xfId="266" xr:uid="{15C2170C-E621-49F3-8C31-BF1AA0B8F91C}"/>
    <cellStyle name="60 % - Accent4 2 5 2 2" xfId="523" xr:uid="{A57E7FD9-595A-4FAF-A5C4-C9F638BED72A}"/>
    <cellStyle name="60 % - Accent4 2 5 2 2 2" xfId="1031" xr:uid="{DF753BDC-BEB2-48CA-8AD0-6CADA59D7689}"/>
    <cellStyle name="60 % - Accent4 2 5 2 2 2 2" xfId="2054" xr:uid="{F52F9325-E42D-445F-ABF6-A18DBFB2FC6B}"/>
    <cellStyle name="60 % - Accent4 2 5 2 2 3" xfId="1546" xr:uid="{CC6919DA-EF66-48F4-815F-6D826A004C2B}"/>
    <cellStyle name="60 % - Accent4 2 5 2 3" xfId="777" xr:uid="{A6792C23-0387-4C91-A7F1-374BAE18667E}"/>
    <cellStyle name="60 % - Accent4 2 5 2 3 2" xfId="1800" xr:uid="{C7BBBE8B-B1D6-4C47-B93C-8CA3F43EDE45}"/>
    <cellStyle name="60 % - Accent4 2 5 2 4" xfId="1292" xr:uid="{FBC5818E-E6FC-46F8-AB59-4D907CB0A914}"/>
    <cellStyle name="60 % - Accent4 2 5 3" xfId="397" xr:uid="{872BBFD2-9667-4A63-A609-712CBB06F088}"/>
    <cellStyle name="60 % - Accent4 2 5 3 2" xfId="905" xr:uid="{2E0CF0CA-FCDD-45F3-B0E2-579A470BDC6D}"/>
    <cellStyle name="60 % - Accent4 2 5 3 2 2" xfId="1928" xr:uid="{E1E6F16C-1EBB-4CDF-BBFE-7F2DFB1FAC68}"/>
    <cellStyle name="60 % - Accent4 2 5 3 3" xfId="1420" xr:uid="{015DB48F-E420-4F4A-B85C-8D6257F65A8C}"/>
    <cellStyle name="60 % - Accent4 2 5 4" xfId="651" xr:uid="{652E39B7-C713-4852-ABD3-FA6442A116A9}"/>
    <cellStyle name="60 % - Accent4 2 5 4 2" xfId="1674" xr:uid="{D1D0B260-C614-467E-B3C2-8915EA988A50}"/>
    <cellStyle name="60 % - Accent4 2 5 5" xfId="1167" xr:uid="{C77DDD3F-7AC1-404A-A96B-153A4E9EC16B}"/>
    <cellStyle name="60 % - Accent4 2 6" xfId="161" xr:uid="{34BE1EAD-6274-4507-B7C9-A2F282922677}"/>
    <cellStyle name="60 % - Accent4 2 6 2" xfId="287" xr:uid="{383BA480-F31F-4ADE-9B85-AA42AD1BB304}"/>
    <cellStyle name="60 % - Accent4 2 6 2 2" xfId="544" xr:uid="{73CEC2B9-B2CC-4249-B9CC-2D1C4D737ECF}"/>
    <cellStyle name="60 % - Accent4 2 6 2 2 2" xfId="1052" xr:uid="{FE2F481A-6CEB-4BBE-856B-951B9A790D97}"/>
    <cellStyle name="60 % - Accent4 2 6 2 2 2 2" xfId="2075" xr:uid="{FC9888EE-E07F-4124-B802-8465EAE8758B}"/>
    <cellStyle name="60 % - Accent4 2 6 2 2 3" xfId="1567" xr:uid="{648425FC-B8CF-4AB0-BB2B-71EF08DE56CB}"/>
    <cellStyle name="60 % - Accent4 2 6 2 3" xfId="798" xr:uid="{6FEDECFB-4B7F-4872-B0E9-C09AE6E938CB}"/>
    <cellStyle name="60 % - Accent4 2 6 2 3 2" xfId="1821" xr:uid="{57FB30E7-C8D9-44B0-A197-EA4BF2EF2A79}"/>
    <cellStyle name="60 % - Accent4 2 6 2 4" xfId="1313" xr:uid="{6E190CF5-B44E-48B5-8CB1-BD22192F9C72}"/>
    <cellStyle name="60 % - Accent4 2 6 3" xfId="418" xr:uid="{7EA08DFF-354C-4485-A701-9D624E14E418}"/>
    <cellStyle name="60 % - Accent4 2 6 3 2" xfId="926" xr:uid="{37268AF9-8667-47CB-B086-7A8E9813517E}"/>
    <cellStyle name="60 % - Accent4 2 6 3 2 2" xfId="1949" xr:uid="{BA7176E8-E1C5-4BA5-BB24-FD6861214E58}"/>
    <cellStyle name="60 % - Accent4 2 6 3 3" xfId="1441" xr:uid="{EA5F1D85-CEC8-4BC2-9FCE-3B5C421E45AD}"/>
    <cellStyle name="60 % - Accent4 2 6 4" xfId="672" xr:uid="{E789671E-1DF6-4B0D-84B9-9B8B13178FA6}"/>
    <cellStyle name="60 % - Accent4 2 6 4 2" xfId="1695" xr:uid="{EB938ED4-A52C-47BD-B3EB-ACC49ABE308B}"/>
    <cellStyle name="60 % - Accent4 2 6 5" xfId="1188" xr:uid="{7A3C4107-4847-4701-BD33-A07B8337AC40}"/>
    <cellStyle name="60 % - Accent4 2 7" xfId="182" xr:uid="{73C72DD6-656F-478B-9B5E-E35C993DD735}"/>
    <cellStyle name="60 % - Accent4 2 7 2" xfId="439" xr:uid="{C9D5C8CC-8116-40D5-8973-678FA10DB323}"/>
    <cellStyle name="60 % - Accent4 2 7 2 2" xfId="947" xr:uid="{DED59229-FFFC-4B5C-A764-A8DD2BA9A03C}"/>
    <cellStyle name="60 % - Accent4 2 7 2 2 2" xfId="1970" xr:uid="{2794DE7D-9E7F-4E7D-B6C8-D348ACEFE2C4}"/>
    <cellStyle name="60 % - Accent4 2 7 2 3" xfId="1462" xr:uid="{A64298C2-408E-424B-875F-5409D49501DB}"/>
    <cellStyle name="60 % - Accent4 2 7 3" xfId="693" xr:uid="{65A34688-7CBE-4088-BD48-093AB25D8A5D}"/>
    <cellStyle name="60 % - Accent4 2 7 3 2" xfId="1716" xr:uid="{543F17B8-78CA-4655-87AA-00A83032DBAF}"/>
    <cellStyle name="60 % - Accent4 2 7 4" xfId="1208" xr:uid="{CAFAE657-DC99-4766-BDC1-9178C8EE3AF1}"/>
    <cellStyle name="60 % - Accent4 2 8" xfId="313" xr:uid="{A648CF25-002F-4489-9EB9-8B1F71807D9D}"/>
    <cellStyle name="60 % - Accent4 2 8 2" xfId="821" xr:uid="{24D55A61-4CCA-4F01-9B57-3160FAFA91FA}"/>
    <cellStyle name="60 % - Accent4 2 8 2 2" xfId="1844" xr:uid="{2E2E3C93-532D-4B8C-BE5E-180F2139BDD3}"/>
    <cellStyle name="60 % - Accent4 2 8 3" xfId="1336" xr:uid="{D33B5C5E-8EA5-44F6-B0A0-2E3905AC3C7F}"/>
    <cellStyle name="60 % - Accent4 2 9" xfId="567" xr:uid="{16A1A752-770D-4EC1-93D6-496176093F8D}"/>
    <cellStyle name="60 % - Accent4 2 9 2" xfId="1590" xr:uid="{36159209-F98C-48F1-BBDF-C488E425CFDE}"/>
    <cellStyle name="60 % - Accent4 3" xfId="48" xr:uid="{9FED42CF-4268-4A95-AACB-C1BAA327E5A5}"/>
    <cellStyle name="60 % - Accent5 2" xfId="57" xr:uid="{46C8803D-EA86-488D-ABD0-F3AC6177BA63}"/>
    <cellStyle name="60 % - Accent5 2 10" xfId="1084" xr:uid="{6FBD879E-8308-4F08-919C-F622A6C199B6}"/>
    <cellStyle name="60 % - Accent5 2 2" xfId="78" xr:uid="{35FCFE72-3454-4E55-A130-26B14248E966}"/>
    <cellStyle name="60 % - Accent5 2 2 2" xfId="204" xr:uid="{C27E93EF-EA65-4802-BEBF-832B8E8F3EA2}"/>
    <cellStyle name="60 % - Accent5 2 2 2 2" xfId="461" xr:uid="{E56B9F84-6395-4A30-8B97-81DDFCBE1AD3}"/>
    <cellStyle name="60 % - Accent5 2 2 2 2 2" xfId="969" xr:uid="{A179C6CB-B7F2-4F79-81F1-72947436BA2B}"/>
    <cellStyle name="60 % - Accent5 2 2 2 2 2 2" xfId="1992" xr:uid="{7EB96B63-C755-4216-A315-139E71F98D1A}"/>
    <cellStyle name="60 % - Accent5 2 2 2 2 3" xfId="1484" xr:uid="{C6902366-2197-4D20-96A1-172CF28D42A2}"/>
    <cellStyle name="60 % - Accent5 2 2 2 3" xfId="715" xr:uid="{0939143C-C85B-4B91-BBA9-6A32797676E6}"/>
    <cellStyle name="60 % - Accent5 2 2 2 3 2" xfId="1738" xr:uid="{D539A0D0-367B-4D3C-8A2C-50ADE55496AB}"/>
    <cellStyle name="60 % - Accent5 2 2 2 4" xfId="1230" xr:uid="{F6541414-833E-4B8E-8D03-8A1A84B9A934}"/>
    <cellStyle name="60 % - Accent5 2 2 3" xfId="335" xr:uid="{5FCD0B0B-2105-4735-8A0E-A2B77010DF84}"/>
    <cellStyle name="60 % - Accent5 2 2 3 2" xfId="843" xr:uid="{2C5A1A8E-BC04-4495-A4AE-0558E6680C0C}"/>
    <cellStyle name="60 % - Accent5 2 2 3 2 2" xfId="1866" xr:uid="{7466FF9B-521B-48F2-A0BF-161548F26A02}"/>
    <cellStyle name="60 % - Accent5 2 2 3 3" xfId="1358" xr:uid="{4305D78C-A447-47E9-B994-CC45E93A96D8}"/>
    <cellStyle name="60 % - Accent5 2 2 4" xfId="589" xr:uid="{4AD2BA94-D2DD-4E89-BEC2-9EFFE5FBE381}"/>
    <cellStyle name="60 % - Accent5 2 2 4 2" xfId="1612" xr:uid="{1D326B45-F9D7-4F32-B212-93404F6A8F19}"/>
    <cellStyle name="60 % - Accent5 2 2 5" xfId="1105" xr:uid="{B8FF5289-8990-4FC1-A47A-9F6550662713}"/>
    <cellStyle name="60 % - Accent5 2 3" xfId="99" xr:uid="{B1CE0DA5-39AA-4958-A189-82F34F13776B}"/>
    <cellStyle name="60 % - Accent5 2 3 2" xfId="225" xr:uid="{B69EB177-6339-44EB-92E6-D5EA82A1E8EE}"/>
    <cellStyle name="60 % - Accent5 2 3 2 2" xfId="482" xr:uid="{DDF4A3EC-56D4-4F6A-A60A-525EC0C5D921}"/>
    <cellStyle name="60 % - Accent5 2 3 2 2 2" xfId="990" xr:uid="{5E3EDD63-8A03-46A6-9501-6D62F53A5E89}"/>
    <cellStyle name="60 % - Accent5 2 3 2 2 2 2" xfId="2013" xr:uid="{B0554B5F-77C6-4979-9D9A-E4169CA8DA64}"/>
    <cellStyle name="60 % - Accent5 2 3 2 2 3" xfId="1505" xr:uid="{C8F1DD91-4EAB-431C-A3DE-82C5E2EAE050}"/>
    <cellStyle name="60 % - Accent5 2 3 2 3" xfId="736" xr:uid="{7F0BF5A5-F2EE-4E0C-8564-3E9B064348BF}"/>
    <cellStyle name="60 % - Accent5 2 3 2 3 2" xfId="1759" xr:uid="{C16F57AC-D486-4D64-827F-F6CD1C726F53}"/>
    <cellStyle name="60 % - Accent5 2 3 2 4" xfId="1251" xr:uid="{3E2FB616-498E-4D07-8CCB-909FE1BA62D5}"/>
    <cellStyle name="60 % - Accent5 2 3 3" xfId="356" xr:uid="{CDA5B559-E3BD-4377-B229-9175DC4DF027}"/>
    <cellStyle name="60 % - Accent5 2 3 3 2" xfId="864" xr:uid="{032479FC-1326-4050-892E-F0BE82B2DB31}"/>
    <cellStyle name="60 % - Accent5 2 3 3 2 2" xfId="1887" xr:uid="{D4531580-FB6E-44FD-8C9A-5A79ACA9E55D}"/>
    <cellStyle name="60 % - Accent5 2 3 3 3" xfId="1379" xr:uid="{F3A11C5F-9E61-4AA6-B971-A5C3CF4B27A2}"/>
    <cellStyle name="60 % - Accent5 2 3 4" xfId="610" xr:uid="{75B6FBF2-9831-4BA2-BB20-B0A7AA2C9C42}"/>
    <cellStyle name="60 % - Accent5 2 3 4 2" xfId="1633" xr:uid="{19225966-A649-4047-9904-115A365A2797}"/>
    <cellStyle name="60 % - Accent5 2 3 5" xfId="1126" xr:uid="{6EB1A22D-DA99-47E1-93BE-6B68904B2698}"/>
    <cellStyle name="60 % - Accent5 2 4" xfId="120" xr:uid="{D6EB3F58-1B2F-4045-AEEF-06BD6814F119}"/>
    <cellStyle name="60 % - Accent5 2 4 2" xfId="246" xr:uid="{26E5BAFB-21E9-481F-806C-5BBCDD67D34B}"/>
    <cellStyle name="60 % - Accent5 2 4 2 2" xfId="503" xr:uid="{CD7B7A81-B42C-4DA8-8F4A-BD0FE9D5FFCC}"/>
    <cellStyle name="60 % - Accent5 2 4 2 2 2" xfId="1011" xr:uid="{F1E1D659-640F-4910-9F27-2236B87DD0F9}"/>
    <cellStyle name="60 % - Accent5 2 4 2 2 2 2" xfId="2034" xr:uid="{1E9F7E32-01F0-43B8-B99E-0DDBEF0EBDED}"/>
    <cellStyle name="60 % - Accent5 2 4 2 2 3" xfId="1526" xr:uid="{8BDCA2AB-0B9F-4E59-A4CB-205AABC91485}"/>
    <cellStyle name="60 % - Accent5 2 4 2 3" xfId="757" xr:uid="{0381253E-64AB-4223-8341-8666BE9BB285}"/>
    <cellStyle name="60 % - Accent5 2 4 2 3 2" xfId="1780" xr:uid="{71EE5871-CADD-4EB4-B0FD-40AB568D00A0}"/>
    <cellStyle name="60 % - Accent5 2 4 2 4" xfId="1272" xr:uid="{8619743D-EC49-4D15-B8F9-8699C2508EE4}"/>
    <cellStyle name="60 % - Accent5 2 4 3" xfId="377" xr:uid="{F0640C9B-9DB5-4BBA-B7D9-7E33A8306F4B}"/>
    <cellStyle name="60 % - Accent5 2 4 3 2" xfId="885" xr:uid="{CDEECFAB-9F3B-4506-83E9-3E8DD805FEDA}"/>
    <cellStyle name="60 % - Accent5 2 4 3 2 2" xfId="1908" xr:uid="{0FE338C9-2C2D-421C-BE51-59C2A6DCB55E}"/>
    <cellStyle name="60 % - Accent5 2 4 3 3" xfId="1400" xr:uid="{262948E8-0153-4F70-A8D2-36A5AE820A4E}"/>
    <cellStyle name="60 % - Accent5 2 4 4" xfId="631" xr:uid="{81AE03BE-5178-42C4-B168-38EF909CCF6B}"/>
    <cellStyle name="60 % - Accent5 2 4 4 2" xfId="1654" xr:uid="{BC08B121-A517-466C-8EF1-2897BED587A7}"/>
    <cellStyle name="60 % - Accent5 2 4 5" xfId="1147" xr:uid="{733ADB23-547F-43F3-832B-DE303EB9A6EF}"/>
    <cellStyle name="60 % - Accent5 2 5" xfId="141" xr:uid="{D38BA892-8F52-4A15-8FD7-3E1AA38E3711}"/>
    <cellStyle name="60 % - Accent5 2 5 2" xfId="267" xr:uid="{2080642E-34AE-4B55-B8DB-A3B6C139DC3F}"/>
    <cellStyle name="60 % - Accent5 2 5 2 2" xfId="524" xr:uid="{1F6CD533-C286-4940-9273-0943E21DBF31}"/>
    <cellStyle name="60 % - Accent5 2 5 2 2 2" xfId="1032" xr:uid="{485B56EA-F3CE-4F99-8B06-7AFE03127733}"/>
    <cellStyle name="60 % - Accent5 2 5 2 2 2 2" xfId="2055" xr:uid="{10C77502-65E6-40EF-B5F6-69BF321C49D9}"/>
    <cellStyle name="60 % - Accent5 2 5 2 2 3" xfId="1547" xr:uid="{B9CDDB93-BDB8-41AB-BF81-76AB966A7C1B}"/>
    <cellStyle name="60 % - Accent5 2 5 2 3" xfId="778" xr:uid="{C8B4376F-2FAD-4997-AB09-E25E313C6910}"/>
    <cellStyle name="60 % - Accent5 2 5 2 3 2" xfId="1801" xr:uid="{729918DC-45F3-48E5-AA4B-D4EDDA115541}"/>
    <cellStyle name="60 % - Accent5 2 5 2 4" xfId="1293" xr:uid="{2BCC1C4A-8817-4FF5-BE49-8DB9CB6BD10A}"/>
    <cellStyle name="60 % - Accent5 2 5 3" xfId="398" xr:uid="{72804A82-32D1-4656-B402-2608EBD30B49}"/>
    <cellStyle name="60 % - Accent5 2 5 3 2" xfId="906" xr:uid="{BD144900-B75A-41C1-81D2-7555261F7F81}"/>
    <cellStyle name="60 % - Accent5 2 5 3 2 2" xfId="1929" xr:uid="{38B57774-82E6-4D1B-AB78-99A6E487987B}"/>
    <cellStyle name="60 % - Accent5 2 5 3 3" xfId="1421" xr:uid="{8A21D77E-5AB6-49BB-99AE-CE3B37FC408D}"/>
    <cellStyle name="60 % - Accent5 2 5 4" xfId="652" xr:uid="{FF6A04AB-CDAC-44B1-8CDE-4ACF355E521E}"/>
    <cellStyle name="60 % - Accent5 2 5 4 2" xfId="1675" xr:uid="{6CD8A8EB-8EF4-45A7-B590-289C05D41A15}"/>
    <cellStyle name="60 % - Accent5 2 5 5" xfId="1168" xr:uid="{0E07A220-D1AC-4F14-8812-4A5B567C5EF3}"/>
    <cellStyle name="60 % - Accent5 2 6" xfId="162" xr:uid="{8D389280-EF63-40A3-BBD6-D6192CB5BDC2}"/>
    <cellStyle name="60 % - Accent5 2 6 2" xfId="288" xr:uid="{593E0A80-994C-4A8B-A6EE-7F0C48F3B10E}"/>
    <cellStyle name="60 % - Accent5 2 6 2 2" xfId="545" xr:uid="{03AAC490-C752-4748-970A-D71AD814FF9D}"/>
    <cellStyle name="60 % - Accent5 2 6 2 2 2" xfId="1053" xr:uid="{910ED362-E4CA-4610-B6B9-CDD349A53B42}"/>
    <cellStyle name="60 % - Accent5 2 6 2 2 2 2" xfId="2076" xr:uid="{D2BBAB9D-0FEC-4A03-991F-DE4EB39DB680}"/>
    <cellStyle name="60 % - Accent5 2 6 2 2 3" xfId="1568" xr:uid="{2DC8AC82-2F23-4384-A9CD-D4C340570185}"/>
    <cellStyle name="60 % - Accent5 2 6 2 3" xfId="799" xr:uid="{89A742EA-5AD7-4ADF-9B50-6D68441A0F81}"/>
    <cellStyle name="60 % - Accent5 2 6 2 3 2" xfId="1822" xr:uid="{6206DBDD-B49A-45DF-BDD0-6EEF88C9404C}"/>
    <cellStyle name="60 % - Accent5 2 6 2 4" xfId="1314" xr:uid="{0F2E2EA8-5B0D-4D7F-B772-DCB05F09202F}"/>
    <cellStyle name="60 % - Accent5 2 6 3" xfId="419" xr:uid="{310620AB-4ED9-4A32-AA3D-9837181EF452}"/>
    <cellStyle name="60 % - Accent5 2 6 3 2" xfId="927" xr:uid="{F49C8036-2DB7-42E2-8415-71DA2A1D9C06}"/>
    <cellStyle name="60 % - Accent5 2 6 3 2 2" xfId="1950" xr:uid="{19BF9CF6-899A-40A3-B806-0A65C92C80E4}"/>
    <cellStyle name="60 % - Accent5 2 6 3 3" xfId="1442" xr:uid="{D90205D6-A7D9-4DD1-84DD-B1AD6E267497}"/>
    <cellStyle name="60 % - Accent5 2 6 4" xfId="673" xr:uid="{ED8607AD-1F37-4838-A943-F13609BDD7D6}"/>
    <cellStyle name="60 % - Accent5 2 6 4 2" xfId="1696" xr:uid="{4EE2B6A4-79C0-4A07-B62A-EEC84B33BAD8}"/>
    <cellStyle name="60 % - Accent5 2 6 5" xfId="1189" xr:uid="{445CE8FA-A5AB-4485-A609-0DA39BD62927}"/>
    <cellStyle name="60 % - Accent5 2 7" xfId="183" xr:uid="{5E04F941-FF27-466F-A380-7CC97F13D910}"/>
    <cellStyle name="60 % - Accent5 2 7 2" xfId="440" xr:uid="{93896487-1E7F-4720-87DE-DA527A383860}"/>
    <cellStyle name="60 % - Accent5 2 7 2 2" xfId="948" xr:uid="{3498375C-5E19-497C-B986-08F37B7B5B8E}"/>
    <cellStyle name="60 % - Accent5 2 7 2 2 2" xfId="1971" xr:uid="{5B1B2251-AEEC-4C3D-A7FB-2D85A6FFFBA8}"/>
    <cellStyle name="60 % - Accent5 2 7 2 3" xfId="1463" xr:uid="{157C7549-F9A8-47E6-9637-FCD442C5D2D9}"/>
    <cellStyle name="60 % - Accent5 2 7 3" xfId="694" xr:uid="{CA800844-CC07-4F78-B793-66A99FAE5221}"/>
    <cellStyle name="60 % - Accent5 2 7 3 2" xfId="1717" xr:uid="{E0CA9BE5-2809-46E6-845A-144900352D3B}"/>
    <cellStyle name="60 % - Accent5 2 7 4" xfId="1209" xr:uid="{473EFCBA-D47C-44C3-A3B5-4ED27609AD12}"/>
    <cellStyle name="60 % - Accent5 2 8" xfId="314" xr:uid="{D5FBD2C9-ADA2-4C4E-A382-4FB64C8919BB}"/>
    <cellStyle name="60 % - Accent5 2 8 2" xfId="822" xr:uid="{C4DF0276-97FE-4925-90B3-C72B12D9F09A}"/>
    <cellStyle name="60 % - Accent5 2 8 2 2" xfId="1845" xr:uid="{7F6A4A67-92D4-47B9-A509-0E1008793114}"/>
    <cellStyle name="60 % - Accent5 2 8 3" xfId="1337" xr:uid="{F771DBD2-B712-49F0-A1D2-C3379C424957}"/>
    <cellStyle name="60 % - Accent5 2 9" xfId="568" xr:uid="{633AF7CE-0DDA-4EE9-A998-80935E0DADC5}"/>
    <cellStyle name="60 % - Accent5 2 9 2" xfId="1591" xr:uid="{4D82F99E-4ABB-470F-A0EF-0F916226F963}"/>
    <cellStyle name="60 % - Accent5 3" xfId="49" xr:uid="{C4E19FA1-9DBB-454F-9051-BC3C6D119268}"/>
    <cellStyle name="60 % - Accent6 2" xfId="58" xr:uid="{0943275A-BC21-4BE2-B39F-F906A904759C}"/>
    <cellStyle name="60 % - Accent6 2 10" xfId="1085" xr:uid="{6D7A9E63-A622-482F-B2E3-962AC329FC35}"/>
    <cellStyle name="60 % - Accent6 2 2" xfId="79" xr:uid="{4C2262D0-D5CE-448B-A241-F86A5B604FFC}"/>
    <cellStyle name="60 % - Accent6 2 2 2" xfId="205" xr:uid="{29A15AC6-D616-45F3-AB7D-B1738B3F91A3}"/>
    <cellStyle name="60 % - Accent6 2 2 2 2" xfId="462" xr:uid="{8A6E78F7-E09A-419B-9BCD-CE8ADFD3FE95}"/>
    <cellStyle name="60 % - Accent6 2 2 2 2 2" xfId="970" xr:uid="{CB8463C1-8770-4BD4-8795-137F26393417}"/>
    <cellStyle name="60 % - Accent6 2 2 2 2 2 2" xfId="1993" xr:uid="{F3CE27E5-9B3A-4F23-9078-73A645B1C23A}"/>
    <cellStyle name="60 % - Accent6 2 2 2 2 3" xfId="1485" xr:uid="{643EDEBF-B952-4007-A237-7C2734DAC448}"/>
    <cellStyle name="60 % - Accent6 2 2 2 3" xfId="716" xr:uid="{88ED2C2B-526A-448C-9876-B88E1C9C734D}"/>
    <cellStyle name="60 % - Accent6 2 2 2 3 2" xfId="1739" xr:uid="{F82016FC-24EB-4A2F-BC7B-51E62684BBB3}"/>
    <cellStyle name="60 % - Accent6 2 2 2 4" xfId="1231" xr:uid="{A999EAB9-2CAC-4D1C-97CB-1EA2CBA65FA0}"/>
    <cellStyle name="60 % - Accent6 2 2 3" xfId="336" xr:uid="{4DB746D2-8812-437D-8F8D-F35B5327F91D}"/>
    <cellStyle name="60 % - Accent6 2 2 3 2" xfId="844" xr:uid="{0B6A9A4C-08E8-4D1A-BDF8-FB93D23DE097}"/>
    <cellStyle name="60 % - Accent6 2 2 3 2 2" xfId="1867" xr:uid="{289CB688-8E10-4F14-B62C-BB6353E77221}"/>
    <cellStyle name="60 % - Accent6 2 2 3 3" xfId="1359" xr:uid="{7926E208-66AC-49C5-AA73-864D7CBD51F4}"/>
    <cellStyle name="60 % - Accent6 2 2 4" xfId="590" xr:uid="{56395B39-EE12-470D-BDB8-B56AD4455A20}"/>
    <cellStyle name="60 % - Accent6 2 2 4 2" xfId="1613" xr:uid="{A08C3722-4271-4107-9E2A-4A75210DBC65}"/>
    <cellStyle name="60 % - Accent6 2 2 5" xfId="1106" xr:uid="{FF0813F3-04E0-4822-A6BF-90A6E00B17D0}"/>
    <cellStyle name="60 % - Accent6 2 3" xfId="100" xr:uid="{98A6DA07-BB2F-41B1-B55A-F6532AFEFD1E}"/>
    <cellStyle name="60 % - Accent6 2 3 2" xfId="226" xr:uid="{95A89F5F-8697-470B-8DDA-AC9ECD4BE71B}"/>
    <cellStyle name="60 % - Accent6 2 3 2 2" xfId="483" xr:uid="{1396A75B-2E4B-4895-9306-4C5C8ED17769}"/>
    <cellStyle name="60 % - Accent6 2 3 2 2 2" xfId="991" xr:uid="{F8B65B3F-0663-4060-896F-DF925FF48462}"/>
    <cellStyle name="60 % - Accent6 2 3 2 2 2 2" xfId="2014" xr:uid="{0FB95588-9855-442B-81CA-1410C9CC55A5}"/>
    <cellStyle name="60 % - Accent6 2 3 2 2 3" xfId="1506" xr:uid="{A9492533-8A0F-4283-8093-9CA3EECCF5CD}"/>
    <cellStyle name="60 % - Accent6 2 3 2 3" xfId="737" xr:uid="{1EC7DEB8-EFE9-4488-8049-5283CBFB807C}"/>
    <cellStyle name="60 % - Accent6 2 3 2 3 2" xfId="1760" xr:uid="{62F17154-99BE-4E46-9D44-18DD0BF59BC2}"/>
    <cellStyle name="60 % - Accent6 2 3 2 4" xfId="1252" xr:uid="{A59F4452-0E30-4B25-AB43-B2CD0DD5C9F3}"/>
    <cellStyle name="60 % - Accent6 2 3 3" xfId="357" xr:uid="{099FEB97-0C99-44D7-924A-9D9244B11AA9}"/>
    <cellStyle name="60 % - Accent6 2 3 3 2" xfId="865" xr:uid="{3A61979D-2C5E-45F5-BE9B-56FFCEDF5628}"/>
    <cellStyle name="60 % - Accent6 2 3 3 2 2" xfId="1888" xr:uid="{E989AEE3-A276-4DEE-BBB6-BD3EBEBF1A2D}"/>
    <cellStyle name="60 % - Accent6 2 3 3 3" xfId="1380" xr:uid="{378F7A9B-2052-4FA5-B833-E5DE083E1E99}"/>
    <cellStyle name="60 % - Accent6 2 3 4" xfId="611" xr:uid="{43768128-66AA-4302-A5F0-8EB581970BF4}"/>
    <cellStyle name="60 % - Accent6 2 3 4 2" xfId="1634" xr:uid="{A21CA401-34EB-48C2-93E0-0683BE82EEC3}"/>
    <cellStyle name="60 % - Accent6 2 3 5" xfId="1127" xr:uid="{EC9B5AAE-417B-457F-ADAA-386741C0A1EF}"/>
    <cellStyle name="60 % - Accent6 2 4" xfId="121" xr:uid="{7C22999B-3831-4899-A734-2986EE616D1C}"/>
    <cellStyle name="60 % - Accent6 2 4 2" xfId="247" xr:uid="{3D16EAAC-03EB-401F-9541-3C5DA764381E}"/>
    <cellStyle name="60 % - Accent6 2 4 2 2" xfId="504" xr:uid="{B7284967-5B52-406B-97CD-41CB3B284FC5}"/>
    <cellStyle name="60 % - Accent6 2 4 2 2 2" xfId="1012" xr:uid="{66CA9D59-9040-4A6A-873F-B2F6B7FE8F6C}"/>
    <cellStyle name="60 % - Accent6 2 4 2 2 2 2" xfId="2035" xr:uid="{58EDF013-810C-4927-9270-54B13DA1AE46}"/>
    <cellStyle name="60 % - Accent6 2 4 2 2 3" xfId="1527" xr:uid="{3CAE13E1-AF7B-474A-942E-D6ACCDB10D0B}"/>
    <cellStyle name="60 % - Accent6 2 4 2 3" xfId="758" xr:uid="{28275AE0-85DC-46D8-8980-D7355D76E927}"/>
    <cellStyle name="60 % - Accent6 2 4 2 3 2" xfId="1781" xr:uid="{19A8341E-1201-4BB6-AF05-528C3BBA3050}"/>
    <cellStyle name="60 % - Accent6 2 4 2 4" xfId="1273" xr:uid="{89922949-0D9F-4A66-9838-83D94E456E4C}"/>
    <cellStyle name="60 % - Accent6 2 4 3" xfId="378" xr:uid="{9AA5B8B1-7462-4511-BBC6-E6E0513C3EC0}"/>
    <cellStyle name="60 % - Accent6 2 4 3 2" xfId="886" xr:uid="{C679AD78-AA17-49F9-BF77-444B11C71982}"/>
    <cellStyle name="60 % - Accent6 2 4 3 2 2" xfId="1909" xr:uid="{05B94AAB-9E83-49D6-A54D-E4CAA802811E}"/>
    <cellStyle name="60 % - Accent6 2 4 3 3" xfId="1401" xr:uid="{AC0028AE-883D-40C4-9CD7-9AAA8E2C2ADC}"/>
    <cellStyle name="60 % - Accent6 2 4 4" xfId="632" xr:uid="{50618882-C82D-4CC6-AD6D-2A6750DBB65B}"/>
    <cellStyle name="60 % - Accent6 2 4 4 2" xfId="1655" xr:uid="{115A9AAA-7B3C-4E4D-8C09-8A6232C90F95}"/>
    <cellStyle name="60 % - Accent6 2 4 5" xfId="1148" xr:uid="{3B89D7C5-7844-4F51-BB56-C4476AD2CC88}"/>
    <cellStyle name="60 % - Accent6 2 5" xfId="142" xr:uid="{4386A9BB-E9EE-40E4-A894-FBEC503E2A73}"/>
    <cellStyle name="60 % - Accent6 2 5 2" xfId="268" xr:uid="{FB6CF4E3-C8B1-48CC-A678-9CF538D25813}"/>
    <cellStyle name="60 % - Accent6 2 5 2 2" xfId="525" xr:uid="{A436A14E-E276-4EBB-9445-01F8BE5598BC}"/>
    <cellStyle name="60 % - Accent6 2 5 2 2 2" xfId="1033" xr:uid="{C74F5DA3-1DBA-470F-B554-5C74D925986A}"/>
    <cellStyle name="60 % - Accent6 2 5 2 2 2 2" xfId="2056" xr:uid="{6490B13E-3698-4870-A1D0-E622DECD7362}"/>
    <cellStyle name="60 % - Accent6 2 5 2 2 3" xfId="1548" xr:uid="{00B644BE-E4E7-4CEB-B68F-C100388B3837}"/>
    <cellStyle name="60 % - Accent6 2 5 2 3" xfId="779" xr:uid="{B465584B-7829-458C-9E46-0FEC20D49847}"/>
    <cellStyle name="60 % - Accent6 2 5 2 3 2" xfId="1802" xr:uid="{06491647-16A0-4F77-8145-7ACE73B26BCC}"/>
    <cellStyle name="60 % - Accent6 2 5 2 4" xfId="1294" xr:uid="{6FBF9512-0ACB-42CF-AA14-672069BE5AE9}"/>
    <cellStyle name="60 % - Accent6 2 5 3" xfId="399" xr:uid="{606AC9E4-185B-4636-8E43-AA293A4355CC}"/>
    <cellStyle name="60 % - Accent6 2 5 3 2" xfId="907" xr:uid="{5A37772A-1991-433B-973F-51C97D855101}"/>
    <cellStyle name="60 % - Accent6 2 5 3 2 2" xfId="1930" xr:uid="{E3FE30E3-4254-4BED-ABCE-1FD385396CCE}"/>
    <cellStyle name="60 % - Accent6 2 5 3 3" xfId="1422" xr:uid="{ADFB6F9C-84B9-4607-A65A-D236D5DDB478}"/>
    <cellStyle name="60 % - Accent6 2 5 4" xfId="653" xr:uid="{9D7E89F8-3292-478F-BD0B-9634C1FA41B6}"/>
    <cellStyle name="60 % - Accent6 2 5 4 2" xfId="1676" xr:uid="{1C9A97B8-4F53-4DD0-9D99-28CFD83DE032}"/>
    <cellStyle name="60 % - Accent6 2 5 5" xfId="1169" xr:uid="{D9CA98A4-5F63-4CAA-B5FB-6CED645F0761}"/>
    <cellStyle name="60 % - Accent6 2 6" xfId="163" xr:uid="{BF70056C-73F7-4AB6-B923-A5D6D4D5EDDD}"/>
    <cellStyle name="60 % - Accent6 2 6 2" xfId="289" xr:uid="{C421CEAA-212A-4A34-B004-E90778DFD1F8}"/>
    <cellStyle name="60 % - Accent6 2 6 2 2" xfId="546" xr:uid="{2146E907-36F7-4DFC-8A2A-7E07454D2B45}"/>
    <cellStyle name="60 % - Accent6 2 6 2 2 2" xfId="1054" xr:uid="{1071F0D5-C8B7-4ECA-99D2-80046540DF24}"/>
    <cellStyle name="60 % - Accent6 2 6 2 2 2 2" xfId="2077" xr:uid="{EE9B1EEF-A725-49E2-8ED9-26B7BE7A6FFD}"/>
    <cellStyle name="60 % - Accent6 2 6 2 2 3" xfId="1569" xr:uid="{CE08D463-925A-444B-B1AF-BE53425847E4}"/>
    <cellStyle name="60 % - Accent6 2 6 2 3" xfId="800" xr:uid="{F36EB5D1-E1E6-45B9-947B-A0406590C930}"/>
    <cellStyle name="60 % - Accent6 2 6 2 3 2" xfId="1823" xr:uid="{FDA2D7C3-41F1-43ED-818E-290562A78F0C}"/>
    <cellStyle name="60 % - Accent6 2 6 2 4" xfId="1315" xr:uid="{D2679722-65CB-4893-AA68-B7883E61821C}"/>
    <cellStyle name="60 % - Accent6 2 6 3" xfId="420" xr:uid="{8259B152-3198-4EBD-ADEA-B81D4F6F4BAE}"/>
    <cellStyle name="60 % - Accent6 2 6 3 2" xfId="928" xr:uid="{FDD409E5-2616-435A-9593-762E0D0D3D13}"/>
    <cellStyle name="60 % - Accent6 2 6 3 2 2" xfId="1951" xr:uid="{D424ADB5-C2F7-4B91-BDCB-6B784510CB7D}"/>
    <cellStyle name="60 % - Accent6 2 6 3 3" xfId="1443" xr:uid="{56BB7283-B233-4CDD-BB52-B3BE774AD336}"/>
    <cellStyle name="60 % - Accent6 2 6 4" xfId="674" xr:uid="{4DB9241D-7490-416E-A67D-F4080001D4AF}"/>
    <cellStyle name="60 % - Accent6 2 6 4 2" xfId="1697" xr:uid="{B978449A-CAB8-4966-8427-E3630E3983FD}"/>
    <cellStyle name="60 % - Accent6 2 6 5" xfId="1190" xr:uid="{8E7D6739-75B0-4A4E-B968-363372B6F81F}"/>
    <cellStyle name="60 % - Accent6 2 7" xfId="184" xr:uid="{9A6B8E57-AF4F-4C40-9801-78AB86AC0E1C}"/>
    <cellStyle name="60 % - Accent6 2 7 2" xfId="441" xr:uid="{984CD930-530C-4006-B6F1-F9F5FA99A374}"/>
    <cellStyle name="60 % - Accent6 2 7 2 2" xfId="949" xr:uid="{8625C152-B951-4123-A15B-56C8876AE997}"/>
    <cellStyle name="60 % - Accent6 2 7 2 2 2" xfId="1972" xr:uid="{03DF13D7-A5DC-40BA-A29F-28035F9BC6A7}"/>
    <cellStyle name="60 % - Accent6 2 7 2 3" xfId="1464" xr:uid="{E3BAAB7E-12AA-4BE4-AAC1-79FB160F6084}"/>
    <cellStyle name="60 % - Accent6 2 7 3" xfId="695" xr:uid="{81862084-0C13-48F8-8837-B27D6AE048E1}"/>
    <cellStyle name="60 % - Accent6 2 7 3 2" xfId="1718" xr:uid="{DE75C2C1-2A02-46E4-805F-DF44BF3B5D39}"/>
    <cellStyle name="60 % - Accent6 2 7 4" xfId="1210" xr:uid="{24311725-3AE3-4F28-9BFC-087C58A81535}"/>
    <cellStyle name="60 % - Accent6 2 8" xfId="315" xr:uid="{0C8E2934-A15C-4AF9-BC59-73E4C63B2F30}"/>
    <cellStyle name="60 % - Accent6 2 8 2" xfId="823" xr:uid="{BCC2293C-FBFB-4AD5-BBAA-173996EE4C53}"/>
    <cellStyle name="60 % - Accent6 2 8 2 2" xfId="1846" xr:uid="{54135870-619A-48FD-8EBE-BD9F80A3C6D5}"/>
    <cellStyle name="60 % - Accent6 2 8 3" xfId="1338" xr:uid="{AE053B48-AD7F-4567-8E7D-93B644578B4D}"/>
    <cellStyle name="60 % - Accent6 2 9" xfId="569" xr:uid="{CBB306CE-1CB5-4D22-A874-0D8AB04117F1}"/>
    <cellStyle name="60 % - Accent6 2 9 2" xfId="1592" xr:uid="{28974658-DF72-4130-B4B4-34E8BD2E1BB7}"/>
    <cellStyle name="60 % - Accent6 3" xfId="50" xr:uid="{37B8FE0B-7B6C-4182-99C7-085E10E98882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Avertissement" xfId="13" builtinId="11" customBuiltin="1"/>
    <cellStyle name="Calcul" xfId="10" builtinId="22" customBuiltin="1"/>
    <cellStyle name="Cellule liée" xfId="11" builtinId="24" customBuiltin="1"/>
    <cellStyle name="Entrée" xfId="8" builtinId="20" customBuiltin="1"/>
    <cellStyle name="Euro" xfId="290" xr:uid="{215BEEB9-1D04-43D1-89E9-F76868945276}"/>
    <cellStyle name="Euro 2" xfId="547" xr:uid="{B8BEA41A-2558-469A-AAD1-E4892753AFB7}"/>
    <cellStyle name="Euro 2 2" xfId="1055" xr:uid="{C4C27833-064A-4D41-A366-71D78355785A}"/>
    <cellStyle name="Euro 2 2 2" xfId="2078" xr:uid="{C895BA98-71D0-4C73-9AB6-09A0BB5FB249}"/>
    <cellStyle name="Euro 2 2 2 2" xfId="2093" xr:uid="{1841A531-3DEB-448E-A131-26C7824E3185}"/>
    <cellStyle name="Euro 2 2 3" xfId="1063" xr:uid="{4310AB84-81F4-4AF9-93F2-C0F68546C2C6}"/>
    <cellStyle name="Euro 2 2 4" xfId="2088" xr:uid="{B7654726-0701-4EF5-AC2E-D01A2F120386}"/>
    <cellStyle name="Euro 2 3" xfId="1570" xr:uid="{254621DA-1187-42E8-9864-92024E86F9DF}"/>
    <cellStyle name="Euro 2 3 2" xfId="2091" xr:uid="{90B92F87-C4BC-458A-A1A4-EB576F358606}"/>
    <cellStyle name="Euro 2 4" xfId="1061" xr:uid="{ED1483B2-9A0F-4BFA-B4EF-A9DB1C783791}"/>
    <cellStyle name="Euro 2 5" xfId="2086" xr:uid="{78BFB010-52A6-4E8F-9672-73EF816016E6}"/>
    <cellStyle name="Euro 3" xfId="801" xr:uid="{61B65822-963D-4F5B-8C75-4BA11E19F1CA}"/>
    <cellStyle name="Euro 3 2" xfId="1824" xr:uid="{BA7EEE2F-D29A-4D11-8AF6-5A1C068353EA}"/>
    <cellStyle name="Euro 3 2 2" xfId="2092" xr:uid="{11A6CDF0-FCE7-4884-94E3-EAAAB21DABDC}"/>
    <cellStyle name="Euro 3 3" xfId="1062" xr:uid="{96007DE6-0EFF-43A7-8B16-4F5FB9EA7366}"/>
    <cellStyle name="Euro 3 4" xfId="2087" xr:uid="{8F1FF304-AEA1-418B-B641-D1F1CA094E4B}"/>
    <cellStyle name="Euro 4" xfId="1057" xr:uid="{41E363B1-2B45-4057-B081-5E418C6987B4}"/>
    <cellStyle name="Euro 4 2" xfId="2080" xr:uid="{EA0A5D36-9F42-47DD-901D-97574BA36150}"/>
    <cellStyle name="Euro 4 2 2" xfId="2094" xr:uid="{BE1E7C21-1929-4FC8-8A4F-48A003B55187}"/>
    <cellStyle name="Euro 4 3" xfId="1064" xr:uid="{774BBC0A-DA96-4E8F-AF9A-9457D3D08898}"/>
    <cellStyle name="Euro 4 4" xfId="2089" xr:uid="{45799C21-5D83-4EFB-AE65-1986AEC65DE1}"/>
    <cellStyle name="Euro 5" xfId="1316" xr:uid="{BC0FBD8F-70DC-43E7-97BC-2F57794A82A6}"/>
    <cellStyle name="Euro 5 2" xfId="2090" xr:uid="{80544B55-574F-4415-B9C8-B960C055CC6E}"/>
    <cellStyle name="Euro 6" xfId="2083" xr:uid="{DDF92DF0-C289-4D34-B418-0CAB742D2291}"/>
    <cellStyle name="Euro 6 2" xfId="2095" xr:uid="{50381F1E-7C40-45CF-B01E-E1D25010489E}"/>
    <cellStyle name="Euro 7" xfId="1060" xr:uid="{CD9E2EA4-240B-411D-8304-5E0BB4BEA552}"/>
    <cellStyle name="Euro 8" xfId="2085" xr:uid="{90C3878A-2A3D-4A9F-B56C-B224BAAEA606}"/>
    <cellStyle name="Insatisfaisant" xfId="7" builtinId="27" customBuiltin="1"/>
    <cellStyle name="Milliers" xfId="1" builtinId="3"/>
    <cellStyle name="Milliers 2" xfId="41" xr:uid="{D0150930-866D-435D-96E5-A0ADE64FAA71}"/>
    <cellStyle name="Milliers 2 2" xfId="177" xr:uid="{369B1213-8C7B-4A0D-8537-DBABC9E59230}"/>
    <cellStyle name="Milliers 2 2 2" xfId="434" xr:uid="{7C80D2B0-2660-4DB3-8952-46C65DC6A391}"/>
    <cellStyle name="Milliers 2 2 2 2" xfId="942" xr:uid="{98B4B5D9-03C1-4E24-AF83-D4D9FDE88310}"/>
    <cellStyle name="Milliers 2 2 2 2 2" xfId="1965" xr:uid="{11249AC2-02EE-4CA0-8D4D-F88CFDCBC0BA}"/>
    <cellStyle name="Milliers 2 2 2 3" xfId="1457" xr:uid="{2EA616FD-0ADA-4B2D-B9F7-973E354A6D7C}"/>
    <cellStyle name="Milliers 2 2 3" xfId="688" xr:uid="{8F6BBFFB-5E6D-4306-89B9-165616213BF0}"/>
    <cellStyle name="Milliers 2 2 3 2" xfId="1711" xr:uid="{920A6E15-850D-4423-8C3D-D30A3866636A}"/>
    <cellStyle name="Milliers 2 2 4" xfId="1203" xr:uid="{3947B343-3DEF-487D-B30B-BC2F936F50DC}"/>
    <cellStyle name="Milliers 2 3" xfId="291" xr:uid="{82EC8B49-F0A5-4ED7-A155-2EFF34680862}"/>
    <cellStyle name="Milliers 2 4" xfId="308" xr:uid="{9FC14C50-617F-4F80-9FE9-D30176066667}"/>
    <cellStyle name="Milliers 2 4 2" xfId="816" xr:uid="{E7E45FB2-31BC-4E57-AD5E-139D8DB9AC3E}"/>
    <cellStyle name="Milliers 2 4 2 2" xfId="1839" xr:uid="{8C761C32-809C-40C1-837F-DB7DD4B83EFD}"/>
    <cellStyle name="Milliers 2 4 3" xfId="1331" xr:uid="{CD579516-8F9E-4E50-97D0-3EFF4D19AE7D}"/>
    <cellStyle name="Milliers 2 5" xfId="562" xr:uid="{4ABC69B8-A171-4966-A1B2-F860668922EC}"/>
    <cellStyle name="Milliers 2 5 2" xfId="1585" xr:uid="{E28D1C70-E033-47A9-8D7B-E264B42FEF8E}"/>
    <cellStyle name="Milliers 2 6" xfId="1078" xr:uid="{77A8E2C2-126E-419C-95AF-A4092487E31D}"/>
    <cellStyle name="Milliers 3" xfId="38" xr:uid="{A68E9FC5-B319-4E9B-905A-C91997E46237}"/>
    <cellStyle name="Milliers 4" xfId="60" xr:uid="{E2591189-6415-4C7C-8F77-9A1B75DE444D}"/>
    <cellStyle name="Milliers 4 2" xfId="186" xr:uid="{1DCD8D4F-498A-4861-ACA0-F2B16AB5D57E}"/>
    <cellStyle name="Milliers 4 2 2" xfId="443" xr:uid="{FFCCD9DB-2AA7-46B8-AB35-EE309785EA7E}"/>
    <cellStyle name="Milliers 4 2 2 2" xfId="951" xr:uid="{C7874F0B-5837-4679-A651-70DB4E344717}"/>
    <cellStyle name="Milliers 4 2 2 2 2" xfId="1974" xr:uid="{028AC29E-6A14-452A-B75F-4C82483620CE}"/>
    <cellStyle name="Milliers 4 2 2 3" xfId="1466" xr:uid="{58C15E02-15BE-4997-8206-168E872BE9CE}"/>
    <cellStyle name="Milliers 4 2 3" xfId="697" xr:uid="{4E2ADB97-2B74-4273-8CC5-53AC2DE3A8CE}"/>
    <cellStyle name="Milliers 4 2 3 2" xfId="1720" xr:uid="{878EE3CE-FF42-4D8C-8F29-4D04790F6119}"/>
    <cellStyle name="Milliers 4 2 4" xfId="1212" xr:uid="{CC847CD7-5C9C-4B43-9DFB-9A07F4A1999B}"/>
    <cellStyle name="Milliers 4 3" xfId="317" xr:uid="{54358EDC-EAFF-4EC4-A898-803EAD0B7455}"/>
    <cellStyle name="Milliers 4 3 2" xfId="825" xr:uid="{AA24A562-817A-4DF1-BD62-E253E164264A}"/>
    <cellStyle name="Milliers 4 3 2 2" xfId="1848" xr:uid="{03C03AE7-CA4F-46EF-A6FF-087726D3080D}"/>
    <cellStyle name="Milliers 4 3 3" xfId="1340" xr:uid="{822C1F09-8BD6-43E5-AAE8-87CEC1FA55D1}"/>
    <cellStyle name="Milliers 4 4" xfId="571" xr:uid="{7D6D32F7-8E40-4C3C-BD62-68BC76D486C6}"/>
    <cellStyle name="Milliers 4 4 2" xfId="1594" xr:uid="{F70D9EAE-9A94-4EB9-9639-ABCD41F16EAF}"/>
    <cellStyle name="Milliers 4 5" xfId="1087" xr:uid="{F0F5E61E-270E-49CE-99F6-F97E2BAF857B}"/>
    <cellStyle name="Milliers 5" xfId="81" xr:uid="{3C1E42A2-496A-4A1B-8C67-1ECC21E174FD}"/>
    <cellStyle name="Milliers 5 2" xfId="207" xr:uid="{98ED49B8-E92B-44E0-A422-32B3B1C177C9}"/>
    <cellStyle name="Milliers 5 2 2" xfId="464" xr:uid="{FB4C090B-F628-4EFD-9CC4-89D8D31A68F7}"/>
    <cellStyle name="Milliers 5 2 2 2" xfId="972" xr:uid="{6D3BE271-39D3-40F2-9204-0BF53D74344C}"/>
    <cellStyle name="Milliers 5 2 2 2 2" xfId="1995" xr:uid="{763E0832-6880-4C95-9A54-2461A45B355C}"/>
    <cellStyle name="Milliers 5 2 2 3" xfId="1487" xr:uid="{4E7CD93C-68E4-4080-8ED5-12D6045C3401}"/>
    <cellStyle name="Milliers 5 2 3" xfId="718" xr:uid="{9450B234-7D7D-4B39-856D-B4E7B032EACE}"/>
    <cellStyle name="Milliers 5 2 3 2" xfId="1741" xr:uid="{EEA1EEF1-F0CE-4EB9-94A3-D2B92F5AE809}"/>
    <cellStyle name="Milliers 5 2 4" xfId="1233" xr:uid="{520D04DE-0DF3-4B58-B526-7E52910D8CA2}"/>
    <cellStyle name="Milliers 5 3" xfId="338" xr:uid="{A9CD2578-A083-42F0-9DF3-F6029CE84D85}"/>
    <cellStyle name="Milliers 5 3 2" xfId="846" xr:uid="{E195C2F5-ABA6-4F06-8D8A-D2811654DFFA}"/>
    <cellStyle name="Milliers 5 3 2 2" xfId="1869" xr:uid="{18410F6F-18BD-402F-ACD3-D3E6A8F63AD2}"/>
    <cellStyle name="Milliers 5 3 3" xfId="1361" xr:uid="{8B47C1BA-186B-4468-9DBB-11480E84099E}"/>
    <cellStyle name="Milliers 5 4" xfId="592" xr:uid="{F04DD533-8233-4440-A319-95D359412512}"/>
    <cellStyle name="Milliers 5 4 2" xfId="1615" xr:uid="{0611FCE3-1938-4B1A-98B8-EC60EDABEB77}"/>
    <cellStyle name="Milliers 5 5" xfId="1108" xr:uid="{7DC0C68F-2F0C-4911-BA76-DEB8F2BB9FCC}"/>
    <cellStyle name="Milliers 6" xfId="102" xr:uid="{6F139482-D3E5-4D49-B77E-7C00DE0C3E60}"/>
    <cellStyle name="Milliers 6 2" xfId="228" xr:uid="{83955408-8126-4A51-8CAD-0B761016F978}"/>
    <cellStyle name="Milliers 6 2 2" xfId="485" xr:uid="{521AE568-FA42-4881-BD67-E3911E43E96B}"/>
    <cellStyle name="Milliers 6 2 2 2" xfId="993" xr:uid="{58B5BF85-58DF-46AE-9248-8F170F2AB4C9}"/>
    <cellStyle name="Milliers 6 2 2 2 2" xfId="2016" xr:uid="{311D865E-F264-4304-BA86-BAA0B1D76D2F}"/>
    <cellStyle name="Milliers 6 2 2 3" xfId="1508" xr:uid="{8A835FE7-7130-48A3-97D6-EBD6DD94B81C}"/>
    <cellStyle name="Milliers 6 2 3" xfId="739" xr:uid="{DA07694E-DECC-4384-9CF9-9EEA5E09532D}"/>
    <cellStyle name="Milliers 6 2 3 2" xfId="1762" xr:uid="{36529AC1-71E7-4FB8-A6FA-FB33C3781073}"/>
    <cellStyle name="Milliers 6 2 4" xfId="1254" xr:uid="{5883B6B6-B1FE-4F09-8B34-F3E111AA1EE6}"/>
    <cellStyle name="Milliers 6 3" xfId="359" xr:uid="{5FF8AB39-6D6D-4370-AC86-28BB4216C313}"/>
    <cellStyle name="Milliers 6 3 2" xfId="867" xr:uid="{516CBE7E-6159-4C49-94C0-21BA034936C1}"/>
    <cellStyle name="Milliers 6 3 2 2" xfId="1890" xr:uid="{241D6AFC-6E59-4AE4-9DF4-414B45E966CC}"/>
    <cellStyle name="Milliers 6 3 3" xfId="1382" xr:uid="{8CA7AE1B-08C0-4A3F-9806-5C9FBF5B1D83}"/>
    <cellStyle name="Milliers 6 4" xfId="613" xr:uid="{EC9F99FA-E049-4EC6-8C6F-E6DCA2089FE1}"/>
    <cellStyle name="Milliers 6 4 2" xfId="1636" xr:uid="{FF44F5D7-F40D-4E64-93AF-E52BDCD2BF98}"/>
    <cellStyle name="Milliers 6 5" xfId="1129" xr:uid="{73633385-3008-4923-AA98-CCFEC462FD6D}"/>
    <cellStyle name="Milliers 7" xfId="123" xr:uid="{83DFD475-647C-460A-AE2C-1C6561037F1C}"/>
    <cellStyle name="Milliers 7 2" xfId="249" xr:uid="{77AAEBA2-9EE1-46EF-8D91-8583191FC28B}"/>
    <cellStyle name="Milliers 7 2 2" xfId="506" xr:uid="{F2E1F3E5-E8E8-4CFD-AE55-8466AE628DAA}"/>
    <cellStyle name="Milliers 7 2 2 2" xfId="1014" xr:uid="{A2EC2C40-174D-4CE1-80B5-B74065F56264}"/>
    <cellStyle name="Milliers 7 2 2 2 2" xfId="2037" xr:uid="{52363935-6B0D-4C4E-8D1A-4BFFF581F162}"/>
    <cellStyle name="Milliers 7 2 2 3" xfId="1529" xr:uid="{B93B21CF-E3A4-4309-AC17-98FE2B2A18E3}"/>
    <cellStyle name="Milliers 7 2 3" xfId="760" xr:uid="{873AD16A-0691-4D00-833E-32B5E79DA2C9}"/>
    <cellStyle name="Milliers 7 2 3 2" xfId="1783" xr:uid="{36F4A50E-C70D-45C5-9C58-0DADB7DD97A0}"/>
    <cellStyle name="Milliers 7 2 4" xfId="1275" xr:uid="{75285FCF-279A-4C47-B224-90CD5BAFB413}"/>
    <cellStyle name="Milliers 7 3" xfId="380" xr:uid="{CF013930-0BCB-4193-8C79-73EF2A7F31DC}"/>
    <cellStyle name="Milliers 7 3 2" xfId="888" xr:uid="{8524775C-C621-425D-AE17-9C14AFB9A7C0}"/>
    <cellStyle name="Milliers 7 3 2 2" xfId="1911" xr:uid="{155E2D6E-DAB8-4D78-A797-CD0C3B1D8D69}"/>
    <cellStyle name="Milliers 7 3 3" xfId="1403" xr:uid="{A1BD73CF-CEB8-4962-879E-0CC4EE0E8C35}"/>
    <cellStyle name="Milliers 7 4" xfId="634" xr:uid="{D1FCD6DB-B627-48AE-9FE5-1D252022F7AE}"/>
    <cellStyle name="Milliers 7 4 2" xfId="1657" xr:uid="{7A334359-C67D-4398-86C0-2AC9CF496F71}"/>
    <cellStyle name="Milliers 7 5" xfId="1150" xr:uid="{374D4C4F-D604-47BA-AB89-AFB9A051FF11}"/>
    <cellStyle name="Milliers 8" xfId="144" xr:uid="{F3FB8023-52C7-4556-BE65-CAAA4ABBA244}"/>
    <cellStyle name="Milliers 8 2" xfId="270" xr:uid="{82438AA5-7E64-4F2E-829F-CDFD06F1EC56}"/>
    <cellStyle name="Milliers 8 2 2" xfId="527" xr:uid="{249F599A-19FD-403A-A7E0-4A5C02CF1380}"/>
    <cellStyle name="Milliers 8 2 2 2" xfId="1035" xr:uid="{C7A2C01C-2EBD-47E8-9726-AD2382A746C5}"/>
    <cellStyle name="Milliers 8 2 2 2 2" xfId="2058" xr:uid="{F7A5691A-CE95-4C22-8775-2C87C8E00EDA}"/>
    <cellStyle name="Milliers 8 2 2 3" xfId="1550" xr:uid="{6F95AADF-02D9-4C39-95BF-0B0ED2599A50}"/>
    <cellStyle name="Milliers 8 2 3" xfId="781" xr:uid="{629D5E77-802B-4E26-ABCF-2A05C69578C4}"/>
    <cellStyle name="Milliers 8 2 3 2" xfId="1804" xr:uid="{FD8407FD-0880-40C2-8F22-BF19FA613ED2}"/>
    <cellStyle name="Milliers 8 2 4" xfId="1296" xr:uid="{D1E43453-4734-4F0D-BE12-1D2AF866E914}"/>
    <cellStyle name="Milliers 8 3" xfId="401" xr:uid="{0A82A379-894F-4E02-81C4-85AF73EFACB6}"/>
    <cellStyle name="Milliers 8 3 2" xfId="909" xr:uid="{17768D94-1EC5-4319-9119-F18E0747A703}"/>
    <cellStyle name="Milliers 8 3 2 2" xfId="1932" xr:uid="{79F608D9-B56F-45F9-8640-EC5426C18610}"/>
    <cellStyle name="Milliers 8 3 3" xfId="1424" xr:uid="{ECC73C7A-8E7C-4FCB-B7F8-C33783D11C57}"/>
    <cellStyle name="Milliers 8 4" xfId="655" xr:uid="{6E690374-56E1-43C6-AD13-2D6F5DB2B16A}"/>
    <cellStyle name="Milliers 8 4 2" xfId="1678" xr:uid="{AA0AD39B-6633-4093-BE08-6D1B38DDCD59}"/>
    <cellStyle name="Milliers 8 5" xfId="1171" xr:uid="{742F6267-6770-4599-9F36-F700F76B631B}"/>
    <cellStyle name="Milliers 9" xfId="37" xr:uid="{724E92E0-0363-49A1-96AF-46B025A8DEBD}"/>
    <cellStyle name="Neutre 2" xfId="52" xr:uid="{82BD5950-65FE-4186-97A9-C7B8CF4492A4}"/>
    <cellStyle name="Neutre 3" xfId="43" xr:uid="{2B204F04-71C0-42D9-8FAD-2E1260BA4489}"/>
    <cellStyle name="Normal" xfId="0" builtinId="0"/>
    <cellStyle name="Normal 2" xfId="40" xr:uid="{BFB788B3-CB52-4D0F-9839-03CE2A9864A8}"/>
    <cellStyle name="Normal 2 2" xfId="34" xr:uid="{70A09995-EC23-49DD-928B-BA28112DEFFE}"/>
    <cellStyle name="Normal 2 2 2" xfId="39" xr:uid="{E5BFF6BD-EAA4-4B5F-9633-8BFAEFC1BEDC}"/>
    <cellStyle name="Normal 2 2 3" xfId="433" xr:uid="{CB070D48-F890-4FE9-915D-BABB5E518C0E}"/>
    <cellStyle name="Normal 2 2 3 2" xfId="941" xr:uid="{76A430E9-62E4-4596-8527-342E0E61A113}"/>
    <cellStyle name="Normal 2 2 3 2 2" xfId="1964" xr:uid="{2DDD8B73-EA49-4C07-9DFB-457D5B884ADC}"/>
    <cellStyle name="Normal 2 2 3 3" xfId="1456" xr:uid="{E13F7731-F004-41CD-8EFD-BBDD1897AFE4}"/>
    <cellStyle name="Normal 2 2 4" xfId="687" xr:uid="{68BC534B-CDCB-45E1-8982-5D85A2CA5699}"/>
    <cellStyle name="Normal 2 2 4 2" xfId="1710" xr:uid="{EE736235-FB34-4E75-80AF-D3A43D8CE5C5}"/>
    <cellStyle name="Normal 2 2 5" xfId="176" xr:uid="{A5F77725-FF6C-4B48-BD33-1D170A7CBBA9}"/>
    <cellStyle name="Normal 2 3" xfId="307" xr:uid="{06A08A17-E6F4-4EDD-9000-32B5F99CBFD1}"/>
    <cellStyle name="Normal 2 3 2" xfId="815" xr:uid="{B27C280F-C641-4EF8-AA5C-4CB6C1399AB7}"/>
    <cellStyle name="Normal 2 3 2 2" xfId="1838" xr:uid="{92E1F6F5-C3CF-43D4-A54B-324D4E588831}"/>
    <cellStyle name="Normal 2 3 3" xfId="1330" xr:uid="{44D0F2B8-EFB5-475E-806A-F2E9905ABA52}"/>
    <cellStyle name="Normal 2 4" xfId="561" xr:uid="{B18DE14D-CBF6-4C92-98C6-C74ED5CFA356}"/>
    <cellStyle name="Normal 2 4 2" xfId="1584" xr:uid="{39741909-754A-4C7C-A330-C63AAC04C926}"/>
    <cellStyle name="Normal 2 5" xfId="1077" xr:uid="{59A089EA-13BE-4D79-8CFF-AB01A8AF3494}"/>
    <cellStyle name="Normal 3" xfId="59" xr:uid="{E9C5D415-786E-40CB-B06B-6CE4D62FADCB}"/>
    <cellStyle name="Normal 3 2" xfId="185" xr:uid="{2D83BFF1-AFB2-4776-B35D-825E46AB723D}"/>
    <cellStyle name="Normal 3 2 2" xfId="442" xr:uid="{ADACBE0D-4306-49B5-B5C6-D5959AF0713A}"/>
    <cellStyle name="Normal 3 2 2 2" xfId="950" xr:uid="{AB8D06D2-EA58-4ADC-8145-E210D023D96A}"/>
    <cellStyle name="Normal 3 2 2 2 2" xfId="1973" xr:uid="{B7AAB2A9-5581-4C48-9BFA-CDDB93F2EA21}"/>
    <cellStyle name="Normal 3 2 2 3" xfId="1465" xr:uid="{CDE8219F-6BD6-4751-9A64-3AD8EA255280}"/>
    <cellStyle name="Normal 3 2 3" xfId="696" xr:uid="{AA0D40B9-E83D-4D14-800D-40C71A74E20B}"/>
    <cellStyle name="Normal 3 2 3 2" xfId="1719" xr:uid="{64167984-5A9A-442C-96AE-8F9883D736F5}"/>
    <cellStyle name="Normal 3 2 4" xfId="1211" xr:uid="{731BEC9C-245A-4AC2-BE16-32F9B7534D10}"/>
    <cellStyle name="Normal 3 3" xfId="292" xr:uid="{C00EB541-175A-4A60-BBF4-026639C5FF54}"/>
    <cellStyle name="Normal 3 4" xfId="316" xr:uid="{06211181-21E8-4790-A9FA-EACA96B842FF}"/>
    <cellStyle name="Normal 3 4 2" xfId="824" xr:uid="{4B69DB7A-0281-4646-A5CD-C305E2A2BBAF}"/>
    <cellStyle name="Normal 3 4 2 2" xfId="1847" xr:uid="{49F00FEA-4AC4-47DC-AE7F-599925609A69}"/>
    <cellStyle name="Normal 3 4 3" xfId="1339" xr:uid="{42AF56CB-D711-4224-903F-A2F80FC761A8}"/>
    <cellStyle name="Normal 3 5" xfId="570" xr:uid="{D92C81D4-3684-457D-A211-500F55FCF562}"/>
    <cellStyle name="Normal 3 5 2" xfId="1593" xr:uid="{AAE20566-73FE-4920-A729-3E011B888B1D}"/>
    <cellStyle name="Normal 3 6" xfId="1086" xr:uid="{F0157600-94D3-4CF5-BA66-3475F547898C}"/>
    <cellStyle name="Normal 4" xfId="80" xr:uid="{21409B27-B6F7-4E10-85D0-4BCBE79D771B}"/>
    <cellStyle name="Normal 4 2" xfId="206" xr:uid="{98FE7C83-5246-465A-8050-0B3A7A8AD592}"/>
    <cellStyle name="Normal 4 2 2" xfId="463" xr:uid="{9FC05347-8313-4ADA-82C0-AD36C70ED1DE}"/>
    <cellStyle name="Normal 4 2 2 2" xfId="971" xr:uid="{D961550B-BE73-49EB-8422-2B86272F7C89}"/>
    <cellStyle name="Normal 4 2 2 2 2" xfId="1994" xr:uid="{6DBC52CC-3B41-4B19-8B9B-4BEE5473C8BC}"/>
    <cellStyle name="Normal 4 2 2 3" xfId="1486" xr:uid="{81B82A47-B3DA-4970-9F24-4F509807B782}"/>
    <cellStyle name="Normal 4 2 3" xfId="717" xr:uid="{00036F5B-4085-491B-9CAE-DC743CFC175E}"/>
    <cellStyle name="Normal 4 2 3 2" xfId="1740" xr:uid="{67DA929C-54A5-4F1E-BF78-2B2CD3A1F6D3}"/>
    <cellStyle name="Normal 4 2 4" xfId="1232" xr:uid="{65BDA1AF-3BFE-40FB-8FD2-0840FF419D3D}"/>
    <cellStyle name="Normal 4 3" xfId="337" xr:uid="{B27DF156-7461-4C22-A971-5044725E6EA4}"/>
    <cellStyle name="Normal 4 3 2" xfId="845" xr:uid="{FC786F5D-D4E0-4AD3-8E49-D3C344ABCB12}"/>
    <cellStyle name="Normal 4 3 2 2" xfId="1868" xr:uid="{4FE24866-A8F5-449E-AC8B-D6DBB44A67B7}"/>
    <cellStyle name="Normal 4 3 3" xfId="1360" xr:uid="{3E31B675-17AB-478E-9DE7-701FD84CB8E2}"/>
    <cellStyle name="Normal 4 4" xfId="591" xr:uid="{B93ACD95-05C2-4F60-BFEB-2A87A3077BBA}"/>
    <cellStyle name="Normal 4 4 2" xfId="1614" xr:uid="{0B4E275C-773C-442C-96A7-2371DC2EABA9}"/>
    <cellStyle name="Normal 4 5" xfId="1107" xr:uid="{E617475A-84B2-42ED-8AA8-42F35ADCB761}"/>
    <cellStyle name="Normal 5" xfId="101" xr:uid="{8D77756C-F7FB-4638-A2DE-734914381241}"/>
    <cellStyle name="Normal 5 2" xfId="227" xr:uid="{86C2018E-8CC0-4D3A-934A-F3A8E6CFE8E8}"/>
    <cellStyle name="Normal 5 2 2" xfId="484" xr:uid="{4D9BA492-A1CA-4530-8D69-2941659FCB73}"/>
    <cellStyle name="Normal 5 2 2 2" xfId="992" xr:uid="{5B0D2114-B16E-4532-91A0-F38828388B50}"/>
    <cellStyle name="Normal 5 2 2 2 2" xfId="2015" xr:uid="{786B50BF-4E4A-480A-AE2F-7963327C3237}"/>
    <cellStyle name="Normal 5 2 2 3" xfId="1507" xr:uid="{754329EC-2FA8-4AF6-9A22-344AF99AD6BD}"/>
    <cellStyle name="Normal 5 2 3" xfId="738" xr:uid="{0F991EF3-B5D8-41E3-A715-EF2240EB5A4B}"/>
    <cellStyle name="Normal 5 2 3 2" xfId="1761" xr:uid="{6B465D30-2D5E-41EB-9442-264BC0466F05}"/>
    <cellStyle name="Normal 5 2 4" xfId="1253" xr:uid="{E80E9374-99CE-42E3-9EE3-C84FED3E373C}"/>
    <cellStyle name="Normal 5 3" xfId="358" xr:uid="{9CB4C8CD-EB2D-4D14-A636-FCC95473A266}"/>
    <cellStyle name="Normal 5 3 2" xfId="866" xr:uid="{1DD021B4-A2A7-4D1A-BAB7-4C31B1A918EE}"/>
    <cellStyle name="Normal 5 3 2 2" xfId="1889" xr:uid="{0799172F-A306-4614-8CD3-EC86A3221594}"/>
    <cellStyle name="Normal 5 3 3" xfId="1381" xr:uid="{4150CCEB-4AAC-42E6-9BB9-C525080BFA93}"/>
    <cellStyle name="Normal 5 4" xfId="612" xr:uid="{D1967817-0E0A-45D6-87BF-D7885619CC24}"/>
    <cellStyle name="Normal 5 4 2" xfId="1635" xr:uid="{A0F79589-E342-4085-A575-2D439DA49DA8}"/>
    <cellStyle name="Normal 5 5" xfId="1128" xr:uid="{285ACC45-2A9E-47BA-8BC8-6380FEB62D33}"/>
    <cellStyle name="Normal 6" xfId="36" xr:uid="{11CD054E-815F-4887-9FBE-35770C19FA7F}"/>
    <cellStyle name="Normal 7" xfId="122" xr:uid="{563C6302-E20E-40FE-986A-3694756EAB62}"/>
    <cellStyle name="Normal 7 2" xfId="248" xr:uid="{C4AC96A2-CB21-4EF6-AB92-AE288B9F0424}"/>
    <cellStyle name="Normal 7 2 2" xfId="505" xr:uid="{23DE361C-6751-4729-A54D-CD85CA5CFB1A}"/>
    <cellStyle name="Normal 7 2 2 2" xfId="1013" xr:uid="{F8ACC6FF-B4C3-4699-9264-BB88E08CCD58}"/>
    <cellStyle name="Normal 7 2 2 2 2" xfId="2036" xr:uid="{B8B8B0DD-7516-48E1-9C3A-C9027D131B1C}"/>
    <cellStyle name="Normal 7 2 2 3" xfId="1528" xr:uid="{16A35C61-C359-4652-A3AE-C451B4208AE1}"/>
    <cellStyle name="Normal 7 2 3" xfId="759" xr:uid="{2333570D-739F-4375-A413-DEC7A76ECBDF}"/>
    <cellStyle name="Normal 7 2 3 2" xfId="1782" xr:uid="{9DE138E9-9C5E-4A91-BDFB-25F727C717AE}"/>
    <cellStyle name="Normal 7 2 4" xfId="1274" xr:uid="{2E97B5C2-9457-44B0-8D7F-C8E4A09B4CCC}"/>
    <cellStyle name="Normal 7 3" xfId="379" xr:uid="{14C2565C-5B1A-44FD-90B1-0D0272077838}"/>
    <cellStyle name="Normal 7 3 2" xfId="887" xr:uid="{DA2271AB-8441-42C7-8DA7-5A0D69DCCACE}"/>
    <cellStyle name="Normal 7 3 2 2" xfId="1910" xr:uid="{E193F020-DF36-4DDC-903D-050304528A83}"/>
    <cellStyle name="Normal 7 3 3" xfId="1402" xr:uid="{8E2C0D71-22EB-44CC-B94F-0F3B4BC7CA91}"/>
    <cellStyle name="Normal 7 4" xfId="633" xr:uid="{3439CB65-A376-443A-9AAF-88899809D5B0}"/>
    <cellStyle name="Normal 7 4 2" xfId="1656" xr:uid="{70B3E9CC-D5DF-4742-BD62-73AED9CE892F}"/>
    <cellStyle name="Normal 7 5" xfId="1149" xr:uid="{6D866023-AB0B-4130-A594-2649BCB16C5A}"/>
    <cellStyle name="Normal 8" xfId="143" xr:uid="{C0B61440-6CCC-4F81-B70C-3DAA4D016AEC}"/>
    <cellStyle name="Normal 8 2" xfId="269" xr:uid="{3EE3A872-3FBB-4B37-9C13-B0D5DE195038}"/>
    <cellStyle name="Normal 8 2 2" xfId="526" xr:uid="{C31F9DB4-9ACB-4834-95F9-D2D176CE2735}"/>
    <cellStyle name="Normal 8 2 2 2" xfId="1034" xr:uid="{DE5AEC9E-4EC1-40E0-B639-7DF7D6F53CAF}"/>
    <cellStyle name="Normal 8 2 2 2 2" xfId="2057" xr:uid="{8EB0684A-5439-4A5A-8B4D-F1C671D26BF0}"/>
    <cellStyle name="Normal 8 2 2 3" xfId="1549" xr:uid="{A09ED1B4-85FA-464D-815B-05666A29E768}"/>
    <cellStyle name="Normal 8 2 3" xfId="780" xr:uid="{78A02309-42F7-4EF8-9F36-7A1AECEAF104}"/>
    <cellStyle name="Normal 8 2 3 2" xfId="1803" xr:uid="{FBE3CF81-129C-4345-8204-D27DD4C3EF5B}"/>
    <cellStyle name="Normal 8 2 4" xfId="1295" xr:uid="{795F1FBC-DB95-41D2-9C92-380455CCA34B}"/>
    <cellStyle name="Normal 8 3" xfId="400" xr:uid="{EC570BB3-96CE-45FB-9C28-7DF545B0406F}"/>
    <cellStyle name="Normal 8 3 2" xfId="908" xr:uid="{174BEDAA-44E0-444F-914A-32A7DC32A0A7}"/>
    <cellStyle name="Normal 8 3 2 2" xfId="1931" xr:uid="{707A9660-1791-4C9A-AC2D-E364983FE9AC}"/>
    <cellStyle name="Normal 8 3 3" xfId="1423" xr:uid="{571E08DD-8503-4102-9E9B-EB6EF9BF4BBF}"/>
    <cellStyle name="Normal 8 4" xfId="654" xr:uid="{3425AF5F-C1E6-49C6-8986-415B8205CF50}"/>
    <cellStyle name="Normal 8 4 2" xfId="1677" xr:uid="{26AB1104-4F2D-45A7-9496-88F2A732731E}"/>
    <cellStyle name="Normal 8 5" xfId="1170" xr:uid="{1B863A0F-6E9D-4188-94C8-67F52625BC7D}"/>
    <cellStyle name="Normal 9" xfId="35" xr:uid="{286A9359-9572-469E-ABBA-D9AFEFF64E28}"/>
    <cellStyle name="Normal 9 2" xfId="2082" xr:uid="{C48DD86B-2DA1-49AB-9671-3C8615378D8D}"/>
    <cellStyle name="Note 2" xfId="44" xr:uid="{116D3861-3AD4-4C19-823B-916F254DCAA5}"/>
    <cellStyle name="Note 2 2" xfId="178" xr:uid="{4AB74CE5-76CF-4B6D-ABD2-E8BAE7E1CC0E}"/>
    <cellStyle name="Note 2 2 2" xfId="435" xr:uid="{E76CBFA2-BE38-4CDA-A42D-E6C5A4E33D39}"/>
    <cellStyle name="Note 2 2 2 2" xfId="943" xr:uid="{C2473117-B49D-4257-877C-C11B4C3B5096}"/>
    <cellStyle name="Note 2 2 2 2 2" xfId="1966" xr:uid="{6DDF15FE-BD67-4A19-BEDF-D879B8D192A8}"/>
    <cellStyle name="Note 2 2 2 3" xfId="1458" xr:uid="{9D82DB41-BF41-4A79-AB7B-A7E326DBC789}"/>
    <cellStyle name="Note 2 2 3" xfId="689" xr:uid="{DF9B9503-B722-4FC2-8012-11918020C16F}"/>
    <cellStyle name="Note 2 2 3 2" xfId="1712" xr:uid="{4BE685FE-1BC3-4A92-8077-A84054E042A4}"/>
    <cellStyle name="Note 2 2 4" xfId="1204" xr:uid="{4DF95668-D11B-4F30-89D8-52AB4DBC6A68}"/>
    <cellStyle name="Note 2 3" xfId="309" xr:uid="{D2D279B2-2BEA-45CA-949A-871BE3C4B184}"/>
    <cellStyle name="Note 2 3 2" xfId="817" xr:uid="{57AA7448-795A-4B7D-BE9F-5A280D29898F}"/>
    <cellStyle name="Note 2 3 2 2" xfId="1840" xr:uid="{A40360E9-10F1-4423-A1B3-8A4A6FFCCAED}"/>
    <cellStyle name="Note 2 3 3" xfId="1332" xr:uid="{B8B068EF-04C6-44DA-9DE7-C4ACC92DC283}"/>
    <cellStyle name="Note 2 4" xfId="563" xr:uid="{4C1C4526-D25D-43B7-95F7-D3BBB909E6D6}"/>
    <cellStyle name="Note 2 4 2" xfId="1586" xr:uid="{F13E35E6-D5AE-48D4-AA97-C517CCE9BC33}"/>
    <cellStyle name="Note 2 5" xfId="1079" xr:uid="{2CE7AAED-A707-4880-BED6-8C2FACAEB33D}"/>
    <cellStyle name="Note 3" xfId="61" xr:uid="{2F34E01D-6A46-4D6D-A5F0-62A0ED259D03}"/>
    <cellStyle name="Note 3 2" xfId="187" xr:uid="{87C277A2-9DB2-4F43-B487-7191EB6605E9}"/>
    <cellStyle name="Note 3 2 2" xfId="444" xr:uid="{EB96ECDF-E83E-4FCE-869F-52CB3472FCC3}"/>
    <cellStyle name="Note 3 2 2 2" xfId="952" xr:uid="{D6349602-E766-468A-8539-2D846E89BCD9}"/>
    <cellStyle name="Note 3 2 2 2 2" xfId="1975" xr:uid="{3FB3B0BF-D0B7-401D-BA82-A34D1B83CBFB}"/>
    <cellStyle name="Note 3 2 2 3" xfId="1467" xr:uid="{850934B0-182A-4C56-9AEC-478AF6070C00}"/>
    <cellStyle name="Note 3 2 3" xfId="698" xr:uid="{29743BB1-2EC0-4BA4-A844-DDE6CA2C25AB}"/>
    <cellStyle name="Note 3 2 3 2" xfId="1721" xr:uid="{604C8F09-E8AC-4FBE-95B5-8C092AC8B530}"/>
    <cellStyle name="Note 3 2 4" xfId="1213" xr:uid="{34F3CDC8-1F49-4365-AF9B-29934561C61B}"/>
    <cellStyle name="Note 3 3" xfId="318" xr:uid="{F6917ABC-E1DC-442A-A4DA-CE167EEF5834}"/>
    <cellStyle name="Note 3 3 2" xfId="826" xr:uid="{DD988DDA-C921-4389-BC71-8C5DD7016553}"/>
    <cellStyle name="Note 3 3 2 2" xfId="1849" xr:uid="{B99636DC-BCD4-452C-9CAC-F8F551F11CDB}"/>
    <cellStyle name="Note 3 3 3" xfId="1341" xr:uid="{DF3C9D46-233F-4F49-A51E-269C0D0B61A3}"/>
    <cellStyle name="Note 3 4" xfId="572" xr:uid="{83B2548F-87D4-43DB-8D04-ABFD0986318F}"/>
    <cellStyle name="Note 3 4 2" xfId="1595" xr:uid="{264E2A02-0CEE-433B-99D2-08DF15388FC8}"/>
    <cellStyle name="Note 3 5" xfId="1088" xr:uid="{7B04D776-06E2-401A-94ED-D3BCBB992913}"/>
    <cellStyle name="Note 4" xfId="82" xr:uid="{4B4B7C2C-0B6F-4E49-BE67-55B8E7D15CBB}"/>
    <cellStyle name="Note 4 2" xfId="208" xr:uid="{4EC9F55D-482D-42DA-B911-C10343209EFC}"/>
    <cellStyle name="Note 4 2 2" xfId="465" xr:uid="{2FB41B8B-A960-47DF-8C42-3E3D678E00C0}"/>
    <cellStyle name="Note 4 2 2 2" xfId="973" xr:uid="{21BE53A1-1730-4E52-9BB3-8C86857FA8D8}"/>
    <cellStyle name="Note 4 2 2 2 2" xfId="1996" xr:uid="{6E624281-3A22-47DB-9B81-64AF851C1762}"/>
    <cellStyle name="Note 4 2 2 3" xfId="1488" xr:uid="{E4C1D198-9BD2-4E18-8679-072D42AD6FD6}"/>
    <cellStyle name="Note 4 2 3" xfId="719" xr:uid="{57F5E97E-E219-4DFB-989B-B634F7D74760}"/>
    <cellStyle name="Note 4 2 3 2" xfId="1742" xr:uid="{1705B3A9-4F81-4988-99A0-49C42FB27B48}"/>
    <cellStyle name="Note 4 2 4" xfId="1234" xr:uid="{3598AEE8-72F5-4F2B-A1F2-6684F912B745}"/>
    <cellStyle name="Note 4 3" xfId="339" xr:uid="{A09B9071-8C16-4762-88FD-AC6ECCAACD5F}"/>
    <cellStyle name="Note 4 3 2" xfId="847" xr:uid="{6AA05973-7632-48CD-A171-476D29F72C45}"/>
    <cellStyle name="Note 4 3 2 2" xfId="1870" xr:uid="{1130BDC5-A06A-401E-9881-B14BE32ECCB1}"/>
    <cellStyle name="Note 4 3 3" xfId="1362" xr:uid="{AFF405FF-71C2-4E31-9047-5593E2113630}"/>
    <cellStyle name="Note 4 4" xfId="593" xr:uid="{7B67EB05-68CE-42B7-8487-F4A48218343E}"/>
    <cellStyle name="Note 4 4 2" xfId="1616" xr:uid="{0A97C372-D0F0-43FA-9611-563E36758438}"/>
    <cellStyle name="Note 4 5" xfId="1109" xr:uid="{F24BDDC4-56C1-4498-A962-52A077BF483A}"/>
    <cellStyle name="Note 5" xfId="103" xr:uid="{E5D04A54-83AF-4A8E-B954-813627FB534A}"/>
    <cellStyle name="Note 5 2" xfId="229" xr:uid="{6C87CE64-7A83-456A-8914-BDDAF89DE7AC}"/>
    <cellStyle name="Note 5 2 2" xfId="486" xr:uid="{DA507095-F054-4215-BDB8-4B3AD3881F56}"/>
    <cellStyle name="Note 5 2 2 2" xfId="994" xr:uid="{4E07BFF7-09B6-4FBB-8A05-D19707541EA5}"/>
    <cellStyle name="Note 5 2 2 2 2" xfId="2017" xr:uid="{5631323D-F18E-44A3-A94A-7A84E3023BF3}"/>
    <cellStyle name="Note 5 2 2 3" xfId="1509" xr:uid="{D67AC54F-9151-447B-AE3C-33038751698A}"/>
    <cellStyle name="Note 5 2 3" xfId="740" xr:uid="{6BB92FFD-2337-442B-B534-948A84C1235F}"/>
    <cellStyle name="Note 5 2 3 2" xfId="1763" xr:uid="{EECA74EC-3E32-45FD-908D-C2960E39C842}"/>
    <cellStyle name="Note 5 2 4" xfId="1255" xr:uid="{5667561D-7AC8-43E7-BC22-269C802436C6}"/>
    <cellStyle name="Note 5 3" xfId="360" xr:uid="{5FEC70C2-5DBB-4437-9A80-6BC42DC80939}"/>
    <cellStyle name="Note 5 3 2" xfId="868" xr:uid="{B10F9D30-4FF9-48F5-B5EA-451B78AD6F6A}"/>
    <cellStyle name="Note 5 3 2 2" xfId="1891" xr:uid="{35C6F1B7-34E2-4A6E-855F-D90B5A86B8F9}"/>
    <cellStyle name="Note 5 3 3" xfId="1383" xr:uid="{7DC044DA-DDF8-47A8-98F4-5EAA85B73ADB}"/>
    <cellStyle name="Note 5 4" xfId="614" xr:uid="{6DB8C1FA-F07F-4F2E-9983-05F9F61F81B2}"/>
    <cellStyle name="Note 5 4 2" xfId="1637" xr:uid="{0188A7F4-2AE9-45C7-8AF1-7EEDFE602BD2}"/>
    <cellStyle name="Note 5 5" xfId="1130" xr:uid="{FD5780B0-68C0-404B-8C0F-C88164A3910F}"/>
    <cellStyle name="Note 6" xfId="124" xr:uid="{61EAEA0B-4601-4C39-8D46-91416541A8EE}"/>
    <cellStyle name="Note 6 2" xfId="250" xr:uid="{5D27B834-7DFE-4F9F-8731-BDFE038E3073}"/>
    <cellStyle name="Note 6 2 2" xfId="507" xr:uid="{1CDD060B-37E0-4393-9C37-3B1F3AA0BF6E}"/>
    <cellStyle name="Note 6 2 2 2" xfId="1015" xr:uid="{09988A7E-5EC6-4279-8590-5420B0A874CB}"/>
    <cellStyle name="Note 6 2 2 2 2" xfId="2038" xr:uid="{C6D9D9E3-85CE-4DBA-B8ED-818BBF059A33}"/>
    <cellStyle name="Note 6 2 2 3" xfId="1530" xr:uid="{96A262FF-5DBA-4CA2-AC6A-94E97E4163BB}"/>
    <cellStyle name="Note 6 2 3" xfId="761" xr:uid="{D3C4D1FD-40DB-41CF-82AB-1537F16B8DEA}"/>
    <cellStyle name="Note 6 2 3 2" xfId="1784" xr:uid="{3186057B-B1D9-4B44-AB59-C4E50AEBFEE1}"/>
    <cellStyle name="Note 6 2 4" xfId="1276" xr:uid="{A8C7B065-91C3-4BED-B928-E2CCA15BD2FB}"/>
    <cellStyle name="Note 6 3" xfId="381" xr:uid="{FAB8899A-7671-4321-896D-78DCD238E026}"/>
    <cellStyle name="Note 6 3 2" xfId="889" xr:uid="{2C455722-83CD-45E2-A8A7-B62E4253BCD5}"/>
    <cellStyle name="Note 6 3 2 2" xfId="1912" xr:uid="{26C479CF-E6D4-4B82-B9BC-003B84D6C64D}"/>
    <cellStyle name="Note 6 3 3" xfId="1404" xr:uid="{1845486D-3E61-41FD-9409-293F4D2BC98D}"/>
    <cellStyle name="Note 6 4" xfId="635" xr:uid="{8DE55B0F-F3C6-4477-8356-4F4F637A731A}"/>
    <cellStyle name="Note 6 4 2" xfId="1658" xr:uid="{15868368-8191-462D-9312-EBF66AD4CB61}"/>
    <cellStyle name="Note 6 5" xfId="1151" xr:uid="{8BCEA625-F707-4857-B414-CB46923FBCEF}"/>
    <cellStyle name="Note 7" xfId="145" xr:uid="{0EDE54C3-D02A-4451-8964-34425867AC17}"/>
    <cellStyle name="Note 7 2" xfId="271" xr:uid="{F8AEC100-CE38-4895-B5BC-844E96F443D7}"/>
    <cellStyle name="Note 7 2 2" xfId="528" xr:uid="{F21A1BE8-6BA9-4B08-B5D3-088A403C39DE}"/>
    <cellStyle name="Note 7 2 2 2" xfId="1036" xr:uid="{59BE0BFC-E5D5-4562-896A-7E0C278845C6}"/>
    <cellStyle name="Note 7 2 2 2 2" xfId="2059" xr:uid="{D5AAC159-10B6-4675-98BD-EC7381A5C618}"/>
    <cellStyle name="Note 7 2 2 3" xfId="1551" xr:uid="{33774EA0-C159-4AB3-9708-008BA29BEEB4}"/>
    <cellStyle name="Note 7 2 3" xfId="782" xr:uid="{18103A72-CF24-4AB6-BAE4-9717FF66FC99}"/>
    <cellStyle name="Note 7 2 3 2" xfId="1805" xr:uid="{2EAE0368-F9C7-4E88-8306-593322CF8D18}"/>
    <cellStyle name="Note 7 2 4" xfId="1297" xr:uid="{660E71A3-94B5-4AC0-ABAC-69B223A8BAA4}"/>
    <cellStyle name="Note 7 3" xfId="402" xr:uid="{4D730C1A-7355-4895-9065-DB3CA59A3A54}"/>
    <cellStyle name="Note 7 3 2" xfId="910" xr:uid="{74C1A7F3-5985-4AE2-B295-D486BE656B6D}"/>
    <cellStyle name="Note 7 3 2 2" xfId="1933" xr:uid="{05253F4D-3C03-405F-9E48-6816435B3EED}"/>
    <cellStyle name="Note 7 3 3" xfId="1425" xr:uid="{B8C8F858-9286-41F7-9B5C-44C6E5230704}"/>
    <cellStyle name="Note 7 4" xfId="656" xr:uid="{6BB8CB58-61FC-42CD-A2EA-EEC48C55FA5D}"/>
    <cellStyle name="Note 7 4 2" xfId="1679" xr:uid="{6042FF00-791B-489B-A34E-A6E4480BE4F0}"/>
    <cellStyle name="Note 7 5" xfId="1172" xr:uid="{1AD681E6-8F8E-4407-98CF-75DD528A770F}"/>
    <cellStyle name="Pourcentage" xfId="1059" builtinId="5"/>
    <cellStyle name="Pourcentage 2" xfId="293" xr:uid="{ECFE68C6-AA60-4CF5-B10B-DF7055CB7840}"/>
    <cellStyle name="Pourcentage 3" xfId="294" xr:uid="{CBE5D1BF-CCEF-48D7-A22B-CE38264CFA58}"/>
    <cellStyle name="Pourcentage 3 2" xfId="548" xr:uid="{3B7B604A-F582-479A-88B1-556D3FFF8BF7}"/>
    <cellStyle name="Pourcentage 3 2 2" xfId="1056" xr:uid="{AB0E6670-8E07-4D94-9CCF-2CD96F61C272}"/>
    <cellStyle name="Pourcentage 3 2 2 2" xfId="2079" xr:uid="{2B16854C-E7B5-44D6-812F-71500DD1708D}"/>
    <cellStyle name="Pourcentage 3 2 3" xfId="1571" xr:uid="{FA37D424-AC91-41F9-9380-D817601BAEBD}"/>
    <cellStyle name="Pourcentage 3 3" xfId="802" xr:uid="{ECADD459-DABA-421C-9368-48A16711878A}"/>
    <cellStyle name="Pourcentage 3 3 2" xfId="1825" xr:uid="{6F930225-BE13-46DE-985E-42E6FEEBE78E}"/>
    <cellStyle name="Pourcentage 3 4" xfId="1058" xr:uid="{229646C7-BD55-4931-8DEB-599B60A8E0FF}"/>
    <cellStyle name="Pourcentage 3 4 2" xfId="2081" xr:uid="{CF75B7AD-59A6-4570-9D13-B622F6359DEE}"/>
    <cellStyle name="Pourcentage 3 5" xfId="1317" xr:uid="{58AFAB90-5576-43B9-B5A9-27477C159BB0}"/>
    <cellStyle name="Pourcentage 3 6" xfId="2084" xr:uid="{96B52E01-F64B-43D4-BEB8-FEC1C3C29F00}"/>
    <cellStyle name="Satisfaisant" xfId="6" builtinId="26" customBuiltin="1"/>
    <cellStyle name="Sortie" xfId="9" builtinId="21" customBuiltin="1"/>
    <cellStyle name="Texte explicatif" xfId="14" builtinId="53" customBuiltin="1"/>
    <cellStyle name="Titre 2" xfId="51" xr:uid="{208D32B4-1DA8-4899-B204-EA0B5575C0F2}"/>
    <cellStyle name="Titre 3" xfId="42" xr:uid="{85CEDEB8-B76E-4C4E-B71A-1CA1845FDFCC}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5" builtinId="25" customBuiltin="1"/>
    <cellStyle name="Vérification" xfId="12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Evolution du Marché Monétaire Domestique 2024 - 2025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Feuil1!$D$11</c:f>
              <c:strCache>
                <c:ptCount val="1"/>
                <c:pt idx="0">
                  <c:v>Encours Valeur du Trésor Public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Feuil1!$C$12:$C$24</c:f>
              <c:strCache>
                <c:ptCount val="1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  <c:pt idx="12">
                  <c:v>Janvier</c:v>
                </c:pt>
              </c:strCache>
            </c:strRef>
          </c:cat>
          <c:val>
            <c:numRef>
              <c:f>Feuil1!$D$12:$D$24</c:f>
              <c:numCache>
                <c:formatCode>_-* #\ ##0_-;\-* #\ ##0_-;_-* "-"??_-;_-@_-</c:formatCode>
                <c:ptCount val="13"/>
                <c:pt idx="0">
                  <c:v>9724</c:v>
                </c:pt>
                <c:pt idx="1">
                  <c:v>10929</c:v>
                </c:pt>
                <c:pt idx="2">
                  <c:v>11529</c:v>
                </c:pt>
                <c:pt idx="3">
                  <c:v>12289.4</c:v>
                </c:pt>
                <c:pt idx="4">
                  <c:v>12413.68</c:v>
                </c:pt>
                <c:pt idx="5">
                  <c:v>12555.4</c:v>
                </c:pt>
                <c:pt idx="6">
                  <c:v>11802.2</c:v>
                </c:pt>
                <c:pt idx="7">
                  <c:v>14273.17</c:v>
                </c:pt>
                <c:pt idx="8">
                  <c:v>14010.97</c:v>
                </c:pt>
                <c:pt idx="9">
                  <c:v>16056.77</c:v>
                </c:pt>
                <c:pt idx="10">
                  <c:v>16136</c:v>
                </c:pt>
                <c:pt idx="11">
                  <c:v>16677</c:v>
                </c:pt>
                <c:pt idx="12">
                  <c:v>16631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8-4693-9FEA-2E306883FD3E}"/>
            </c:ext>
          </c:extLst>
        </c:ser>
        <c:ser>
          <c:idx val="1"/>
          <c:order val="1"/>
          <c:tx>
            <c:strRef>
              <c:f>Feuil1!$E$11</c:f>
              <c:strCache>
                <c:ptCount val="1"/>
                <c:pt idx="0">
                  <c:v>Opérations de Politique Monétaire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Feuil1!$C$12:$C$24</c:f>
              <c:strCache>
                <c:ptCount val="1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  <c:pt idx="12">
                  <c:v>Janvier</c:v>
                </c:pt>
              </c:strCache>
            </c:strRef>
          </c:cat>
          <c:val>
            <c:numRef>
              <c:f>Feuil1!$E$12:$E$24</c:f>
              <c:numCache>
                <c:formatCode>_-* #\ ##0_-;\-* #\ ##0_-;_-* "-"??_-;_-@_-</c:formatCode>
                <c:ptCount val="13"/>
                <c:pt idx="0">
                  <c:v>10460</c:v>
                </c:pt>
                <c:pt idx="1">
                  <c:v>9430</c:v>
                </c:pt>
                <c:pt idx="2">
                  <c:v>11960</c:v>
                </c:pt>
                <c:pt idx="3">
                  <c:v>10580</c:v>
                </c:pt>
                <c:pt idx="4">
                  <c:v>12640</c:v>
                </c:pt>
                <c:pt idx="5">
                  <c:v>13382.3</c:v>
                </c:pt>
                <c:pt idx="6">
                  <c:v>11410</c:v>
                </c:pt>
                <c:pt idx="7">
                  <c:v>9722</c:v>
                </c:pt>
                <c:pt idx="8">
                  <c:v>13497</c:v>
                </c:pt>
                <c:pt idx="9">
                  <c:v>13500</c:v>
                </c:pt>
                <c:pt idx="10">
                  <c:v>13479</c:v>
                </c:pt>
                <c:pt idx="11">
                  <c:v>16120</c:v>
                </c:pt>
                <c:pt idx="12">
                  <c:v>13460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C8-4693-9FEA-2E306883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829216"/>
        <c:axId val="82826816"/>
      </c:barChart>
      <c:lineChart>
        <c:grouping val="standard"/>
        <c:varyColors val="0"/>
        <c:ser>
          <c:idx val="2"/>
          <c:order val="2"/>
          <c:tx>
            <c:strRef>
              <c:f>Feuil1!$G$11</c:f>
              <c:strCache>
                <c:ptCount val="1"/>
                <c:pt idx="0">
                  <c:v>Liquidité Banques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Feuil1!$C$12:$C$24</c:f>
              <c:strCache>
                <c:ptCount val="1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  <c:pt idx="12">
                  <c:v>Janvier</c:v>
                </c:pt>
              </c:strCache>
            </c:strRef>
          </c:cat>
          <c:val>
            <c:numRef>
              <c:f>Feuil1!$G$12:$G$24</c:f>
              <c:numCache>
                <c:formatCode>_-* #\ ##0_-;\-* #\ ##0_-;_-* "-"??_-;_-@_-</c:formatCode>
                <c:ptCount val="13"/>
                <c:pt idx="0">
                  <c:v>9327</c:v>
                </c:pt>
                <c:pt idx="1">
                  <c:v>8559.8247385300001</c:v>
                </c:pt>
                <c:pt idx="2">
                  <c:v>6269.7415867400005</c:v>
                </c:pt>
                <c:pt idx="3">
                  <c:v>9687.8347422499992</c:v>
                </c:pt>
                <c:pt idx="4">
                  <c:v>9492.4823468199993</c:v>
                </c:pt>
                <c:pt idx="5">
                  <c:v>9112.1602041399983</c:v>
                </c:pt>
                <c:pt idx="6">
                  <c:v>9956.0861055999994</c:v>
                </c:pt>
                <c:pt idx="7">
                  <c:v>13083.203082</c:v>
                </c:pt>
                <c:pt idx="8">
                  <c:v>9406.538151499999</c:v>
                </c:pt>
                <c:pt idx="9">
                  <c:v>11279.234</c:v>
                </c:pt>
                <c:pt idx="10">
                  <c:v>12847.014635250001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C8-4693-9FEA-2E306883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29216"/>
        <c:axId val="8282681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Feuil1!$F$11</c15:sqref>
                        </c15:formulaRef>
                      </c:ext>
                    </c:extLst>
                    <c:strCache>
                      <c:ptCount val="1"/>
                      <c:pt idx="0">
                        <c:v>Facilités de dépôt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Feuil1!$C$12:$C$24</c15:sqref>
                        </c15:formulaRef>
                      </c:ext>
                    </c:extLst>
                    <c:strCache>
                      <c:ptCount val="13"/>
                      <c:pt idx="0">
                        <c:v>Janvier</c:v>
                      </c:pt>
                      <c:pt idx="1">
                        <c:v>Février</c:v>
                      </c:pt>
                      <c:pt idx="2">
                        <c:v>Mars</c:v>
                      </c:pt>
                      <c:pt idx="3">
                        <c:v>Avril</c:v>
                      </c:pt>
                      <c:pt idx="4">
                        <c:v>Mai</c:v>
                      </c:pt>
                      <c:pt idx="5">
                        <c:v>Juin</c:v>
                      </c:pt>
                      <c:pt idx="6">
                        <c:v>Juillet</c:v>
                      </c:pt>
                      <c:pt idx="7">
                        <c:v>Août</c:v>
                      </c:pt>
                      <c:pt idx="8">
                        <c:v>Septembre</c:v>
                      </c:pt>
                      <c:pt idx="9">
                        <c:v>Octobre</c:v>
                      </c:pt>
                      <c:pt idx="10">
                        <c:v>Novembre</c:v>
                      </c:pt>
                      <c:pt idx="11">
                        <c:v>Décembre</c:v>
                      </c:pt>
                      <c:pt idx="12">
                        <c:v>Janvier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Feuil1!$F$12:$F$24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3"/>
                      <c:pt idx="5">
                        <c:v>1900</c:v>
                      </c:pt>
                      <c:pt idx="6" formatCode="_-* #\ ##0.0_-;\-* #\ ##0.0_-;_-* &quot;-&quot;??_-;_-@_-">
                        <c:v>1680</c:v>
                      </c:pt>
                      <c:pt idx="7" formatCode="_-* #\ ##0.0_-;\-* #\ ##0.0_-;_-* &quot;-&quot;??_-;_-@_-">
                        <c:v>3172</c:v>
                      </c:pt>
                      <c:pt idx="8" formatCode="_-* #\ ##0.0_-;\-* #\ ##0.0_-;_-* &quot;-&quot;??_-;_-@_-">
                        <c:v>4197</c:v>
                      </c:pt>
                      <c:pt idx="9" formatCode="_-* #\ ##0.0_-;\-* #\ ##0.0_-;_-* &quot;-&quot;??_-;_-@_-">
                        <c:v>3600</c:v>
                      </c:pt>
                      <c:pt idx="10" formatCode="_-* #\ ##0.0_-;\-* #\ ##0.0_-;_-* &quot;-&quot;??_-;_-@_-">
                        <c:v>3479.25</c:v>
                      </c:pt>
                      <c:pt idx="11">
                        <c:v>6620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3D2-4875-8378-B3B170DD36A5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Feuil1!$H$11</c:f>
              <c:strCache>
                <c:ptCount val="1"/>
                <c:pt idx="0">
                  <c:v>Réserves Libres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Feuil1!$C$12:$C$24</c:f>
              <c:strCache>
                <c:ptCount val="1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  <c:pt idx="12">
                  <c:v>Janvier</c:v>
                </c:pt>
              </c:strCache>
            </c:strRef>
          </c:cat>
          <c:val>
            <c:numRef>
              <c:f>Feuil1!$H$12:$H$24</c:f>
              <c:numCache>
                <c:formatCode>_-* #\ ##0_-;\-* #\ ##0_-;_-* "-"??_-;_-@_-</c:formatCode>
                <c:ptCount val="13"/>
                <c:pt idx="0">
                  <c:v>2035.9504086255297</c:v>
                </c:pt>
                <c:pt idx="1">
                  <c:v>1059.9603494633459</c:v>
                </c:pt>
                <c:pt idx="2">
                  <c:v>-1289.3397439288963</c:v>
                </c:pt>
                <c:pt idx="3">
                  <c:v>2003.2018571033502</c:v>
                </c:pt>
                <c:pt idx="4">
                  <c:v>1613.9723468200004</c:v>
                </c:pt>
                <c:pt idx="5">
                  <c:v>1109.1811205263175</c:v>
                </c:pt>
                <c:pt idx="6">
                  <c:v>1961.8457196670536</c:v>
                </c:pt>
                <c:pt idx="7">
                  <c:v>4729.3632732732458</c:v>
                </c:pt>
                <c:pt idx="8">
                  <c:v>513.3713809059127</c:v>
                </c:pt>
                <c:pt idx="9">
                  <c:v>2025.5462870379506</c:v>
                </c:pt>
                <c:pt idx="10">
                  <c:v>3637.6048670201944</c:v>
                </c:pt>
                <c:pt idx="11">
                  <c:v>1439</c:v>
                </c:pt>
                <c:pt idx="12">
                  <c:v>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C8-4693-9FEA-2E306883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385568"/>
        <c:axId val="1265388928"/>
      </c:lineChart>
      <c:catAx>
        <c:axId val="8282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26816"/>
        <c:crosses val="autoZero"/>
        <c:auto val="1"/>
        <c:lblAlgn val="ctr"/>
        <c:lblOffset val="100"/>
        <c:noMultiLvlLbl val="0"/>
      </c:catAx>
      <c:valAx>
        <c:axId val="828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29216"/>
        <c:crosses val="autoZero"/>
        <c:crossBetween val="between"/>
      </c:valAx>
      <c:valAx>
        <c:axId val="1265388928"/>
        <c:scaling>
          <c:orientation val="minMax"/>
        </c:scaling>
        <c:delete val="0"/>
        <c:axPos val="r"/>
        <c:numFmt formatCode="_-* #\ ##0_-;\-* #\ 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5385568"/>
        <c:crosses val="max"/>
        <c:crossBetween val="between"/>
      </c:valAx>
      <c:catAx>
        <c:axId val="1265385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538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Liquidité Bancaire et OMO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Feuil1!$D$46</c:f>
              <c:strCache>
                <c:ptCount val="1"/>
                <c:pt idx="0">
                  <c:v>Liquidité Banques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Feuil1!$C$47:$C$57</c:f>
              <c:strCache>
                <c:ptCount val="11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</c:strCache>
            </c:strRef>
          </c:cat>
          <c:val>
            <c:numRef>
              <c:f>Feuil1!$D$47:$D$57</c:f>
              <c:numCache>
                <c:formatCode>_-* #\ ##0_-;\-* #\ ##0_-;_-* "-"??_-;_-@_-</c:formatCode>
                <c:ptCount val="11"/>
                <c:pt idx="0">
                  <c:v>9327</c:v>
                </c:pt>
                <c:pt idx="1">
                  <c:v>8559.8247385300001</c:v>
                </c:pt>
                <c:pt idx="2">
                  <c:v>6269.7415867400005</c:v>
                </c:pt>
                <c:pt idx="3">
                  <c:v>9687.8347422499992</c:v>
                </c:pt>
                <c:pt idx="4">
                  <c:v>9492.4823468199993</c:v>
                </c:pt>
                <c:pt idx="5">
                  <c:v>9112.1602041399983</c:v>
                </c:pt>
                <c:pt idx="6">
                  <c:v>9956.0861055999994</c:v>
                </c:pt>
                <c:pt idx="7">
                  <c:v>13083.203082</c:v>
                </c:pt>
                <c:pt idx="8">
                  <c:v>9406.538151499999</c:v>
                </c:pt>
                <c:pt idx="9">
                  <c:v>11279.234</c:v>
                </c:pt>
                <c:pt idx="10">
                  <c:v>12847.014635250001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7C2-BE7A-47E991B82435}"/>
            </c:ext>
          </c:extLst>
        </c:ser>
        <c:ser>
          <c:idx val="1"/>
          <c:order val="1"/>
          <c:tx>
            <c:strRef>
              <c:f>Feuil1!$E$46</c:f>
              <c:strCache>
                <c:ptCount val="1"/>
                <c:pt idx="0">
                  <c:v>Encours des reprises de liquidité de la BCM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Feuil1!$C$47:$C$57</c:f>
              <c:strCache>
                <c:ptCount val="11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</c:strCache>
            </c:strRef>
          </c:cat>
          <c:val>
            <c:numRef>
              <c:f>Feuil1!$E$47:$E$57</c:f>
              <c:numCache>
                <c:formatCode>_-* #\ ##0_-;\-* #\ ##0_-;_-* "-"??_-;_-@_-</c:formatCode>
                <c:ptCount val="11"/>
                <c:pt idx="0">
                  <c:v>10460</c:v>
                </c:pt>
                <c:pt idx="1">
                  <c:v>9430</c:v>
                </c:pt>
                <c:pt idx="2">
                  <c:v>11960</c:v>
                </c:pt>
                <c:pt idx="3">
                  <c:v>10580</c:v>
                </c:pt>
                <c:pt idx="4">
                  <c:v>12640</c:v>
                </c:pt>
                <c:pt idx="5">
                  <c:v>11482.3</c:v>
                </c:pt>
                <c:pt idx="6">
                  <c:v>9730</c:v>
                </c:pt>
                <c:pt idx="7">
                  <c:v>6550</c:v>
                </c:pt>
                <c:pt idx="8">
                  <c:v>9300</c:v>
                </c:pt>
                <c:pt idx="9">
                  <c:v>9900</c:v>
                </c:pt>
                <c:pt idx="1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C-47C2-BE7A-47E991B82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438253375"/>
        <c:axId val="1438250495"/>
      </c:barChart>
      <c:lineChart>
        <c:grouping val="standard"/>
        <c:varyColors val="0"/>
        <c:ser>
          <c:idx val="2"/>
          <c:order val="2"/>
          <c:tx>
            <c:strRef>
              <c:f>Feuil1!$G$46</c:f>
              <c:strCache>
                <c:ptCount val="1"/>
                <c:pt idx="0">
                  <c:v>Réserves Libres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Feuil1!$C$47:$C$57</c:f>
              <c:strCache>
                <c:ptCount val="11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</c:strCache>
            </c:strRef>
          </c:cat>
          <c:val>
            <c:numRef>
              <c:f>Feuil1!$G$47:$G$57</c:f>
              <c:numCache>
                <c:formatCode>_-* #\ ##0_-;\-* #\ ##0_-;_-* "-"??_-;_-@_-</c:formatCode>
                <c:ptCount val="11"/>
                <c:pt idx="0">
                  <c:v>2035.9504086255297</c:v>
                </c:pt>
                <c:pt idx="1">
                  <c:v>1059.9603494633459</c:v>
                </c:pt>
                <c:pt idx="2">
                  <c:v>-1289.3397439288963</c:v>
                </c:pt>
                <c:pt idx="3">
                  <c:v>2003.2018571033502</c:v>
                </c:pt>
                <c:pt idx="4">
                  <c:v>1613.9723468200004</c:v>
                </c:pt>
                <c:pt idx="5">
                  <c:v>1109.1811205263175</c:v>
                </c:pt>
                <c:pt idx="6">
                  <c:v>1961.8457196670536</c:v>
                </c:pt>
                <c:pt idx="7">
                  <c:v>4729.3632732732458</c:v>
                </c:pt>
                <c:pt idx="8">
                  <c:v>513.3713809059127</c:v>
                </c:pt>
                <c:pt idx="9">
                  <c:v>2025.5462870379506</c:v>
                </c:pt>
                <c:pt idx="10">
                  <c:v>3637.6048670201944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6C-47C2-BE7A-47E991B82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253375"/>
        <c:axId val="1438250495"/>
      </c:lineChart>
      <c:lineChart>
        <c:grouping val="standard"/>
        <c:varyColors val="0"/>
        <c:ser>
          <c:idx val="3"/>
          <c:order val="3"/>
          <c:tx>
            <c:strRef>
              <c:f>Feuil1!$H$46</c:f>
              <c:strCache>
                <c:ptCount val="1"/>
                <c:pt idx="0">
                  <c:v>TMP OMO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Feuil1!$C$47:$C$57</c:f>
              <c:strCache>
                <c:ptCount val="11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</c:strCache>
            </c:strRef>
          </c:cat>
          <c:val>
            <c:numRef>
              <c:f>Feuil1!$H$47:$H$57</c:f>
              <c:numCache>
                <c:formatCode>General</c:formatCode>
                <c:ptCount val="11"/>
                <c:pt idx="0">
                  <c:v>7.59</c:v>
                </c:pt>
                <c:pt idx="1">
                  <c:v>7.47</c:v>
                </c:pt>
                <c:pt idx="2">
                  <c:v>7.76</c:v>
                </c:pt>
                <c:pt idx="3">
                  <c:v>7.83</c:v>
                </c:pt>
                <c:pt idx="4">
                  <c:v>7.72</c:v>
                </c:pt>
                <c:pt idx="5">
                  <c:v>7.75</c:v>
                </c:pt>
                <c:pt idx="6">
                  <c:v>7.69</c:v>
                </c:pt>
                <c:pt idx="7">
                  <c:v>7.25</c:v>
                </c:pt>
                <c:pt idx="8">
                  <c:v>6.58</c:v>
                </c:pt>
                <c:pt idx="9">
                  <c:v>5.93</c:v>
                </c:pt>
                <c:pt idx="10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6C-47C2-BE7A-47E991B82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2056223"/>
        <c:axId val="1742050463"/>
      </c:lineChart>
      <c:catAx>
        <c:axId val="143825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8250495"/>
        <c:crosses val="autoZero"/>
        <c:auto val="1"/>
        <c:lblAlgn val="ctr"/>
        <c:lblOffset val="100"/>
        <c:noMultiLvlLbl val="0"/>
      </c:catAx>
      <c:valAx>
        <c:axId val="143825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8253375"/>
        <c:crosses val="autoZero"/>
        <c:crossBetween val="between"/>
      </c:valAx>
      <c:valAx>
        <c:axId val="174205046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2056223"/>
        <c:crosses val="max"/>
        <c:crossBetween val="between"/>
      </c:valAx>
      <c:catAx>
        <c:axId val="17420562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2050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Marché Monétaire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Feuil2!$D$5</c:f>
              <c:strCache>
                <c:ptCount val="1"/>
                <c:pt idx="0">
                  <c:v>Reprises de Liquidité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Pt>
            <c:idx val="121"/>
            <c:bubble3D val="0"/>
            <c:spPr>
              <a:solidFill>
                <a:schemeClr val="accent3"/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6F-487D-BBCD-84F4E6AF13C6}"/>
              </c:ext>
            </c:extLst>
          </c:dPt>
          <c:cat>
            <c:numRef>
              <c:f>Feuil2!$A$6:$A$181</c:f>
              <c:numCache>
                <c:formatCode>m/d/yyyy</c:formatCode>
                <c:ptCount val="176"/>
                <c:pt idx="0">
                  <c:v>45470</c:v>
                </c:pt>
                <c:pt idx="1">
                  <c:v>45471</c:v>
                </c:pt>
                <c:pt idx="2">
                  <c:v>45474</c:v>
                </c:pt>
                <c:pt idx="3">
                  <c:v>45475</c:v>
                </c:pt>
                <c:pt idx="4">
                  <c:v>45476</c:v>
                </c:pt>
                <c:pt idx="5">
                  <c:v>45477</c:v>
                </c:pt>
                <c:pt idx="6">
                  <c:v>45478</c:v>
                </c:pt>
                <c:pt idx="7">
                  <c:v>45482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45509</c:v>
                </c:pt>
                <c:pt idx="24">
                  <c:v>45510</c:v>
                </c:pt>
                <c:pt idx="25">
                  <c:v>45511</c:v>
                </c:pt>
                <c:pt idx="26">
                  <c:v>45512</c:v>
                </c:pt>
                <c:pt idx="27">
                  <c:v>45513</c:v>
                </c:pt>
                <c:pt idx="28">
                  <c:v>45516</c:v>
                </c:pt>
                <c:pt idx="29">
                  <c:v>45518</c:v>
                </c:pt>
                <c:pt idx="30">
                  <c:v>45519</c:v>
                </c:pt>
                <c:pt idx="31">
                  <c:v>45520</c:v>
                </c:pt>
                <c:pt idx="32">
                  <c:v>45523</c:v>
                </c:pt>
                <c:pt idx="33">
                  <c:v>45524</c:v>
                </c:pt>
                <c:pt idx="34">
                  <c:v>45525</c:v>
                </c:pt>
                <c:pt idx="35">
                  <c:v>45526</c:v>
                </c:pt>
                <c:pt idx="36">
                  <c:v>45527</c:v>
                </c:pt>
                <c:pt idx="37">
                  <c:v>45530</c:v>
                </c:pt>
                <c:pt idx="38">
                  <c:v>45531</c:v>
                </c:pt>
                <c:pt idx="39">
                  <c:v>45532</c:v>
                </c:pt>
                <c:pt idx="40">
                  <c:v>45533</c:v>
                </c:pt>
                <c:pt idx="41">
                  <c:v>45534</c:v>
                </c:pt>
                <c:pt idx="42">
                  <c:v>45537</c:v>
                </c:pt>
                <c:pt idx="43">
                  <c:v>45538</c:v>
                </c:pt>
                <c:pt idx="44">
                  <c:v>45539</c:v>
                </c:pt>
                <c:pt idx="45">
                  <c:v>45540</c:v>
                </c:pt>
                <c:pt idx="46">
                  <c:v>45541</c:v>
                </c:pt>
                <c:pt idx="47">
                  <c:v>45544</c:v>
                </c:pt>
                <c:pt idx="48">
                  <c:v>45545</c:v>
                </c:pt>
                <c:pt idx="49">
                  <c:v>45546</c:v>
                </c:pt>
                <c:pt idx="50">
                  <c:v>45547</c:v>
                </c:pt>
                <c:pt idx="51">
                  <c:v>45548</c:v>
                </c:pt>
                <c:pt idx="52">
                  <c:v>45552</c:v>
                </c:pt>
                <c:pt idx="53">
                  <c:v>45553</c:v>
                </c:pt>
                <c:pt idx="54">
                  <c:v>45554</c:v>
                </c:pt>
                <c:pt idx="55">
                  <c:v>45555</c:v>
                </c:pt>
                <c:pt idx="56">
                  <c:v>45558</c:v>
                </c:pt>
                <c:pt idx="57">
                  <c:v>45559</c:v>
                </c:pt>
                <c:pt idx="58">
                  <c:v>45560</c:v>
                </c:pt>
                <c:pt idx="59">
                  <c:v>45561</c:v>
                </c:pt>
                <c:pt idx="60">
                  <c:v>45562</c:v>
                </c:pt>
                <c:pt idx="61">
                  <c:v>45565</c:v>
                </c:pt>
                <c:pt idx="62">
                  <c:v>45566</c:v>
                </c:pt>
                <c:pt idx="63">
                  <c:v>45567</c:v>
                </c:pt>
                <c:pt idx="64">
                  <c:v>45568</c:v>
                </c:pt>
                <c:pt idx="65">
                  <c:v>45569</c:v>
                </c:pt>
                <c:pt idx="66">
                  <c:v>45572</c:v>
                </c:pt>
                <c:pt idx="67">
                  <c:v>45573</c:v>
                </c:pt>
                <c:pt idx="68">
                  <c:v>45574</c:v>
                </c:pt>
                <c:pt idx="69">
                  <c:v>45575</c:v>
                </c:pt>
                <c:pt idx="70">
                  <c:v>45576</c:v>
                </c:pt>
                <c:pt idx="71">
                  <c:v>45579</c:v>
                </c:pt>
                <c:pt idx="72">
                  <c:v>45580</c:v>
                </c:pt>
                <c:pt idx="73">
                  <c:v>45581</c:v>
                </c:pt>
                <c:pt idx="74">
                  <c:v>45582</c:v>
                </c:pt>
                <c:pt idx="75">
                  <c:v>45583</c:v>
                </c:pt>
                <c:pt idx="76">
                  <c:v>45586</c:v>
                </c:pt>
                <c:pt idx="77">
                  <c:v>45587</c:v>
                </c:pt>
                <c:pt idx="78">
                  <c:v>45588</c:v>
                </c:pt>
                <c:pt idx="79">
                  <c:v>45589</c:v>
                </c:pt>
                <c:pt idx="80">
                  <c:v>45590</c:v>
                </c:pt>
                <c:pt idx="81">
                  <c:v>45593</c:v>
                </c:pt>
                <c:pt idx="82">
                  <c:v>45594</c:v>
                </c:pt>
                <c:pt idx="83">
                  <c:v>45595</c:v>
                </c:pt>
                <c:pt idx="84">
                  <c:v>45596</c:v>
                </c:pt>
                <c:pt idx="85">
                  <c:v>45597</c:v>
                </c:pt>
                <c:pt idx="86">
                  <c:v>45600</c:v>
                </c:pt>
                <c:pt idx="87">
                  <c:v>45601</c:v>
                </c:pt>
                <c:pt idx="88">
                  <c:v>45602</c:v>
                </c:pt>
                <c:pt idx="89">
                  <c:v>45603</c:v>
                </c:pt>
                <c:pt idx="90">
                  <c:v>45604</c:v>
                </c:pt>
                <c:pt idx="91">
                  <c:v>45607</c:v>
                </c:pt>
                <c:pt idx="92">
                  <c:v>45608</c:v>
                </c:pt>
                <c:pt idx="93">
                  <c:v>45609</c:v>
                </c:pt>
                <c:pt idx="94">
                  <c:v>45610</c:v>
                </c:pt>
                <c:pt idx="95">
                  <c:v>45611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45621</c:v>
                </c:pt>
                <c:pt idx="102">
                  <c:v>45622</c:v>
                </c:pt>
                <c:pt idx="103">
                  <c:v>45623</c:v>
                </c:pt>
                <c:pt idx="104">
                  <c:v>45628</c:v>
                </c:pt>
                <c:pt idx="105">
                  <c:v>45629</c:v>
                </c:pt>
                <c:pt idx="106">
                  <c:v>45630</c:v>
                </c:pt>
                <c:pt idx="107">
                  <c:v>45631</c:v>
                </c:pt>
                <c:pt idx="108">
                  <c:v>45632</c:v>
                </c:pt>
                <c:pt idx="109">
                  <c:v>45635</c:v>
                </c:pt>
                <c:pt idx="110">
                  <c:v>45636</c:v>
                </c:pt>
                <c:pt idx="111">
                  <c:v>45637</c:v>
                </c:pt>
                <c:pt idx="112">
                  <c:v>45638</c:v>
                </c:pt>
                <c:pt idx="113">
                  <c:v>45639</c:v>
                </c:pt>
                <c:pt idx="114">
                  <c:v>45642</c:v>
                </c:pt>
                <c:pt idx="115">
                  <c:v>45643</c:v>
                </c:pt>
                <c:pt idx="116">
                  <c:v>45644</c:v>
                </c:pt>
                <c:pt idx="117">
                  <c:v>45645</c:v>
                </c:pt>
                <c:pt idx="118">
                  <c:v>45646</c:v>
                </c:pt>
                <c:pt idx="119">
                  <c:v>45649</c:v>
                </c:pt>
                <c:pt idx="120">
                  <c:v>45650</c:v>
                </c:pt>
                <c:pt idx="121">
                  <c:v>45652</c:v>
                </c:pt>
                <c:pt idx="122">
                  <c:v>45653</c:v>
                </c:pt>
                <c:pt idx="123">
                  <c:v>45656</c:v>
                </c:pt>
                <c:pt idx="124">
                  <c:v>45657</c:v>
                </c:pt>
                <c:pt idx="125">
                  <c:v>45659</c:v>
                </c:pt>
                <c:pt idx="126">
                  <c:v>45660</c:v>
                </c:pt>
                <c:pt idx="127">
                  <c:v>45663</c:v>
                </c:pt>
                <c:pt idx="128">
                  <c:v>45664</c:v>
                </c:pt>
                <c:pt idx="129">
                  <c:v>45665</c:v>
                </c:pt>
                <c:pt idx="130">
                  <c:v>45666</c:v>
                </c:pt>
                <c:pt idx="131">
                  <c:v>45667</c:v>
                </c:pt>
                <c:pt idx="132">
                  <c:v>45670</c:v>
                </c:pt>
                <c:pt idx="133">
                  <c:v>45671</c:v>
                </c:pt>
                <c:pt idx="134">
                  <c:v>45672</c:v>
                </c:pt>
                <c:pt idx="135">
                  <c:v>45673</c:v>
                </c:pt>
                <c:pt idx="136">
                  <c:v>45674</c:v>
                </c:pt>
                <c:pt idx="137">
                  <c:v>45677</c:v>
                </c:pt>
                <c:pt idx="138">
                  <c:v>45678</c:v>
                </c:pt>
                <c:pt idx="139">
                  <c:v>45679</c:v>
                </c:pt>
                <c:pt idx="140">
                  <c:v>45680</c:v>
                </c:pt>
                <c:pt idx="141">
                  <c:v>45681</c:v>
                </c:pt>
                <c:pt idx="142">
                  <c:v>45684</c:v>
                </c:pt>
                <c:pt idx="143">
                  <c:v>45685</c:v>
                </c:pt>
                <c:pt idx="144">
                  <c:v>45686</c:v>
                </c:pt>
                <c:pt idx="145">
                  <c:v>45687</c:v>
                </c:pt>
                <c:pt idx="146">
                  <c:v>45688</c:v>
                </c:pt>
                <c:pt idx="147">
                  <c:v>45691</c:v>
                </c:pt>
                <c:pt idx="148">
                  <c:v>45692</c:v>
                </c:pt>
                <c:pt idx="149">
                  <c:v>45693</c:v>
                </c:pt>
                <c:pt idx="150">
                  <c:v>45694</c:v>
                </c:pt>
                <c:pt idx="151">
                  <c:v>45695</c:v>
                </c:pt>
                <c:pt idx="152">
                  <c:v>45698</c:v>
                </c:pt>
                <c:pt idx="153">
                  <c:v>45699</c:v>
                </c:pt>
                <c:pt idx="154">
                  <c:v>45700</c:v>
                </c:pt>
                <c:pt idx="155">
                  <c:v>45701</c:v>
                </c:pt>
                <c:pt idx="156">
                  <c:v>45702</c:v>
                </c:pt>
                <c:pt idx="157">
                  <c:v>45705</c:v>
                </c:pt>
                <c:pt idx="158">
                  <c:v>45706</c:v>
                </c:pt>
                <c:pt idx="159">
                  <c:v>45707</c:v>
                </c:pt>
                <c:pt idx="160">
                  <c:v>45708</c:v>
                </c:pt>
                <c:pt idx="161">
                  <c:v>45709</c:v>
                </c:pt>
                <c:pt idx="162">
                  <c:v>45712</c:v>
                </c:pt>
                <c:pt idx="163">
                  <c:v>45713</c:v>
                </c:pt>
                <c:pt idx="164">
                  <c:v>45714</c:v>
                </c:pt>
                <c:pt idx="165">
                  <c:v>45715</c:v>
                </c:pt>
                <c:pt idx="166">
                  <c:v>45716</c:v>
                </c:pt>
                <c:pt idx="167">
                  <c:v>45719</c:v>
                </c:pt>
                <c:pt idx="168">
                  <c:v>45720</c:v>
                </c:pt>
                <c:pt idx="169">
                  <c:v>45721</c:v>
                </c:pt>
                <c:pt idx="170">
                  <c:v>45722</c:v>
                </c:pt>
                <c:pt idx="171">
                  <c:v>45723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</c:numCache>
            </c:numRef>
          </c:cat>
          <c:val>
            <c:numRef>
              <c:f>Feuil2!$D$6:$D$181</c:f>
              <c:numCache>
                <c:formatCode>_(* #,##0.00_);_(* \(#,##0.00\);_(* "-"??_);_(@_)</c:formatCode>
                <c:ptCount val="176"/>
                <c:pt idx="0">
                  <c:v>6732.3</c:v>
                </c:pt>
                <c:pt idx="1">
                  <c:v>6732.3</c:v>
                </c:pt>
                <c:pt idx="2">
                  <c:v>6732.3</c:v>
                </c:pt>
                <c:pt idx="3">
                  <c:v>6732.3</c:v>
                </c:pt>
                <c:pt idx="4">
                  <c:v>6732.3</c:v>
                </c:pt>
                <c:pt idx="5">
                  <c:v>5100</c:v>
                </c:pt>
                <c:pt idx="6">
                  <c:v>5100</c:v>
                </c:pt>
                <c:pt idx="7">
                  <c:v>5100</c:v>
                </c:pt>
                <c:pt idx="8">
                  <c:v>9000</c:v>
                </c:pt>
                <c:pt idx="9">
                  <c:v>9000</c:v>
                </c:pt>
                <c:pt idx="10">
                  <c:v>9000</c:v>
                </c:pt>
                <c:pt idx="11">
                  <c:v>9000</c:v>
                </c:pt>
                <c:pt idx="12">
                  <c:v>9000</c:v>
                </c:pt>
                <c:pt idx="13">
                  <c:v>6880</c:v>
                </c:pt>
                <c:pt idx="14">
                  <c:v>6880</c:v>
                </c:pt>
                <c:pt idx="15">
                  <c:v>6880</c:v>
                </c:pt>
                <c:pt idx="16">
                  <c:v>6880</c:v>
                </c:pt>
                <c:pt idx="17">
                  <c:v>5100</c:v>
                </c:pt>
                <c:pt idx="18">
                  <c:v>5100</c:v>
                </c:pt>
                <c:pt idx="19">
                  <c:v>5100</c:v>
                </c:pt>
                <c:pt idx="20">
                  <c:v>5100</c:v>
                </c:pt>
                <c:pt idx="21">
                  <c:v>5100</c:v>
                </c:pt>
                <c:pt idx="22">
                  <c:v>7780</c:v>
                </c:pt>
                <c:pt idx="23">
                  <c:v>7780</c:v>
                </c:pt>
                <c:pt idx="24">
                  <c:v>7780</c:v>
                </c:pt>
                <c:pt idx="25">
                  <c:v>7780</c:v>
                </c:pt>
                <c:pt idx="26">
                  <c:v>5500</c:v>
                </c:pt>
                <c:pt idx="27">
                  <c:v>5500</c:v>
                </c:pt>
                <c:pt idx="28">
                  <c:v>5500</c:v>
                </c:pt>
                <c:pt idx="29">
                  <c:v>5500</c:v>
                </c:pt>
                <c:pt idx="30">
                  <c:v>6280</c:v>
                </c:pt>
                <c:pt idx="31">
                  <c:v>6280</c:v>
                </c:pt>
                <c:pt idx="32">
                  <c:v>6280</c:v>
                </c:pt>
                <c:pt idx="33">
                  <c:v>6280</c:v>
                </c:pt>
                <c:pt idx="34">
                  <c:v>6280</c:v>
                </c:pt>
                <c:pt idx="35">
                  <c:v>4550</c:v>
                </c:pt>
                <c:pt idx="36">
                  <c:v>4550</c:v>
                </c:pt>
                <c:pt idx="37">
                  <c:v>4550</c:v>
                </c:pt>
                <c:pt idx="38">
                  <c:v>4550</c:v>
                </c:pt>
                <c:pt idx="39">
                  <c:v>4550</c:v>
                </c:pt>
                <c:pt idx="40">
                  <c:v>4550</c:v>
                </c:pt>
                <c:pt idx="41">
                  <c:v>3500</c:v>
                </c:pt>
                <c:pt idx="42">
                  <c:v>3500</c:v>
                </c:pt>
                <c:pt idx="43">
                  <c:v>3500</c:v>
                </c:pt>
                <c:pt idx="44">
                  <c:v>3500</c:v>
                </c:pt>
                <c:pt idx="45">
                  <c:v>7200</c:v>
                </c:pt>
                <c:pt idx="46">
                  <c:v>7200</c:v>
                </c:pt>
                <c:pt idx="47">
                  <c:v>7200</c:v>
                </c:pt>
                <c:pt idx="48">
                  <c:v>7200</c:v>
                </c:pt>
                <c:pt idx="49">
                  <c:v>7200</c:v>
                </c:pt>
                <c:pt idx="50">
                  <c:v>8500</c:v>
                </c:pt>
                <c:pt idx="51">
                  <c:v>8500</c:v>
                </c:pt>
                <c:pt idx="52">
                  <c:v>8500</c:v>
                </c:pt>
                <c:pt idx="53">
                  <c:v>8500</c:v>
                </c:pt>
                <c:pt idx="54">
                  <c:v>9300</c:v>
                </c:pt>
                <c:pt idx="55">
                  <c:v>9300</c:v>
                </c:pt>
                <c:pt idx="56">
                  <c:v>9300</c:v>
                </c:pt>
                <c:pt idx="57">
                  <c:v>9300</c:v>
                </c:pt>
                <c:pt idx="58">
                  <c:v>9300</c:v>
                </c:pt>
                <c:pt idx="59">
                  <c:v>9300</c:v>
                </c:pt>
                <c:pt idx="60">
                  <c:v>9300</c:v>
                </c:pt>
                <c:pt idx="61">
                  <c:v>9300</c:v>
                </c:pt>
                <c:pt idx="62">
                  <c:v>9300</c:v>
                </c:pt>
                <c:pt idx="63">
                  <c:v>9300</c:v>
                </c:pt>
                <c:pt idx="64">
                  <c:v>7000</c:v>
                </c:pt>
                <c:pt idx="65">
                  <c:v>7000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9000</c:v>
                </c:pt>
                <c:pt idx="70">
                  <c:v>9000</c:v>
                </c:pt>
                <c:pt idx="71">
                  <c:v>9000</c:v>
                </c:pt>
                <c:pt idx="72">
                  <c:v>9000</c:v>
                </c:pt>
                <c:pt idx="73">
                  <c:v>9000</c:v>
                </c:pt>
                <c:pt idx="74">
                  <c:v>7200</c:v>
                </c:pt>
                <c:pt idx="75">
                  <c:v>7200</c:v>
                </c:pt>
                <c:pt idx="76">
                  <c:v>7200</c:v>
                </c:pt>
                <c:pt idx="77">
                  <c:v>7200</c:v>
                </c:pt>
                <c:pt idx="78">
                  <c:v>7200</c:v>
                </c:pt>
                <c:pt idx="79">
                  <c:v>8000</c:v>
                </c:pt>
                <c:pt idx="80">
                  <c:v>8000</c:v>
                </c:pt>
                <c:pt idx="81">
                  <c:v>8000</c:v>
                </c:pt>
                <c:pt idx="82">
                  <c:v>8000</c:v>
                </c:pt>
                <c:pt idx="83" formatCode="General">
                  <c:v>8000</c:v>
                </c:pt>
                <c:pt idx="84">
                  <c:v>9900</c:v>
                </c:pt>
                <c:pt idx="85">
                  <c:v>9900</c:v>
                </c:pt>
                <c:pt idx="86">
                  <c:v>9900</c:v>
                </c:pt>
                <c:pt idx="87">
                  <c:v>9900</c:v>
                </c:pt>
                <c:pt idx="88">
                  <c:v>9900</c:v>
                </c:pt>
                <c:pt idx="89">
                  <c:v>10400</c:v>
                </c:pt>
                <c:pt idx="90">
                  <c:v>10400</c:v>
                </c:pt>
                <c:pt idx="91">
                  <c:v>10400</c:v>
                </c:pt>
                <c:pt idx="92">
                  <c:v>10400</c:v>
                </c:pt>
                <c:pt idx="93">
                  <c:v>10400</c:v>
                </c:pt>
                <c:pt idx="94">
                  <c:v>7000</c:v>
                </c:pt>
                <c:pt idx="95">
                  <c:v>7000</c:v>
                </c:pt>
                <c:pt idx="96">
                  <c:v>7000</c:v>
                </c:pt>
                <c:pt idx="97">
                  <c:v>7000</c:v>
                </c:pt>
                <c:pt idx="98">
                  <c:v>7000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11500</c:v>
                </c:pt>
                <c:pt idx="104">
                  <c:v>11500</c:v>
                </c:pt>
                <c:pt idx="105">
                  <c:v>11500</c:v>
                </c:pt>
                <c:pt idx="106">
                  <c:v>11500</c:v>
                </c:pt>
                <c:pt idx="107">
                  <c:v>10500</c:v>
                </c:pt>
                <c:pt idx="108">
                  <c:v>10500</c:v>
                </c:pt>
                <c:pt idx="109">
                  <c:v>10500</c:v>
                </c:pt>
                <c:pt idx="110">
                  <c:v>10500</c:v>
                </c:pt>
                <c:pt idx="111">
                  <c:v>10500</c:v>
                </c:pt>
                <c:pt idx="112">
                  <c:v>11200</c:v>
                </c:pt>
                <c:pt idx="113">
                  <c:v>11200</c:v>
                </c:pt>
                <c:pt idx="114">
                  <c:v>11200</c:v>
                </c:pt>
                <c:pt idx="115">
                  <c:v>11200</c:v>
                </c:pt>
                <c:pt idx="116">
                  <c:v>11200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9500</c:v>
                </c:pt>
                <c:pt idx="122">
                  <c:v>9500</c:v>
                </c:pt>
                <c:pt idx="123">
                  <c:v>9500</c:v>
                </c:pt>
                <c:pt idx="124">
                  <c:v>9500</c:v>
                </c:pt>
                <c:pt idx="125">
                  <c:v>7500</c:v>
                </c:pt>
                <c:pt idx="126">
                  <c:v>7500</c:v>
                </c:pt>
                <c:pt idx="127">
                  <c:v>7500</c:v>
                </c:pt>
                <c:pt idx="128">
                  <c:v>7500</c:v>
                </c:pt>
                <c:pt idx="129">
                  <c:v>4500</c:v>
                </c:pt>
                <c:pt idx="130">
                  <c:v>4500</c:v>
                </c:pt>
                <c:pt idx="131">
                  <c:v>4500</c:v>
                </c:pt>
                <c:pt idx="132">
                  <c:v>4500</c:v>
                </c:pt>
                <c:pt idx="133">
                  <c:v>4500</c:v>
                </c:pt>
                <c:pt idx="134">
                  <c:v>2500</c:v>
                </c:pt>
                <c:pt idx="135">
                  <c:v>2500</c:v>
                </c:pt>
                <c:pt idx="136">
                  <c:v>2500</c:v>
                </c:pt>
                <c:pt idx="137">
                  <c:v>2500</c:v>
                </c:pt>
                <c:pt idx="138">
                  <c:v>2500</c:v>
                </c:pt>
                <c:pt idx="139">
                  <c:v>2000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8D-4A8F-9438-2AB52A45D25E}"/>
            </c:ext>
          </c:extLst>
        </c:ser>
        <c:ser>
          <c:idx val="3"/>
          <c:order val="3"/>
          <c:tx>
            <c:strRef>
              <c:f>Feuil2!$E$5</c:f>
              <c:strCache>
                <c:ptCount val="1"/>
                <c:pt idx="0">
                  <c:v>Réserves Banques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Feuil2!$A$6:$A$181</c:f>
              <c:numCache>
                <c:formatCode>m/d/yyyy</c:formatCode>
                <c:ptCount val="176"/>
                <c:pt idx="0">
                  <c:v>45470</c:v>
                </c:pt>
                <c:pt idx="1">
                  <c:v>45471</c:v>
                </c:pt>
                <c:pt idx="2">
                  <c:v>45474</c:v>
                </c:pt>
                <c:pt idx="3">
                  <c:v>45475</c:v>
                </c:pt>
                <c:pt idx="4">
                  <c:v>45476</c:v>
                </c:pt>
                <c:pt idx="5">
                  <c:v>45477</c:v>
                </c:pt>
                <c:pt idx="6">
                  <c:v>45478</c:v>
                </c:pt>
                <c:pt idx="7">
                  <c:v>45482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45509</c:v>
                </c:pt>
                <c:pt idx="24">
                  <c:v>45510</c:v>
                </c:pt>
                <c:pt idx="25">
                  <c:v>45511</c:v>
                </c:pt>
                <c:pt idx="26">
                  <c:v>45512</c:v>
                </c:pt>
                <c:pt idx="27">
                  <c:v>45513</c:v>
                </c:pt>
                <c:pt idx="28">
                  <c:v>45516</c:v>
                </c:pt>
                <c:pt idx="29">
                  <c:v>45518</c:v>
                </c:pt>
                <c:pt idx="30">
                  <c:v>45519</c:v>
                </c:pt>
                <c:pt idx="31">
                  <c:v>45520</c:v>
                </c:pt>
                <c:pt idx="32">
                  <c:v>45523</c:v>
                </c:pt>
                <c:pt idx="33">
                  <c:v>45524</c:v>
                </c:pt>
                <c:pt idx="34">
                  <c:v>45525</c:v>
                </c:pt>
                <c:pt idx="35">
                  <c:v>45526</c:v>
                </c:pt>
                <c:pt idx="36">
                  <c:v>45527</c:v>
                </c:pt>
                <c:pt idx="37">
                  <c:v>45530</c:v>
                </c:pt>
                <c:pt idx="38">
                  <c:v>45531</c:v>
                </c:pt>
                <c:pt idx="39">
                  <c:v>45532</c:v>
                </c:pt>
                <c:pt idx="40">
                  <c:v>45533</c:v>
                </c:pt>
                <c:pt idx="41">
                  <c:v>45534</c:v>
                </c:pt>
                <c:pt idx="42">
                  <c:v>45537</c:v>
                </c:pt>
                <c:pt idx="43">
                  <c:v>45538</c:v>
                </c:pt>
                <c:pt idx="44">
                  <c:v>45539</c:v>
                </c:pt>
                <c:pt idx="45">
                  <c:v>45540</c:v>
                </c:pt>
                <c:pt idx="46">
                  <c:v>45541</c:v>
                </c:pt>
                <c:pt idx="47">
                  <c:v>45544</c:v>
                </c:pt>
                <c:pt idx="48">
                  <c:v>45545</c:v>
                </c:pt>
                <c:pt idx="49">
                  <c:v>45546</c:v>
                </c:pt>
                <c:pt idx="50">
                  <c:v>45547</c:v>
                </c:pt>
                <c:pt idx="51">
                  <c:v>45548</c:v>
                </c:pt>
                <c:pt idx="52">
                  <c:v>45552</c:v>
                </c:pt>
                <c:pt idx="53">
                  <c:v>45553</c:v>
                </c:pt>
                <c:pt idx="54">
                  <c:v>45554</c:v>
                </c:pt>
                <c:pt idx="55">
                  <c:v>45555</c:v>
                </c:pt>
                <c:pt idx="56">
                  <c:v>45558</c:v>
                </c:pt>
                <c:pt idx="57">
                  <c:v>45559</c:v>
                </c:pt>
                <c:pt idx="58">
                  <c:v>45560</c:v>
                </c:pt>
                <c:pt idx="59">
                  <c:v>45561</c:v>
                </c:pt>
                <c:pt idx="60">
                  <c:v>45562</c:v>
                </c:pt>
                <c:pt idx="61">
                  <c:v>45565</c:v>
                </c:pt>
                <c:pt idx="62">
                  <c:v>45566</c:v>
                </c:pt>
                <c:pt idx="63">
                  <c:v>45567</c:v>
                </c:pt>
                <c:pt idx="64">
                  <c:v>45568</c:v>
                </c:pt>
                <c:pt idx="65">
                  <c:v>45569</c:v>
                </c:pt>
                <c:pt idx="66">
                  <c:v>45572</c:v>
                </c:pt>
                <c:pt idx="67">
                  <c:v>45573</c:v>
                </c:pt>
                <c:pt idx="68">
                  <c:v>45574</c:v>
                </c:pt>
                <c:pt idx="69">
                  <c:v>45575</c:v>
                </c:pt>
                <c:pt idx="70">
                  <c:v>45576</c:v>
                </c:pt>
                <c:pt idx="71">
                  <c:v>45579</c:v>
                </c:pt>
                <c:pt idx="72">
                  <c:v>45580</c:v>
                </c:pt>
                <c:pt idx="73">
                  <c:v>45581</c:v>
                </c:pt>
                <c:pt idx="74">
                  <c:v>45582</c:v>
                </c:pt>
                <c:pt idx="75">
                  <c:v>45583</c:v>
                </c:pt>
                <c:pt idx="76">
                  <c:v>45586</c:v>
                </c:pt>
                <c:pt idx="77">
                  <c:v>45587</c:v>
                </c:pt>
                <c:pt idx="78">
                  <c:v>45588</c:v>
                </c:pt>
                <c:pt idx="79">
                  <c:v>45589</c:v>
                </c:pt>
                <c:pt idx="80">
                  <c:v>45590</c:v>
                </c:pt>
                <c:pt idx="81">
                  <c:v>45593</c:v>
                </c:pt>
                <c:pt idx="82">
                  <c:v>45594</c:v>
                </c:pt>
                <c:pt idx="83">
                  <c:v>45595</c:v>
                </c:pt>
                <c:pt idx="84">
                  <c:v>45596</c:v>
                </c:pt>
                <c:pt idx="85">
                  <c:v>45597</c:v>
                </c:pt>
                <c:pt idx="86">
                  <c:v>45600</c:v>
                </c:pt>
                <c:pt idx="87">
                  <c:v>45601</c:v>
                </c:pt>
                <c:pt idx="88">
                  <c:v>45602</c:v>
                </c:pt>
                <c:pt idx="89">
                  <c:v>45603</c:v>
                </c:pt>
                <c:pt idx="90">
                  <c:v>45604</c:v>
                </c:pt>
                <c:pt idx="91">
                  <c:v>45607</c:v>
                </c:pt>
                <c:pt idx="92">
                  <c:v>45608</c:v>
                </c:pt>
                <c:pt idx="93">
                  <c:v>45609</c:v>
                </c:pt>
                <c:pt idx="94">
                  <c:v>45610</c:v>
                </c:pt>
                <c:pt idx="95">
                  <c:v>45611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45621</c:v>
                </c:pt>
                <c:pt idx="102">
                  <c:v>45622</c:v>
                </c:pt>
                <c:pt idx="103">
                  <c:v>45623</c:v>
                </c:pt>
                <c:pt idx="104">
                  <c:v>45628</c:v>
                </c:pt>
                <c:pt idx="105">
                  <c:v>45629</c:v>
                </c:pt>
                <c:pt idx="106">
                  <c:v>45630</c:v>
                </c:pt>
                <c:pt idx="107">
                  <c:v>45631</c:v>
                </c:pt>
                <c:pt idx="108">
                  <c:v>45632</c:v>
                </c:pt>
                <c:pt idx="109">
                  <c:v>45635</c:v>
                </c:pt>
                <c:pt idx="110">
                  <c:v>45636</c:v>
                </c:pt>
                <c:pt idx="111">
                  <c:v>45637</c:v>
                </c:pt>
                <c:pt idx="112">
                  <c:v>45638</c:v>
                </c:pt>
                <c:pt idx="113">
                  <c:v>45639</c:v>
                </c:pt>
                <c:pt idx="114">
                  <c:v>45642</c:v>
                </c:pt>
                <c:pt idx="115">
                  <c:v>45643</c:v>
                </c:pt>
                <c:pt idx="116">
                  <c:v>45644</c:v>
                </c:pt>
                <c:pt idx="117">
                  <c:v>45645</c:v>
                </c:pt>
                <c:pt idx="118">
                  <c:v>45646</c:v>
                </c:pt>
                <c:pt idx="119">
                  <c:v>45649</c:v>
                </c:pt>
                <c:pt idx="120">
                  <c:v>45650</c:v>
                </c:pt>
                <c:pt idx="121">
                  <c:v>45652</c:v>
                </c:pt>
                <c:pt idx="122">
                  <c:v>45653</c:v>
                </c:pt>
                <c:pt idx="123">
                  <c:v>45656</c:v>
                </c:pt>
                <c:pt idx="124">
                  <c:v>45657</c:v>
                </c:pt>
                <c:pt idx="125">
                  <c:v>45659</c:v>
                </c:pt>
                <c:pt idx="126">
                  <c:v>45660</c:v>
                </c:pt>
                <c:pt idx="127">
                  <c:v>45663</c:v>
                </c:pt>
                <c:pt idx="128">
                  <c:v>45664</c:v>
                </c:pt>
                <c:pt idx="129">
                  <c:v>45665</c:v>
                </c:pt>
                <c:pt idx="130">
                  <c:v>45666</c:v>
                </c:pt>
                <c:pt idx="131">
                  <c:v>45667</c:v>
                </c:pt>
                <c:pt idx="132">
                  <c:v>45670</c:v>
                </c:pt>
                <c:pt idx="133">
                  <c:v>45671</c:v>
                </c:pt>
                <c:pt idx="134">
                  <c:v>45672</c:v>
                </c:pt>
                <c:pt idx="135">
                  <c:v>45673</c:v>
                </c:pt>
                <c:pt idx="136">
                  <c:v>45674</c:v>
                </c:pt>
                <c:pt idx="137">
                  <c:v>45677</c:v>
                </c:pt>
                <c:pt idx="138">
                  <c:v>45678</c:v>
                </c:pt>
                <c:pt idx="139">
                  <c:v>45679</c:v>
                </c:pt>
                <c:pt idx="140">
                  <c:v>45680</c:v>
                </c:pt>
                <c:pt idx="141">
                  <c:v>45681</c:v>
                </c:pt>
                <c:pt idx="142">
                  <c:v>45684</c:v>
                </c:pt>
                <c:pt idx="143">
                  <c:v>45685</c:v>
                </c:pt>
                <c:pt idx="144">
                  <c:v>45686</c:v>
                </c:pt>
                <c:pt idx="145">
                  <c:v>45687</c:v>
                </c:pt>
                <c:pt idx="146">
                  <c:v>45688</c:v>
                </c:pt>
                <c:pt idx="147">
                  <c:v>45691</c:v>
                </c:pt>
                <c:pt idx="148">
                  <c:v>45692</c:v>
                </c:pt>
                <c:pt idx="149">
                  <c:v>45693</c:v>
                </c:pt>
                <c:pt idx="150">
                  <c:v>45694</c:v>
                </c:pt>
                <c:pt idx="151">
                  <c:v>45695</c:v>
                </c:pt>
                <c:pt idx="152">
                  <c:v>45698</c:v>
                </c:pt>
                <c:pt idx="153">
                  <c:v>45699</c:v>
                </c:pt>
                <c:pt idx="154">
                  <c:v>45700</c:v>
                </c:pt>
                <c:pt idx="155">
                  <c:v>45701</c:v>
                </c:pt>
                <c:pt idx="156">
                  <c:v>45702</c:v>
                </c:pt>
                <c:pt idx="157">
                  <c:v>45705</c:v>
                </c:pt>
                <c:pt idx="158">
                  <c:v>45706</c:v>
                </c:pt>
                <c:pt idx="159">
                  <c:v>45707</c:v>
                </c:pt>
                <c:pt idx="160">
                  <c:v>45708</c:v>
                </c:pt>
                <c:pt idx="161">
                  <c:v>45709</c:v>
                </c:pt>
                <c:pt idx="162">
                  <c:v>45712</c:v>
                </c:pt>
                <c:pt idx="163">
                  <c:v>45713</c:v>
                </c:pt>
                <c:pt idx="164">
                  <c:v>45714</c:v>
                </c:pt>
                <c:pt idx="165">
                  <c:v>45715</c:v>
                </c:pt>
                <c:pt idx="166">
                  <c:v>45716</c:v>
                </c:pt>
                <c:pt idx="167">
                  <c:v>45719</c:v>
                </c:pt>
                <c:pt idx="168">
                  <c:v>45720</c:v>
                </c:pt>
                <c:pt idx="169">
                  <c:v>45721</c:v>
                </c:pt>
                <c:pt idx="170">
                  <c:v>45722</c:v>
                </c:pt>
                <c:pt idx="171">
                  <c:v>45723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</c:numCache>
            </c:numRef>
          </c:cat>
          <c:val>
            <c:numRef>
              <c:f>Feuil2!$E$6:$E$181</c:f>
              <c:numCache>
                <c:formatCode>_(* #,##0.00_);_(* \(#,##0.00\);_(* "-"??_);_(@_)</c:formatCode>
                <c:ptCount val="176"/>
                <c:pt idx="0">
                  <c:v>9578.8322083599996</c:v>
                </c:pt>
                <c:pt idx="1">
                  <c:v>9112.1602041399983</c:v>
                </c:pt>
                <c:pt idx="2">
                  <c:v>9607.6007744899998</c:v>
                </c:pt>
                <c:pt idx="3">
                  <c:v>9737.7048205799983</c:v>
                </c:pt>
                <c:pt idx="4">
                  <c:v>9541.4308542500003</c:v>
                </c:pt>
                <c:pt idx="5">
                  <c:v>12557.629508780001</c:v>
                </c:pt>
                <c:pt idx="6">
                  <c:v>12820.834404039997</c:v>
                </c:pt>
                <c:pt idx="7">
                  <c:v>9182.264177709998</c:v>
                </c:pt>
                <c:pt idx="8">
                  <c:v>10490.132846120003</c:v>
                </c:pt>
                <c:pt idx="9">
                  <c:v>9712.6734549400007</c:v>
                </c:pt>
                <c:pt idx="10">
                  <c:v>9343.2690129099992</c:v>
                </c:pt>
                <c:pt idx="11">
                  <c:v>9538.2066357000003</c:v>
                </c:pt>
                <c:pt idx="12">
                  <c:v>9976.3976749299982</c:v>
                </c:pt>
                <c:pt idx="13">
                  <c:v>8597.9641998000006</c:v>
                </c:pt>
                <c:pt idx="14">
                  <c:v>8340.5336460499984</c:v>
                </c:pt>
                <c:pt idx="15">
                  <c:v>9583.9717658999998</c:v>
                </c:pt>
                <c:pt idx="16">
                  <c:v>10814.810425560001</c:v>
                </c:pt>
                <c:pt idx="17">
                  <c:v>9590.3654193800012</c:v>
                </c:pt>
                <c:pt idx="18">
                  <c:v>10192.13353162</c:v>
                </c:pt>
                <c:pt idx="19">
                  <c:v>9893.900796220003</c:v>
                </c:pt>
                <c:pt idx="20">
                  <c:v>10269.064198309999</c:v>
                </c:pt>
                <c:pt idx="21">
                  <c:v>9956.0861055999994</c:v>
                </c:pt>
                <c:pt idx="22">
                  <c:v>7586.4048478899995</c:v>
                </c:pt>
                <c:pt idx="23">
                  <c:v>6940.910152559999</c:v>
                </c:pt>
                <c:pt idx="24">
                  <c:v>8169.2771068999991</c:v>
                </c:pt>
                <c:pt idx="25">
                  <c:v>8413.9096315799998</c:v>
                </c:pt>
                <c:pt idx="26">
                  <c:v>8675.5328997899996</c:v>
                </c:pt>
                <c:pt idx="27">
                  <c:v>8461.388259020001</c:v>
                </c:pt>
                <c:pt idx="28">
                  <c:v>8202.2584836000005</c:v>
                </c:pt>
                <c:pt idx="29">
                  <c:v>9735.5216783200012</c:v>
                </c:pt>
                <c:pt idx="30">
                  <c:v>9118.2816085200011</c:v>
                </c:pt>
                <c:pt idx="31">
                  <c:v>10318.971720630001</c:v>
                </c:pt>
                <c:pt idx="32">
                  <c:v>7900.3115198099986</c:v>
                </c:pt>
                <c:pt idx="33">
                  <c:v>7608.972541000001</c:v>
                </c:pt>
                <c:pt idx="34">
                  <c:v>7918.8890922700002</c:v>
                </c:pt>
                <c:pt idx="35">
                  <c:v>9272.4185832099993</c:v>
                </c:pt>
                <c:pt idx="36">
                  <c:v>10240.69711956</c:v>
                </c:pt>
                <c:pt idx="37">
                  <c:v>9569.1127342300024</c:v>
                </c:pt>
                <c:pt idx="38">
                  <c:v>9738.1958949399996</c:v>
                </c:pt>
                <c:pt idx="39">
                  <c:v>9636.8300115599995</c:v>
                </c:pt>
                <c:pt idx="40">
                  <c:v>13408.441855489998</c:v>
                </c:pt>
                <c:pt idx="41">
                  <c:v>13083.203082</c:v>
                </c:pt>
                <c:pt idx="42">
                  <c:v>12925.455328540003</c:v>
                </c:pt>
                <c:pt idx="43">
                  <c:v>13443.981810230003</c:v>
                </c:pt>
                <c:pt idx="44">
                  <c:v>12315.844773530001</c:v>
                </c:pt>
                <c:pt idx="45">
                  <c:v>11781.60526348</c:v>
                </c:pt>
                <c:pt idx="46">
                  <c:v>10424.223774709999</c:v>
                </c:pt>
                <c:pt idx="47">
                  <c:v>9972.0656040199974</c:v>
                </c:pt>
                <c:pt idx="48">
                  <c:v>9825.060852139999</c:v>
                </c:pt>
                <c:pt idx="49">
                  <c:v>9722.3236563499995</c:v>
                </c:pt>
                <c:pt idx="50">
                  <c:v>11408.68239751</c:v>
                </c:pt>
                <c:pt idx="51">
                  <c:v>9149.1406692500004</c:v>
                </c:pt>
                <c:pt idx="52">
                  <c:v>10671.510864889999</c:v>
                </c:pt>
                <c:pt idx="53">
                  <c:v>11178.8396144</c:v>
                </c:pt>
                <c:pt idx="54">
                  <c:v>9753.7081025200005</c:v>
                </c:pt>
                <c:pt idx="55">
                  <c:v>9582.1409513600011</c:v>
                </c:pt>
                <c:pt idx="56">
                  <c:v>8444.8356720700012</c:v>
                </c:pt>
                <c:pt idx="57">
                  <c:v>10231.961827890002</c:v>
                </c:pt>
                <c:pt idx="58">
                  <c:v>10448.923128500002</c:v>
                </c:pt>
                <c:pt idx="59">
                  <c:v>11331.254289910001</c:v>
                </c:pt>
                <c:pt idx="60">
                  <c:v>10508.720000000003</c:v>
                </c:pt>
                <c:pt idx="61">
                  <c:v>9406.538151499999</c:v>
                </c:pt>
                <c:pt idx="62">
                  <c:v>10403.175623390001</c:v>
                </c:pt>
                <c:pt idx="63">
                  <c:v>11517.305664580001</c:v>
                </c:pt>
                <c:pt idx="64">
                  <c:v>11381.981557880001</c:v>
                </c:pt>
                <c:pt idx="65">
                  <c:v>13009.325999999997</c:v>
                </c:pt>
                <c:pt idx="66">
                  <c:v>11888.418999999998</c:v>
                </c:pt>
                <c:pt idx="67">
                  <c:v>12269.119999999999</c:v>
                </c:pt>
                <c:pt idx="68">
                  <c:v>12259.36425533</c:v>
                </c:pt>
                <c:pt idx="69">
                  <c:v>10833.96079728</c:v>
                </c:pt>
                <c:pt idx="70">
                  <c:v>10840.327977410003</c:v>
                </c:pt>
                <c:pt idx="71">
                  <c:v>10379.09964251</c:v>
                </c:pt>
                <c:pt idx="72">
                  <c:v>10720.855401690002</c:v>
                </c:pt>
                <c:pt idx="73">
                  <c:v>10560.5390477</c:v>
                </c:pt>
                <c:pt idx="74">
                  <c:v>10482.740249549999</c:v>
                </c:pt>
                <c:pt idx="75">
                  <c:v>10870.467196309999</c:v>
                </c:pt>
                <c:pt idx="76">
                  <c:v>10702.640463149999</c:v>
                </c:pt>
                <c:pt idx="77">
                  <c:v>10965.130106479999</c:v>
                </c:pt>
                <c:pt idx="78">
                  <c:v>12634.72813071</c:v>
                </c:pt>
                <c:pt idx="79">
                  <c:v>11840.98800786</c:v>
                </c:pt>
                <c:pt idx="80">
                  <c:v>11036.806000000002</c:v>
                </c:pt>
                <c:pt idx="81">
                  <c:v>12634.705000000002</c:v>
                </c:pt>
                <c:pt idx="82">
                  <c:v>12375.119999999997</c:v>
                </c:pt>
                <c:pt idx="83">
                  <c:v>13367.950142240001</c:v>
                </c:pt>
                <c:pt idx="84">
                  <c:v>11279.234</c:v>
                </c:pt>
                <c:pt idx="85">
                  <c:v>11299.88122856</c:v>
                </c:pt>
                <c:pt idx="86">
                  <c:v>12302.807398739998</c:v>
                </c:pt>
                <c:pt idx="87">
                  <c:v>11384.235658109998</c:v>
                </c:pt>
                <c:pt idx="88">
                  <c:v>10730.216</c:v>
                </c:pt>
                <c:pt idx="89">
                  <c:v>9728.2641011600008</c:v>
                </c:pt>
                <c:pt idx="90">
                  <c:v>10485.684335959999</c:v>
                </c:pt>
                <c:pt idx="91">
                  <c:v>10031.886617069998</c:v>
                </c:pt>
                <c:pt idx="92">
                  <c:v>9486.5953877499996</c:v>
                </c:pt>
                <c:pt idx="93">
                  <c:v>8991.6264455399996</c:v>
                </c:pt>
                <c:pt idx="94">
                  <c:v>12505.981828969998</c:v>
                </c:pt>
                <c:pt idx="95">
                  <c:v>13550.310575970001</c:v>
                </c:pt>
                <c:pt idx="96">
                  <c:v>13630.138948569998</c:v>
                </c:pt>
                <c:pt idx="97">
                  <c:v>13728.578058370003</c:v>
                </c:pt>
                <c:pt idx="98">
                  <c:v>12805.440247219998</c:v>
                </c:pt>
                <c:pt idx="99">
                  <c:v>12007.701899329999</c:v>
                </c:pt>
                <c:pt idx="100">
                  <c:v>12086.508000000002</c:v>
                </c:pt>
                <c:pt idx="101">
                  <c:v>13173.48573007</c:v>
                </c:pt>
                <c:pt idx="102">
                  <c:v>12804.543966099998</c:v>
                </c:pt>
                <c:pt idx="103">
                  <c:v>12847.014635250001</c:v>
                </c:pt>
                <c:pt idx="104">
                  <c:v>11100.809687159997</c:v>
                </c:pt>
                <c:pt idx="105">
                  <c:v>11516.298790729999</c:v>
                </c:pt>
                <c:pt idx="106">
                  <c:v>10874.666203029999</c:v>
                </c:pt>
                <c:pt idx="107">
                  <c:v>10475.624</c:v>
                </c:pt>
                <c:pt idx="108">
                  <c:v>11577.706169269999</c:v>
                </c:pt>
                <c:pt idx="109">
                  <c:v>11760.217531779999</c:v>
                </c:pt>
                <c:pt idx="110">
                  <c:v>11818.983464150002</c:v>
                </c:pt>
                <c:pt idx="111">
                  <c:v>11207.20392812</c:v>
                </c:pt>
                <c:pt idx="112">
                  <c:v>9972.751280829998</c:v>
                </c:pt>
                <c:pt idx="113">
                  <c:v>10023.923417180002</c:v>
                </c:pt>
                <c:pt idx="114">
                  <c:v>9582.6912057299996</c:v>
                </c:pt>
                <c:pt idx="115">
                  <c:v>9852.196617560001</c:v>
                </c:pt>
                <c:pt idx="116">
                  <c:v>8955.6749160799991</c:v>
                </c:pt>
                <c:pt idx="117">
                  <c:v>9417.78193483</c:v>
                </c:pt>
                <c:pt idx="118">
                  <c:v>9758.6008532699998</c:v>
                </c:pt>
                <c:pt idx="119">
                  <c:v>12564.530501650002</c:v>
                </c:pt>
                <c:pt idx="120">
                  <c:v>11056.80564886</c:v>
                </c:pt>
                <c:pt idx="121">
                  <c:v>12310.060892320002</c:v>
                </c:pt>
                <c:pt idx="122">
                  <c:v>12346.873283199999</c:v>
                </c:pt>
                <c:pt idx="123">
                  <c:v>12775.121000000001</c:v>
                </c:pt>
                <c:pt idx="124">
                  <c:v>10757.19410538</c:v>
                </c:pt>
                <c:pt idx="125">
                  <c:v>10080.411153809999</c:v>
                </c:pt>
                <c:pt idx="126">
                  <c:v>8359.1611000000012</c:v>
                </c:pt>
                <c:pt idx="127">
                  <c:v>7631.6799999999994</c:v>
                </c:pt>
                <c:pt idx="128">
                  <c:v>7894.9537503599995</c:v>
                </c:pt>
                <c:pt idx="129">
                  <c:v>7890.6547757000008</c:v>
                </c:pt>
                <c:pt idx="130">
                  <c:v>16612.876994169997</c:v>
                </c:pt>
                <c:pt idx="131">
                  <c:v>7451.5406208499999</c:v>
                </c:pt>
                <c:pt idx="132">
                  <c:v>8407.7501839899996</c:v>
                </c:pt>
                <c:pt idx="133">
                  <c:v>7882.52265704</c:v>
                </c:pt>
                <c:pt idx="134">
                  <c:v>7064.4673992800008</c:v>
                </c:pt>
                <c:pt idx="135">
                  <c:v>8608.4328954600005</c:v>
                </c:pt>
                <c:pt idx="136">
                  <c:v>7720.4611712200003</c:v>
                </c:pt>
                <c:pt idx="137">
                  <c:v>9702.17</c:v>
                </c:pt>
                <c:pt idx="138">
                  <c:v>12584.91</c:v>
                </c:pt>
                <c:pt idx="139">
                  <c:v>9568.89</c:v>
                </c:pt>
                <c:pt idx="140">
                  <c:v>8318.17</c:v>
                </c:pt>
                <c:pt idx="141">
                  <c:v>8947.61</c:v>
                </c:pt>
                <c:pt idx="142">
                  <c:v>13441.024867890001</c:v>
                </c:pt>
                <c:pt idx="143">
                  <c:v>8540.2489302699996</c:v>
                </c:pt>
                <c:pt idx="144">
                  <c:v>7784.6900890699999</c:v>
                </c:pt>
                <c:pt idx="145">
                  <c:v>9008.6341019200026</c:v>
                </c:pt>
                <c:pt idx="146">
                  <c:v>7541.8220859899993</c:v>
                </c:pt>
                <c:pt idx="147">
                  <c:v>11550.195511110001</c:v>
                </c:pt>
                <c:pt idx="148">
                  <c:v>7937.9960000000001</c:v>
                </c:pt>
                <c:pt idx="149">
                  <c:v>8159.5586407800001</c:v>
                </c:pt>
                <c:pt idx="150">
                  <c:v>7847.1270000000004</c:v>
                </c:pt>
                <c:pt idx="151">
                  <c:v>7728.9639344799989</c:v>
                </c:pt>
                <c:pt idx="152">
                  <c:v>7860.5059624199994</c:v>
                </c:pt>
                <c:pt idx="153">
                  <c:v>10529.377894160001</c:v>
                </c:pt>
                <c:pt idx="154">
                  <c:v>10460.35005967</c:v>
                </c:pt>
                <c:pt idx="155">
                  <c:v>7311.3783940400008</c:v>
                </c:pt>
                <c:pt idx="156">
                  <c:v>10878.479085020002</c:v>
                </c:pt>
                <c:pt idx="157">
                  <c:v>9462.78357426</c:v>
                </c:pt>
                <c:pt idx="158">
                  <c:v>8368.4731578499996</c:v>
                </c:pt>
                <c:pt idx="159">
                  <c:v>8340.6497463800006</c:v>
                </c:pt>
                <c:pt idx="160">
                  <c:v>8015.5659999999998</c:v>
                </c:pt>
                <c:pt idx="161">
                  <c:v>8312.8542820800012</c:v>
                </c:pt>
                <c:pt idx="162">
                  <c:v>9138.1180000000004</c:v>
                </c:pt>
                <c:pt idx="163">
                  <c:v>8585.1169727500001</c:v>
                </c:pt>
                <c:pt idx="164">
                  <c:v>8277.40556234</c:v>
                </c:pt>
                <c:pt idx="165">
                  <c:v>7794.1179999999995</c:v>
                </c:pt>
                <c:pt idx="166">
                  <c:v>8263.5882226700014</c:v>
                </c:pt>
                <c:pt idx="167">
                  <c:v>7753.8141287800008</c:v>
                </c:pt>
                <c:pt idx="168">
                  <c:v>7496.8990000000003</c:v>
                </c:pt>
                <c:pt idx="169">
                  <c:v>7126.1401843000003</c:v>
                </c:pt>
                <c:pt idx="170">
                  <c:v>7221.4302697099993</c:v>
                </c:pt>
                <c:pt idx="171">
                  <c:v>6886.5367151700011</c:v>
                </c:pt>
                <c:pt idx="172">
                  <c:v>7353.6860000000006</c:v>
                </c:pt>
                <c:pt idx="173">
                  <c:v>7332.1621105899994</c:v>
                </c:pt>
                <c:pt idx="174">
                  <c:v>8271.7099999999991</c:v>
                </c:pt>
                <c:pt idx="175">
                  <c:v>8075.56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8D-4A8F-9438-2AB52A45D25E}"/>
            </c:ext>
          </c:extLst>
        </c:ser>
        <c:ser>
          <c:idx val="0"/>
          <c:order val="0"/>
          <c:tx>
            <c:strRef>
              <c:f>Feuil2!$B$5</c:f>
              <c:strCache>
                <c:ptCount val="1"/>
                <c:pt idx="0">
                  <c:v> Facilité Classique 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C00000"/>
              </a:solidFill>
            </a:ln>
            <a:effectLst/>
          </c:spPr>
          <c:cat>
            <c:numRef>
              <c:f>Feuil2!$A$6:$A$181</c:f>
              <c:numCache>
                <c:formatCode>m/d/yyyy</c:formatCode>
                <c:ptCount val="176"/>
                <c:pt idx="0">
                  <c:v>45470</c:v>
                </c:pt>
                <c:pt idx="1">
                  <c:v>45471</c:v>
                </c:pt>
                <c:pt idx="2">
                  <c:v>45474</c:v>
                </c:pt>
                <c:pt idx="3">
                  <c:v>45475</c:v>
                </c:pt>
                <c:pt idx="4">
                  <c:v>45476</c:v>
                </c:pt>
                <c:pt idx="5">
                  <c:v>45477</c:v>
                </c:pt>
                <c:pt idx="6">
                  <c:v>45478</c:v>
                </c:pt>
                <c:pt idx="7">
                  <c:v>45482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45509</c:v>
                </c:pt>
                <c:pt idx="24">
                  <c:v>45510</c:v>
                </c:pt>
                <c:pt idx="25">
                  <c:v>45511</c:v>
                </c:pt>
                <c:pt idx="26">
                  <c:v>45512</c:v>
                </c:pt>
                <c:pt idx="27">
                  <c:v>45513</c:v>
                </c:pt>
                <c:pt idx="28">
                  <c:v>45516</c:v>
                </c:pt>
                <c:pt idx="29">
                  <c:v>45518</c:v>
                </c:pt>
                <c:pt idx="30">
                  <c:v>45519</c:v>
                </c:pt>
                <c:pt idx="31">
                  <c:v>45520</c:v>
                </c:pt>
                <c:pt idx="32">
                  <c:v>45523</c:v>
                </c:pt>
                <c:pt idx="33">
                  <c:v>45524</c:v>
                </c:pt>
                <c:pt idx="34">
                  <c:v>45525</c:v>
                </c:pt>
                <c:pt idx="35">
                  <c:v>45526</c:v>
                </c:pt>
                <c:pt idx="36">
                  <c:v>45527</c:v>
                </c:pt>
                <c:pt idx="37">
                  <c:v>45530</c:v>
                </c:pt>
                <c:pt idx="38">
                  <c:v>45531</c:v>
                </c:pt>
                <c:pt idx="39">
                  <c:v>45532</c:v>
                </c:pt>
                <c:pt idx="40">
                  <c:v>45533</c:v>
                </c:pt>
                <c:pt idx="41">
                  <c:v>45534</c:v>
                </c:pt>
                <c:pt idx="42">
                  <c:v>45537</c:v>
                </c:pt>
                <c:pt idx="43">
                  <c:v>45538</c:v>
                </c:pt>
                <c:pt idx="44">
                  <c:v>45539</c:v>
                </c:pt>
                <c:pt idx="45">
                  <c:v>45540</c:v>
                </c:pt>
                <c:pt idx="46">
                  <c:v>45541</c:v>
                </c:pt>
                <c:pt idx="47">
                  <c:v>45544</c:v>
                </c:pt>
                <c:pt idx="48">
                  <c:v>45545</c:v>
                </c:pt>
                <c:pt idx="49">
                  <c:v>45546</c:v>
                </c:pt>
                <c:pt idx="50">
                  <c:v>45547</c:v>
                </c:pt>
                <c:pt idx="51">
                  <c:v>45548</c:v>
                </c:pt>
                <c:pt idx="52">
                  <c:v>45552</c:v>
                </c:pt>
                <c:pt idx="53">
                  <c:v>45553</c:v>
                </c:pt>
                <c:pt idx="54">
                  <c:v>45554</c:v>
                </c:pt>
                <c:pt idx="55">
                  <c:v>45555</c:v>
                </c:pt>
                <c:pt idx="56">
                  <c:v>45558</c:v>
                </c:pt>
                <c:pt idx="57">
                  <c:v>45559</c:v>
                </c:pt>
                <c:pt idx="58">
                  <c:v>45560</c:v>
                </c:pt>
                <c:pt idx="59">
                  <c:v>45561</c:v>
                </c:pt>
                <c:pt idx="60">
                  <c:v>45562</c:v>
                </c:pt>
                <c:pt idx="61">
                  <c:v>45565</c:v>
                </c:pt>
                <c:pt idx="62">
                  <c:v>45566</c:v>
                </c:pt>
                <c:pt idx="63">
                  <c:v>45567</c:v>
                </c:pt>
                <c:pt idx="64">
                  <c:v>45568</c:v>
                </c:pt>
                <c:pt idx="65">
                  <c:v>45569</c:v>
                </c:pt>
                <c:pt idx="66">
                  <c:v>45572</c:v>
                </c:pt>
                <c:pt idx="67">
                  <c:v>45573</c:v>
                </c:pt>
                <c:pt idx="68">
                  <c:v>45574</c:v>
                </c:pt>
                <c:pt idx="69">
                  <c:v>45575</c:v>
                </c:pt>
                <c:pt idx="70">
                  <c:v>45576</c:v>
                </c:pt>
                <c:pt idx="71">
                  <c:v>45579</c:v>
                </c:pt>
                <c:pt idx="72">
                  <c:v>45580</c:v>
                </c:pt>
                <c:pt idx="73">
                  <c:v>45581</c:v>
                </c:pt>
                <c:pt idx="74">
                  <c:v>45582</c:v>
                </c:pt>
                <c:pt idx="75">
                  <c:v>45583</c:v>
                </c:pt>
                <c:pt idx="76">
                  <c:v>45586</c:v>
                </c:pt>
                <c:pt idx="77">
                  <c:v>45587</c:v>
                </c:pt>
                <c:pt idx="78">
                  <c:v>45588</c:v>
                </c:pt>
                <c:pt idx="79">
                  <c:v>45589</c:v>
                </c:pt>
                <c:pt idx="80">
                  <c:v>45590</c:v>
                </c:pt>
                <c:pt idx="81">
                  <c:v>45593</c:v>
                </c:pt>
                <c:pt idx="82">
                  <c:v>45594</c:v>
                </c:pt>
                <c:pt idx="83">
                  <c:v>45595</c:v>
                </c:pt>
                <c:pt idx="84">
                  <c:v>45596</c:v>
                </c:pt>
                <c:pt idx="85">
                  <c:v>45597</c:v>
                </c:pt>
                <c:pt idx="86">
                  <c:v>45600</c:v>
                </c:pt>
                <c:pt idx="87">
                  <c:v>45601</c:v>
                </c:pt>
                <c:pt idx="88">
                  <c:v>45602</c:v>
                </c:pt>
                <c:pt idx="89">
                  <c:v>45603</c:v>
                </c:pt>
                <c:pt idx="90">
                  <c:v>45604</c:v>
                </c:pt>
                <c:pt idx="91">
                  <c:v>45607</c:v>
                </c:pt>
                <c:pt idx="92">
                  <c:v>45608</c:v>
                </c:pt>
                <c:pt idx="93">
                  <c:v>45609</c:v>
                </c:pt>
                <c:pt idx="94">
                  <c:v>45610</c:v>
                </c:pt>
                <c:pt idx="95">
                  <c:v>45611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45621</c:v>
                </c:pt>
                <c:pt idx="102">
                  <c:v>45622</c:v>
                </c:pt>
                <c:pt idx="103">
                  <c:v>45623</c:v>
                </c:pt>
                <c:pt idx="104">
                  <c:v>45628</c:v>
                </c:pt>
                <c:pt idx="105">
                  <c:v>45629</c:v>
                </c:pt>
                <c:pt idx="106">
                  <c:v>45630</c:v>
                </c:pt>
                <c:pt idx="107">
                  <c:v>45631</c:v>
                </c:pt>
                <c:pt idx="108">
                  <c:v>45632</c:v>
                </c:pt>
                <c:pt idx="109">
                  <c:v>45635</c:v>
                </c:pt>
                <c:pt idx="110">
                  <c:v>45636</c:v>
                </c:pt>
                <c:pt idx="111">
                  <c:v>45637</c:v>
                </c:pt>
                <c:pt idx="112">
                  <c:v>45638</c:v>
                </c:pt>
                <c:pt idx="113">
                  <c:v>45639</c:v>
                </c:pt>
                <c:pt idx="114">
                  <c:v>45642</c:v>
                </c:pt>
                <c:pt idx="115">
                  <c:v>45643</c:v>
                </c:pt>
                <c:pt idx="116">
                  <c:v>45644</c:v>
                </c:pt>
                <c:pt idx="117">
                  <c:v>45645</c:v>
                </c:pt>
                <c:pt idx="118">
                  <c:v>45646</c:v>
                </c:pt>
                <c:pt idx="119">
                  <c:v>45649</c:v>
                </c:pt>
                <c:pt idx="120">
                  <c:v>45650</c:v>
                </c:pt>
                <c:pt idx="121">
                  <c:v>45652</c:v>
                </c:pt>
                <c:pt idx="122">
                  <c:v>45653</c:v>
                </c:pt>
                <c:pt idx="123">
                  <c:v>45656</c:v>
                </c:pt>
                <c:pt idx="124">
                  <c:v>45657</c:v>
                </c:pt>
                <c:pt idx="125">
                  <c:v>45659</c:v>
                </c:pt>
                <c:pt idx="126">
                  <c:v>45660</c:v>
                </c:pt>
                <c:pt idx="127">
                  <c:v>45663</c:v>
                </c:pt>
                <c:pt idx="128">
                  <c:v>45664</c:v>
                </c:pt>
                <c:pt idx="129">
                  <c:v>45665</c:v>
                </c:pt>
                <c:pt idx="130">
                  <c:v>45666</c:v>
                </c:pt>
                <c:pt idx="131">
                  <c:v>45667</c:v>
                </c:pt>
                <c:pt idx="132">
                  <c:v>45670</c:v>
                </c:pt>
                <c:pt idx="133">
                  <c:v>45671</c:v>
                </c:pt>
                <c:pt idx="134">
                  <c:v>45672</c:v>
                </c:pt>
                <c:pt idx="135">
                  <c:v>45673</c:v>
                </c:pt>
                <c:pt idx="136">
                  <c:v>45674</c:v>
                </c:pt>
                <c:pt idx="137">
                  <c:v>45677</c:v>
                </c:pt>
                <c:pt idx="138">
                  <c:v>45678</c:v>
                </c:pt>
                <c:pt idx="139">
                  <c:v>45679</c:v>
                </c:pt>
                <c:pt idx="140">
                  <c:v>45680</c:v>
                </c:pt>
                <c:pt idx="141">
                  <c:v>45681</c:v>
                </c:pt>
                <c:pt idx="142">
                  <c:v>45684</c:v>
                </c:pt>
                <c:pt idx="143">
                  <c:v>45685</c:v>
                </c:pt>
                <c:pt idx="144">
                  <c:v>45686</c:v>
                </c:pt>
                <c:pt idx="145">
                  <c:v>45687</c:v>
                </c:pt>
                <c:pt idx="146">
                  <c:v>45688</c:v>
                </c:pt>
                <c:pt idx="147">
                  <c:v>45691</c:v>
                </c:pt>
                <c:pt idx="148">
                  <c:v>45692</c:v>
                </c:pt>
                <c:pt idx="149">
                  <c:v>45693</c:v>
                </c:pt>
                <c:pt idx="150">
                  <c:v>45694</c:v>
                </c:pt>
                <c:pt idx="151">
                  <c:v>45695</c:v>
                </c:pt>
                <c:pt idx="152">
                  <c:v>45698</c:v>
                </c:pt>
                <c:pt idx="153">
                  <c:v>45699</c:v>
                </c:pt>
                <c:pt idx="154">
                  <c:v>45700</c:v>
                </c:pt>
                <c:pt idx="155">
                  <c:v>45701</c:v>
                </c:pt>
                <c:pt idx="156">
                  <c:v>45702</c:v>
                </c:pt>
                <c:pt idx="157">
                  <c:v>45705</c:v>
                </c:pt>
                <c:pt idx="158">
                  <c:v>45706</c:v>
                </c:pt>
                <c:pt idx="159">
                  <c:v>45707</c:v>
                </c:pt>
                <c:pt idx="160">
                  <c:v>45708</c:v>
                </c:pt>
                <c:pt idx="161">
                  <c:v>45709</c:v>
                </c:pt>
                <c:pt idx="162">
                  <c:v>45712</c:v>
                </c:pt>
                <c:pt idx="163">
                  <c:v>45713</c:v>
                </c:pt>
                <c:pt idx="164">
                  <c:v>45714</c:v>
                </c:pt>
                <c:pt idx="165">
                  <c:v>45715</c:v>
                </c:pt>
                <c:pt idx="166">
                  <c:v>45716</c:v>
                </c:pt>
                <c:pt idx="167">
                  <c:v>45719</c:v>
                </c:pt>
                <c:pt idx="168">
                  <c:v>45720</c:v>
                </c:pt>
                <c:pt idx="169">
                  <c:v>45721</c:v>
                </c:pt>
                <c:pt idx="170">
                  <c:v>45722</c:v>
                </c:pt>
                <c:pt idx="171">
                  <c:v>45723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</c:numCache>
            </c:numRef>
          </c:cat>
          <c:val>
            <c:numRef>
              <c:f>Feuil2!$B$6:$B$181</c:f>
              <c:numCache>
                <c:formatCode>_-* #\ ##0.0_-;\-* #\ ##0.0_-;_-* "-"??_-;_-@_-</c:formatCode>
                <c:ptCount val="176"/>
                <c:pt idx="0">
                  <c:v>1200</c:v>
                </c:pt>
                <c:pt idx="1">
                  <c:v>1900</c:v>
                </c:pt>
                <c:pt idx="2">
                  <c:v>550</c:v>
                </c:pt>
                <c:pt idx="3">
                  <c:v>800</c:v>
                </c:pt>
                <c:pt idx="4">
                  <c:v>700</c:v>
                </c:pt>
                <c:pt idx="5">
                  <c:v>800</c:v>
                </c:pt>
                <c:pt idx="6">
                  <c:v>500</c:v>
                </c:pt>
                <c:pt idx="7">
                  <c:v>900</c:v>
                </c:pt>
                <c:pt idx="8">
                  <c:v>700</c:v>
                </c:pt>
                <c:pt idx="9">
                  <c:v>1500</c:v>
                </c:pt>
                <c:pt idx="10">
                  <c:v>1850</c:v>
                </c:pt>
                <c:pt idx="11">
                  <c:v>1999.7982456200002</c:v>
                </c:pt>
                <c:pt idx="12">
                  <c:v>850</c:v>
                </c:pt>
                <c:pt idx="13">
                  <c:v>1100</c:v>
                </c:pt>
                <c:pt idx="14">
                  <c:v>800</c:v>
                </c:pt>
                <c:pt idx="15">
                  <c:v>1080</c:v>
                </c:pt>
                <c:pt idx="16">
                  <c:v>830</c:v>
                </c:pt>
                <c:pt idx="17">
                  <c:v>1980</c:v>
                </c:pt>
                <c:pt idx="18">
                  <c:v>1080</c:v>
                </c:pt>
                <c:pt idx="19">
                  <c:v>1680</c:v>
                </c:pt>
                <c:pt idx="20">
                  <c:v>1580</c:v>
                </c:pt>
                <c:pt idx="21">
                  <c:v>1680</c:v>
                </c:pt>
                <c:pt idx="22">
                  <c:v>1330</c:v>
                </c:pt>
                <c:pt idx="23">
                  <c:v>2280</c:v>
                </c:pt>
                <c:pt idx="24">
                  <c:v>1330</c:v>
                </c:pt>
                <c:pt idx="25">
                  <c:v>1030</c:v>
                </c:pt>
                <c:pt idx="26">
                  <c:v>2230</c:v>
                </c:pt>
                <c:pt idx="27">
                  <c:v>2775</c:v>
                </c:pt>
                <c:pt idx="28">
                  <c:v>2970</c:v>
                </c:pt>
                <c:pt idx="29">
                  <c:v>2800</c:v>
                </c:pt>
                <c:pt idx="30">
                  <c:v>3300</c:v>
                </c:pt>
                <c:pt idx="31">
                  <c:v>2470</c:v>
                </c:pt>
                <c:pt idx="32">
                  <c:v>4950</c:v>
                </c:pt>
                <c:pt idx="33">
                  <c:v>4980</c:v>
                </c:pt>
                <c:pt idx="34">
                  <c:v>3570</c:v>
                </c:pt>
                <c:pt idx="35">
                  <c:v>3350</c:v>
                </c:pt>
                <c:pt idx="36">
                  <c:v>3000</c:v>
                </c:pt>
                <c:pt idx="37">
                  <c:v>4400</c:v>
                </c:pt>
                <c:pt idx="38">
                  <c:v>4500</c:v>
                </c:pt>
                <c:pt idx="39">
                  <c:v>4915</c:v>
                </c:pt>
                <c:pt idx="40">
                  <c:v>3070</c:v>
                </c:pt>
                <c:pt idx="41">
                  <c:v>3172</c:v>
                </c:pt>
                <c:pt idx="42">
                  <c:v>3280</c:v>
                </c:pt>
                <c:pt idx="43">
                  <c:v>3008</c:v>
                </c:pt>
                <c:pt idx="44">
                  <c:v>3002</c:v>
                </c:pt>
                <c:pt idx="45">
                  <c:v>2506</c:v>
                </c:pt>
                <c:pt idx="46">
                  <c:v>2250</c:v>
                </c:pt>
                <c:pt idx="47">
                  <c:v>2651</c:v>
                </c:pt>
                <c:pt idx="48">
                  <c:v>2958</c:v>
                </c:pt>
                <c:pt idx="49">
                  <c:v>2745.3939999999998</c:v>
                </c:pt>
                <c:pt idx="50">
                  <c:v>2432</c:v>
                </c:pt>
                <c:pt idx="51">
                  <c:v>4784</c:v>
                </c:pt>
                <c:pt idx="52">
                  <c:v>2444</c:v>
                </c:pt>
                <c:pt idx="53">
                  <c:v>2046</c:v>
                </c:pt>
                <c:pt idx="54">
                  <c:v>2148</c:v>
                </c:pt>
                <c:pt idx="55">
                  <c:v>2244</c:v>
                </c:pt>
                <c:pt idx="56">
                  <c:v>3306</c:v>
                </c:pt>
                <c:pt idx="57">
                  <c:v>3201</c:v>
                </c:pt>
                <c:pt idx="58">
                  <c:v>3355</c:v>
                </c:pt>
                <c:pt idx="59">
                  <c:v>3151</c:v>
                </c:pt>
                <c:pt idx="60">
                  <c:v>3829</c:v>
                </c:pt>
                <c:pt idx="61">
                  <c:v>4197</c:v>
                </c:pt>
                <c:pt idx="62">
                  <c:v>3201</c:v>
                </c:pt>
                <c:pt idx="63">
                  <c:v>2175</c:v>
                </c:pt>
                <c:pt idx="64">
                  <c:v>4354</c:v>
                </c:pt>
                <c:pt idx="65">
                  <c:v>2862</c:v>
                </c:pt>
                <c:pt idx="66">
                  <c:v>3532</c:v>
                </c:pt>
                <c:pt idx="67">
                  <c:v>3643</c:v>
                </c:pt>
                <c:pt idx="68">
                  <c:v>3952</c:v>
                </c:pt>
                <c:pt idx="69">
                  <c:v>2928</c:v>
                </c:pt>
                <c:pt idx="70">
                  <c:v>3167</c:v>
                </c:pt>
                <c:pt idx="71">
                  <c:v>4002</c:v>
                </c:pt>
                <c:pt idx="72">
                  <c:v>3456</c:v>
                </c:pt>
                <c:pt idx="73">
                  <c:v>3380</c:v>
                </c:pt>
                <c:pt idx="74">
                  <c:v>4075</c:v>
                </c:pt>
                <c:pt idx="75">
                  <c:v>3178</c:v>
                </c:pt>
                <c:pt idx="76">
                  <c:v>4110</c:v>
                </c:pt>
                <c:pt idx="77">
                  <c:v>4220</c:v>
                </c:pt>
                <c:pt idx="78">
                  <c:v>3320</c:v>
                </c:pt>
                <c:pt idx="79">
                  <c:v>4540</c:v>
                </c:pt>
                <c:pt idx="80">
                  <c:v>5721</c:v>
                </c:pt>
                <c:pt idx="81">
                  <c:v>4340</c:v>
                </c:pt>
                <c:pt idx="82">
                  <c:v>4940</c:v>
                </c:pt>
                <c:pt idx="83">
                  <c:v>4185</c:v>
                </c:pt>
                <c:pt idx="84">
                  <c:v>3600</c:v>
                </c:pt>
                <c:pt idx="85">
                  <c:v>4052</c:v>
                </c:pt>
                <c:pt idx="86">
                  <c:v>3072</c:v>
                </c:pt>
                <c:pt idx="87">
                  <c:v>4271</c:v>
                </c:pt>
                <c:pt idx="88">
                  <c:v>4492</c:v>
                </c:pt>
                <c:pt idx="89">
                  <c:v>6089</c:v>
                </c:pt>
                <c:pt idx="90">
                  <c:v>5600</c:v>
                </c:pt>
                <c:pt idx="91">
                  <c:v>5920</c:v>
                </c:pt>
                <c:pt idx="92">
                  <c:v>6342</c:v>
                </c:pt>
                <c:pt idx="93">
                  <c:v>5902</c:v>
                </c:pt>
                <c:pt idx="94">
                  <c:v>5875</c:v>
                </c:pt>
                <c:pt idx="95">
                  <c:v>5339</c:v>
                </c:pt>
                <c:pt idx="96">
                  <c:v>5122</c:v>
                </c:pt>
                <c:pt idx="97">
                  <c:v>5230.5</c:v>
                </c:pt>
                <c:pt idx="98">
                  <c:v>5567</c:v>
                </c:pt>
                <c:pt idx="99">
                  <c:v>3044</c:v>
                </c:pt>
                <c:pt idx="100">
                  <c:v>3277</c:v>
                </c:pt>
                <c:pt idx="101">
                  <c:v>3140.63</c:v>
                </c:pt>
                <c:pt idx="102">
                  <c:v>3678.52</c:v>
                </c:pt>
                <c:pt idx="103">
                  <c:v>3479.25</c:v>
                </c:pt>
                <c:pt idx="104">
                  <c:v>4132</c:v>
                </c:pt>
                <c:pt idx="105">
                  <c:v>3881</c:v>
                </c:pt>
                <c:pt idx="106">
                  <c:v>3666</c:v>
                </c:pt>
                <c:pt idx="107">
                  <c:v>3682</c:v>
                </c:pt>
                <c:pt idx="108">
                  <c:v>3688</c:v>
                </c:pt>
                <c:pt idx="109">
                  <c:v>3866</c:v>
                </c:pt>
                <c:pt idx="110">
                  <c:v>3862</c:v>
                </c:pt>
                <c:pt idx="111">
                  <c:v>3852</c:v>
                </c:pt>
                <c:pt idx="112">
                  <c:v>4070</c:v>
                </c:pt>
                <c:pt idx="113">
                  <c:v>4157</c:v>
                </c:pt>
                <c:pt idx="114">
                  <c:v>4192</c:v>
                </c:pt>
                <c:pt idx="115">
                  <c:v>4262.0271249999996</c:v>
                </c:pt>
                <c:pt idx="116">
                  <c:v>4321.0069999999996</c:v>
                </c:pt>
                <c:pt idx="117">
                  <c:v>4719.66</c:v>
                </c:pt>
                <c:pt idx="118">
                  <c:v>4230</c:v>
                </c:pt>
                <c:pt idx="119">
                  <c:v>2886.2</c:v>
                </c:pt>
                <c:pt idx="120">
                  <c:v>4555.74</c:v>
                </c:pt>
                <c:pt idx="121">
                  <c:v>4491</c:v>
                </c:pt>
                <c:pt idx="122">
                  <c:v>4337.21</c:v>
                </c:pt>
                <c:pt idx="123">
                  <c:v>4416.1719999999996</c:v>
                </c:pt>
                <c:pt idx="124">
                  <c:v>3880</c:v>
                </c:pt>
                <c:pt idx="125">
                  <c:v>2800</c:v>
                </c:pt>
                <c:pt idx="126">
                  <c:v>4090.223</c:v>
                </c:pt>
                <c:pt idx="127">
                  <c:v>4215.24</c:v>
                </c:pt>
                <c:pt idx="128">
                  <c:v>4291.88</c:v>
                </c:pt>
                <c:pt idx="129">
                  <c:v>4161.165</c:v>
                </c:pt>
                <c:pt idx="130">
                  <c:v>4519.8280000000004</c:v>
                </c:pt>
                <c:pt idx="131">
                  <c:v>5343.47</c:v>
                </c:pt>
                <c:pt idx="132">
                  <c:v>4521.1180000000004</c:v>
                </c:pt>
                <c:pt idx="133">
                  <c:v>4963.17</c:v>
                </c:pt>
                <c:pt idx="134">
                  <c:v>5096.6000000000004</c:v>
                </c:pt>
                <c:pt idx="135">
                  <c:v>6100</c:v>
                </c:pt>
                <c:pt idx="136">
                  <c:v>6222</c:v>
                </c:pt>
                <c:pt idx="137">
                  <c:v>4520</c:v>
                </c:pt>
                <c:pt idx="138">
                  <c:v>5110</c:v>
                </c:pt>
                <c:pt idx="139">
                  <c:v>5380</c:v>
                </c:pt>
                <c:pt idx="140">
                  <c:v>4900</c:v>
                </c:pt>
                <c:pt idx="141">
                  <c:v>3880</c:v>
                </c:pt>
                <c:pt idx="142">
                  <c:v>5510</c:v>
                </c:pt>
                <c:pt idx="143">
                  <c:v>6630</c:v>
                </c:pt>
                <c:pt idx="144">
                  <c:v>6640</c:v>
                </c:pt>
                <c:pt idx="145">
                  <c:v>7322</c:v>
                </c:pt>
                <c:pt idx="146">
                  <c:v>7470</c:v>
                </c:pt>
                <c:pt idx="147">
                  <c:v>7220</c:v>
                </c:pt>
                <c:pt idx="148">
                  <c:v>7192</c:v>
                </c:pt>
                <c:pt idx="149">
                  <c:v>6730</c:v>
                </c:pt>
                <c:pt idx="150">
                  <c:v>7150</c:v>
                </c:pt>
                <c:pt idx="151">
                  <c:v>7440</c:v>
                </c:pt>
                <c:pt idx="152">
                  <c:v>7860</c:v>
                </c:pt>
                <c:pt idx="153">
                  <c:v>5920</c:v>
                </c:pt>
                <c:pt idx="154">
                  <c:v>6020</c:v>
                </c:pt>
                <c:pt idx="155">
                  <c:v>7390</c:v>
                </c:pt>
                <c:pt idx="156">
                  <c:v>6880</c:v>
                </c:pt>
                <c:pt idx="157">
                  <c:v>4990</c:v>
                </c:pt>
                <c:pt idx="158">
                  <c:v>6430</c:v>
                </c:pt>
                <c:pt idx="159">
                  <c:v>5760</c:v>
                </c:pt>
                <c:pt idx="160">
                  <c:v>6254</c:v>
                </c:pt>
                <c:pt idx="161">
                  <c:v>6490</c:v>
                </c:pt>
                <c:pt idx="162">
                  <c:v>6880</c:v>
                </c:pt>
                <c:pt idx="163">
                  <c:v>7775</c:v>
                </c:pt>
                <c:pt idx="164">
                  <c:v>8060</c:v>
                </c:pt>
                <c:pt idx="165">
                  <c:v>7615</c:v>
                </c:pt>
                <c:pt idx="166">
                  <c:v>7340</c:v>
                </c:pt>
                <c:pt idx="167">
                  <c:v>7716</c:v>
                </c:pt>
                <c:pt idx="168">
                  <c:v>7920</c:v>
                </c:pt>
                <c:pt idx="169">
                  <c:v>7890</c:v>
                </c:pt>
                <c:pt idx="170">
                  <c:v>7730</c:v>
                </c:pt>
                <c:pt idx="171">
                  <c:v>7830</c:v>
                </c:pt>
                <c:pt idx="172">
                  <c:v>8170</c:v>
                </c:pt>
                <c:pt idx="173">
                  <c:v>8320</c:v>
                </c:pt>
                <c:pt idx="174">
                  <c:v>7990</c:v>
                </c:pt>
                <c:pt idx="175">
                  <c:v>7267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D-4A8F-9438-2AB52A45D25E}"/>
            </c:ext>
          </c:extLst>
        </c:ser>
        <c:ser>
          <c:idx val="1"/>
          <c:order val="1"/>
          <c:tx>
            <c:strRef>
              <c:f>Feuil2!$C$5</c:f>
              <c:strCache>
                <c:ptCount val="1"/>
                <c:pt idx="0">
                  <c:v>Facilité Islamique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Feuil2!$A$6:$A$181</c:f>
              <c:numCache>
                <c:formatCode>m/d/yyyy</c:formatCode>
                <c:ptCount val="176"/>
                <c:pt idx="0">
                  <c:v>45470</c:v>
                </c:pt>
                <c:pt idx="1">
                  <c:v>45471</c:v>
                </c:pt>
                <c:pt idx="2">
                  <c:v>45474</c:v>
                </c:pt>
                <c:pt idx="3">
                  <c:v>45475</c:v>
                </c:pt>
                <c:pt idx="4">
                  <c:v>45476</c:v>
                </c:pt>
                <c:pt idx="5">
                  <c:v>45477</c:v>
                </c:pt>
                <c:pt idx="6">
                  <c:v>45478</c:v>
                </c:pt>
                <c:pt idx="7">
                  <c:v>45482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45509</c:v>
                </c:pt>
                <c:pt idx="24">
                  <c:v>45510</c:v>
                </c:pt>
                <c:pt idx="25">
                  <c:v>45511</c:v>
                </c:pt>
                <c:pt idx="26">
                  <c:v>45512</c:v>
                </c:pt>
                <c:pt idx="27">
                  <c:v>45513</c:v>
                </c:pt>
                <c:pt idx="28">
                  <c:v>45516</c:v>
                </c:pt>
                <c:pt idx="29">
                  <c:v>45518</c:v>
                </c:pt>
                <c:pt idx="30">
                  <c:v>45519</c:v>
                </c:pt>
                <c:pt idx="31">
                  <c:v>45520</c:v>
                </c:pt>
                <c:pt idx="32">
                  <c:v>45523</c:v>
                </c:pt>
                <c:pt idx="33">
                  <c:v>45524</c:v>
                </c:pt>
                <c:pt idx="34">
                  <c:v>45525</c:v>
                </c:pt>
                <c:pt idx="35">
                  <c:v>45526</c:v>
                </c:pt>
                <c:pt idx="36">
                  <c:v>45527</c:v>
                </c:pt>
                <c:pt idx="37">
                  <c:v>45530</c:v>
                </c:pt>
                <c:pt idx="38">
                  <c:v>45531</c:v>
                </c:pt>
                <c:pt idx="39">
                  <c:v>45532</c:v>
                </c:pt>
                <c:pt idx="40">
                  <c:v>45533</c:v>
                </c:pt>
                <c:pt idx="41">
                  <c:v>45534</c:v>
                </c:pt>
                <c:pt idx="42">
                  <c:v>45537</c:v>
                </c:pt>
                <c:pt idx="43">
                  <c:v>45538</c:v>
                </c:pt>
                <c:pt idx="44">
                  <c:v>45539</c:v>
                </c:pt>
                <c:pt idx="45">
                  <c:v>45540</c:v>
                </c:pt>
                <c:pt idx="46">
                  <c:v>45541</c:v>
                </c:pt>
                <c:pt idx="47">
                  <c:v>45544</c:v>
                </c:pt>
                <c:pt idx="48">
                  <c:v>45545</c:v>
                </c:pt>
                <c:pt idx="49">
                  <c:v>45546</c:v>
                </c:pt>
                <c:pt idx="50">
                  <c:v>45547</c:v>
                </c:pt>
                <c:pt idx="51">
                  <c:v>45548</c:v>
                </c:pt>
                <c:pt idx="52">
                  <c:v>45552</c:v>
                </c:pt>
                <c:pt idx="53">
                  <c:v>45553</c:v>
                </c:pt>
                <c:pt idx="54">
                  <c:v>45554</c:v>
                </c:pt>
                <c:pt idx="55">
                  <c:v>45555</c:v>
                </c:pt>
                <c:pt idx="56">
                  <c:v>45558</c:v>
                </c:pt>
                <c:pt idx="57">
                  <c:v>45559</c:v>
                </c:pt>
                <c:pt idx="58">
                  <c:v>45560</c:v>
                </c:pt>
                <c:pt idx="59">
                  <c:v>45561</c:v>
                </c:pt>
                <c:pt idx="60">
                  <c:v>45562</c:v>
                </c:pt>
                <c:pt idx="61">
                  <c:v>45565</c:v>
                </c:pt>
                <c:pt idx="62">
                  <c:v>45566</c:v>
                </c:pt>
                <c:pt idx="63">
                  <c:v>45567</c:v>
                </c:pt>
                <c:pt idx="64">
                  <c:v>45568</c:v>
                </c:pt>
                <c:pt idx="65">
                  <c:v>45569</c:v>
                </c:pt>
                <c:pt idx="66">
                  <c:v>45572</c:v>
                </c:pt>
                <c:pt idx="67">
                  <c:v>45573</c:v>
                </c:pt>
                <c:pt idx="68">
                  <c:v>45574</c:v>
                </c:pt>
                <c:pt idx="69">
                  <c:v>45575</c:v>
                </c:pt>
                <c:pt idx="70">
                  <c:v>45576</c:v>
                </c:pt>
                <c:pt idx="71">
                  <c:v>45579</c:v>
                </c:pt>
                <c:pt idx="72">
                  <c:v>45580</c:v>
                </c:pt>
                <c:pt idx="73">
                  <c:v>45581</c:v>
                </c:pt>
                <c:pt idx="74">
                  <c:v>45582</c:v>
                </c:pt>
                <c:pt idx="75">
                  <c:v>45583</c:v>
                </c:pt>
                <c:pt idx="76">
                  <c:v>45586</c:v>
                </c:pt>
                <c:pt idx="77">
                  <c:v>45587</c:v>
                </c:pt>
                <c:pt idx="78">
                  <c:v>45588</c:v>
                </c:pt>
                <c:pt idx="79">
                  <c:v>45589</c:v>
                </c:pt>
                <c:pt idx="80">
                  <c:v>45590</c:v>
                </c:pt>
                <c:pt idx="81">
                  <c:v>45593</c:v>
                </c:pt>
                <c:pt idx="82">
                  <c:v>45594</c:v>
                </c:pt>
                <c:pt idx="83">
                  <c:v>45595</c:v>
                </c:pt>
                <c:pt idx="84">
                  <c:v>45596</c:v>
                </c:pt>
                <c:pt idx="85">
                  <c:v>45597</c:v>
                </c:pt>
                <c:pt idx="86">
                  <c:v>45600</c:v>
                </c:pt>
                <c:pt idx="87">
                  <c:v>45601</c:v>
                </c:pt>
                <c:pt idx="88">
                  <c:v>45602</c:v>
                </c:pt>
                <c:pt idx="89">
                  <c:v>45603</c:v>
                </c:pt>
                <c:pt idx="90">
                  <c:v>45604</c:v>
                </c:pt>
                <c:pt idx="91">
                  <c:v>45607</c:v>
                </c:pt>
                <c:pt idx="92">
                  <c:v>45608</c:v>
                </c:pt>
                <c:pt idx="93">
                  <c:v>45609</c:v>
                </c:pt>
                <c:pt idx="94">
                  <c:v>45610</c:v>
                </c:pt>
                <c:pt idx="95">
                  <c:v>45611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45621</c:v>
                </c:pt>
                <c:pt idx="102">
                  <c:v>45622</c:v>
                </c:pt>
                <c:pt idx="103">
                  <c:v>45623</c:v>
                </c:pt>
                <c:pt idx="104">
                  <c:v>45628</c:v>
                </c:pt>
                <c:pt idx="105">
                  <c:v>45629</c:v>
                </c:pt>
                <c:pt idx="106">
                  <c:v>45630</c:v>
                </c:pt>
                <c:pt idx="107">
                  <c:v>45631</c:v>
                </c:pt>
                <c:pt idx="108">
                  <c:v>45632</c:v>
                </c:pt>
                <c:pt idx="109">
                  <c:v>45635</c:v>
                </c:pt>
                <c:pt idx="110">
                  <c:v>45636</c:v>
                </c:pt>
                <c:pt idx="111">
                  <c:v>45637</c:v>
                </c:pt>
                <c:pt idx="112">
                  <c:v>45638</c:v>
                </c:pt>
                <c:pt idx="113">
                  <c:v>45639</c:v>
                </c:pt>
                <c:pt idx="114">
                  <c:v>45642</c:v>
                </c:pt>
                <c:pt idx="115">
                  <c:v>45643</c:v>
                </c:pt>
                <c:pt idx="116">
                  <c:v>45644</c:v>
                </c:pt>
                <c:pt idx="117">
                  <c:v>45645</c:v>
                </c:pt>
                <c:pt idx="118">
                  <c:v>45646</c:v>
                </c:pt>
                <c:pt idx="119">
                  <c:v>45649</c:v>
                </c:pt>
                <c:pt idx="120">
                  <c:v>45650</c:v>
                </c:pt>
                <c:pt idx="121">
                  <c:v>45652</c:v>
                </c:pt>
                <c:pt idx="122">
                  <c:v>45653</c:v>
                </c:pt>
                <c:pt idx="123">
                  <c:v>45656</c:v>
                </c:pt>
                <c:pt idx="124">
                  <c:v>45657</c:v>
                </c:pt>
                <c:pt idx="125">
                  <c:v>45659</c:v>
                </c:pt>
                <c:pt idx="126">
                  <c:v>45660</c:v>
                </c:pt>
                <c:pt idx="127">
                  <c:v>45663</c:v>
                </c:pt>
                <c:pt idx="128">
                  <c:v>45664</c:v>
                </c:pt>
                <c:pt idx="129">
                  <c:v>45665</c:v>
                </c:pt>
                <c:pt idx="130">
                  <c:v>45666</c:v>
                </c:pt>
                <c:pt idx="131">
                  <c:v>45667</c:v>
                </c:pt>
                <c:pt idx="132">
                  <c:v>45670</c:v>
                </c:pt>
                <c:pt idx="133">
                  <c:v>45671</c:v>
                </c:pt>
                <c:pt idx="134">
                  <c:v>45672</c:v>
                </c:pt>
                <c:pt idx="135">
                  <c:v>45673</c:v>
                </c:pt>
                <c:pt idx="136">
                  <c:v>45674</c:v>
                </c:pt>
                <c:pt idx="137">
                  <c:v>45677</c:v>
                </c:pt>
                <c:pt idx="138">
                  <c:v>45678</c:v>
                </c:pt>
                <c:pt idx="139">
                  <c:v>45679</c:v>
                </c:pt>
                <c:pt idx="140">
                  <c:v>45680</c:v>
                </c:pt>
                <c:pt idx="141">
                  <c:v>45681</c:v>
                </c:pt>
                <c:pt idx="142">
                  <c:v>45684</c:v>
                </c:pt>
                <c:pt idx="143">
                  <c:v>45685</c:v>
                </c:pt>
                <c:pt idx="144">
                  <c:v>45686</c:v>
                </c:pt>
                <c:pt idx="145">
                  <c:v>45687</c:v>
                </c:pt>
                <c:pt idx="146">
                  <c:v>45688</c:v>
                </c:pt>
                <c:pt idx="147">
                  <c:v>45691</c:v>
                </c:pt>
                <c:pt idx="148">
                  <c:v>45692</c:v>
                </c:pt>
                <c:pt idx="149">
                  <c:v>45693</c:v>
                </c:pt>
                <c:pt idx="150">
                  <c:v>45694</c:v>
                </c:pt>
                <c:pt idx="151">
                  <c:v>45695</c:v>
                </c:pt>
                <c:pt idx="152">
                  <c:v>45698</c:v>
                </c:pt>
                <c:pt idx="153">
                  <c:v>45699</c:v>
                </c:pt>
                <c:pt idx="154">
                  <c:v>45700</c:v>
                </c:pt>
                <c:pt idx="155">
                  <c:v>45701</c:v>
                </c:pt>
                <c:pt idx="156">
                  <c:v>45702</c:v>
                </c:pt>
                <c:pt idx="157">
                  <c:v>45705</c:v>
                </c:pt>
                <c:pt idx="158">
                  <c:v>45706</c:v>
                </c:pt>
                <c:pt idx="159">
                  <c:v>45707</c:v>
                </c:pt>
                <c:pt idx="160">
                  <c:v>45708</c:v>
                </c:pt>
                <c:pt idx="161">
                  <c:v>45709</c:v>
                </c:pt>
                <c:pt idx="162">
                  <c:v>45712</c:v>
                </c:pt>
                <c:pt idx="163">
                  <c:v>45713</c:v>
                </c:pt>
                <c:pt idx="164">
                  <c:v>45714</c:v>
                </c:pt>
                <c:pt idx="165">
                  <c:v>45715</c:v>
                </c:pt>
                <c:pt idx="166">
                  <c:v>45716</c:v>
                </c:pt>
                <c:pt idx="167">
                  <c:v>45719</c:v>
                </c:pt>
                <c:pt idx="168">
                  <c:v>45720</c:v>
                </c:pt>
                <c:pt idx="169">
                  <c:v>45721</c:v>
                </c:pt>
                <c:pt idx="170">
                  <c:v>45722</c:v>
                </c:pt>
                <c:pt idx="171">
                  <c:v>45723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</c:numCache>
            </c:numRef>
          </c:cat>
          <c:val>
            <c:numRef>
              <c:f>Feuil2!$C$6:$C$181</c:f>
              <c:numCache>
                <c:formatCode>_(* #,##0.00_);_(* \(#,##0.00\);_(* "-"??_);_(@_)</c:formatCode>
                <c:ptCount val="176"/>
                <c:pt idx="124">
                  <c:v>2740</c:v>
                </c:pt>
                <c:pt idx="125">
                  <c:v>6220</c:v>
                </c:pt>
                <c:pt idx="126">
                  <c:v>6420</c:v>
                </c:pt>
                <c:pt idx="127">
                  <c:v>6260</c:v>
                </c:pt>
                <c:pt idx="128">
                  <c:v>6140</c:v>
                </c:pt>
                <c:pt idx="129">
                  <c:v>6160</c:v>
                </c:pt>
                <c:pt idx="130">
                  <c:v>300</c:v>
                </c:pt>
                <c:pt idx="131">
                  <c:v>8800</c:v>
                </c:pt>
                <c:pt idx="132">
                  <c:v>8650</c:v>
                </c:pt>
                <c:pt idx="133">
                  <c:v>8700</c:v>
                </c:pt>
                <c:pt idx="134">
                  <c:v>8650</c:v>
                </c:pt>
                <c:pt idx="135">
                  <c:v>8900</c:v>
                </c:pt>
                <c:pt idx="136">
                  <c:v>9050</c:v>
                </c:pt>
                <c:pt idx="137">
                  <c:v>8650</c:v>
                </c:pt>
                <c:pt idx="138">
                  <c:v>5170</c:v>
                </c:pt>
                <c:pt idx="139">
                  <c:v>7800</c:v>
                </c:pt>
                <c:pt idx="140">
                  <c:v>9415</c:v>
                </c:pt>
                <c:pt idx="141">
                  <c:v>10515</c:v>
                </c:pt>
                <c:pt idx="142">
                  <c:v>5950</c:v>
                </c:pt>
                <c:pt idx="143">
                  <c:v>10080</c:v>
                </c:pt>
                <c:pt idx="144">
                  <c:v>10580</c:v>
                </c:pt>
                <c:pt idx="145">
                  <c:v>9370</c:v>
                </c:pt>
                <c:pt idx="146">
                  <c:v>10450</c:v>
                </c:pt>
                <c:pt idx="147">
                  <c:v>6800</c:v>
                </c:pt>
                <c:pt idx="148">
                  <c:v>10300</c:v>
                </c:pt>
                <c:pt idx="149">
                  <c:v>10300</c:v>
                </c:pt>
                <c:pt idx="150">
                  <c:v>10800</c:v>
                </c:pt>
                <c:pt idx="151">
                  <c:v>10765</c:v>
                </c:pt>
                <c:pt idx="152">
                  <c:v>10735</c:v>
                </c:pt>
                <c:pt idx="153">
                  <c:v>10765</c:v>
                </c:pt>
                <c:pt idx="154">
                  <c:v>10600</c:v>
                </c:pt>
                <c:pt idx="155">
                  <c:v>10100</c:v>
                </c:pt>
                <c:pt idx="156">
                  <c:v>6850</c:v>
                </c:pt>
                <c:pt idx="157">
                  <c:v>10080</c:v>
                </c:pt>
                <c:pt idx="158">
                  <c:v>10000</c:v>
                </c:pt>
                <c:pt idx="159">
                  <c:v>10080</c:v>
                </c:pt>
                <c:pt idx="160">
                  <c:v>10500</c:v>
                </c:pt>
                <c:pt idx="161">
                  <c:v>10500</c:v>
                </c:pt>
                <c:pt idx="162">
                  <c:v>10500</c:v>
                </c:pt>
                <c:pt idx="163">
                  <c:v>10620</c:v>
                </c:pt>
                <c:pt idx="164">
                  <c:v>10950</c:v>
                </c:pt>
                <c:pt idx="165">
                  <c:v>10850</c:v>
                </c:pt>
                <c:pt idx="166">
                  <c:v>10950</c:v>
                </c:pt>
                <c:pt idx="167">
                  <c:v>10950</c:v>
                </c:pt>
                <c:pt idx="168">
                  <c:v>10950</c:v>
                </c:pt>
                <c:pt idx="169">
                  <c:v>10950</c:v>
                </c:pt>
                <c:pt idx="170">
                  <c:v>10800</c:v>
                </c:pt>
                <c:pt idx="171">
                  <c:v>10900</c:v>
                </c:pt>
                <c:pt idx="172">
                  <c:v>10750</c:v>
                </c:pt>
                <c:pt idx="173">
                  <c:v>10750</c:v>
                </c:pt>
                <c:pt idx="174">
                  <c:v>9650</c:v>
                </c:pt>
                <c:pt idx="175">
                  <c:v>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8D-4A8F-9438-2AB52A45D25E}"/>
            </c:ext>
          </c:extLst>
        </c:ser>
        <c:ser>
          <c:idx val="4"/>
          <c:order val="4"/>
          <c:tx>
            <c:strRef>
              <c:f>Feuil2!$F$5</c:f>
              <c:strCache>
                <c:ptCount val="1"/>
                <c:pt idx="0">
                  <c:v>Réserves Libre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Feuil2!$A$6:$A$181</c:f>
              <c:numCache>
                <c:formatCode>m/d/yyyy</c:formatCode>
                <c:ptCount val="176"/>
                <c:pt idx="0">
                  <c:v>45470</c:v>
                </c:pt>
                <c:pt idx="1">
                  <c:v>45471</c:v>
                </c:pt>
                <c:pt idx="2">
                  <c:v>45474</c:v>
                </c:pt>
                <c:pt idx="3">
                  <c:v>45475</c:v>
                </c:pt>
                <c:pt idx="4">
                  <c:v>45476</c:v>
                </c:pt>
                <c:pt idx="5">
                  <c:v>45477</c:v>
                </c:pt>
                <c:pt idx="6">
                  <c:v>45478</c:v>
                </c:pt>
                <c:pt idx="7">
                  <c:v>45482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45490</c:v>
                </c:pt>
                <c:pt idx="13">
                  <c:v>45491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45509</c:v>
                </c:pt>
                <c:pt idx="24">
                  <c:v>45510</c:v>
                </c:pt>
                <c:pt idx="25">
                  <c:v>45511</c:v>
                </c:pt>
                <c:pt idx="26">
                  <c:v>45512</c:v>
                </c:pt>
                <c:pt idx="27">
                  <c:v>45513</c:v>
                </c:pt>
                <c:pt idx="28">
                  <c:v>45516</c:v>
                </c:pt>
                <c:pt idx="29">
                  <c:v>45518</c:v>
                </c:pt>
                <c:pt idx="30">
                  <c:v>45519</c:v>
                </c:pt>
                <c:pt idx="31">
                  <c:v>45520</c:v>
                </c:pt>
                <c:pt idx="32">
                  <c:v>45523</c:v>
                </c:pt>
                <c:pt idx="33">
                  <c:v>45524</c:v>
                </c:pt>
                <c:pt idx="34">
                  <c:v>45525</c:v>
                </c:pt>
                <c:pt idx="35">
                  <c:v>45526</c:v>
                </c:pt>
                <c:pt idx="36">
                  <c:v>45527</c:v>
                </c:pt>
                <c:pt idx="37">
                  <c:v>45530</c:v>
                </c:pt>
                <c:pt idx="38">
                  <c:v>45531</c:v>
                </c:pt>
                <c:pt idx="39">
                  <c:v>45532</c:v>
                </c:pt>
                <c:pt idx="40">
                  <c:v>45533</c:v>
                </c:pt>
                <c:pt idx="41">
                  <c:v>45534</c:v>
                </c:pt>
                <c:pt idx="42">
                  <c:v>45537</c:v>
                </c:pt>
                <c:pt idx="43">
                  <c:v>45538</c:v>
                </c:pt>
                <c:pt idx="44">
                  <c:v>45539</c:v>
                </c:pt>
                <c:pt idx="45">
                  <c:v>45540</c:v>
                </c:pt>
                <c:pt idx="46">
                  <c:v>45541</c:v>
                </c:pt>
                <c:pt idx="47">
                  <c:v>45544</c:v>
                </c:pt>
                <c:pt idx="48">
                  <c:v>45545</c:v>
                </c:pt>
                <c:pt idx="49">
                  <c:v>45546</c:v>
                </c:pt>
                <c:pt idx="50">
                  <c:v>45547</c:v>
                </c:pt>
                <c:pt idx="51">
                  <c:v>45548</c:v>
                </c:pt>
                <c:pt idx="52">
                  <c:v>45552</c:v>
                </c:pt>
                <c:pt idx="53">
                  <c:v>45553</c:v>
                </c:pt>
                <c:pt idx="54">
                  <c:v>45554</c:v>
                </c:pt>
                <c:pt idx="55">
                  <c:v>45555</c:v>
                </c:pt>
                <c:pt idx="56">
                  <c:v>45558</c:v>
                </c:pt>
                <c:pt idx="57">
                  <c:v>45559</c:v>
                </c:pt>
                <c:pt idx="58">
                  <c:v>45560</c:v>
                </c:pt>
                <c:pt idx="59">
                  <c:v>45561</c:v>
                </c:pt>
                <c:pt idx="60">
                  <c:v>45562</c:v>
                </c:pt>
                <c:pt idx="61">
                  <c:v>45565</c:v>
                </c:pt>
                <c:pt idx="62">
                  <c:v>45566</c:v>
                </c:pt>
                <c:pt idx="63">
                  <c:v>45567</c:v>
                </c:pt>
                <c:pt idx="64">
                  <c:v>45568</c:v>
                </c:pt>
                <c:pt idx="65">
                  <c:v>45569</c:v>
                </c:pt>
                <c:pt idx="66">
                  <c:v>45572</c:v>
                </c:pt>
                <c:pt idx="67">
                  <c:v>45573</c:v>
                </c:pt>
                <c:pt idx="68">
                  <c:v>45574</c:v>
                </c:pt>
                <c:pt idx="69">
                  <c:v>45575</c:v>
                </c:pt>
                <c:pt idx="70">
                  <c:v>45576</c:v>
                </c:pt>
                <c:pt idx="71">
                  <c:v>45579</c:v>
                </c:pt>
                <c:pt idx="72">
                  <c:v>45580</c:v>
                </c:pt>
                <c:pt idx="73">
                  <c:v>45581</c:v>
                </c:pt>
                <c:pt idx="74">
                  <c:v>45582</c:v>
                </c:pt>
                <c:pt idx="75">
                  <c:v>45583</c:v>
                </c:pt>
                <c:pt idx="76">
                  <c:v>45586</c:v>
                </c:pt>
                <c:pt idx="77">
                  <c:v>45587</c:v>
                </c:pt>
                <c:pt idx="78">
                  <c:v>45588</c:v>
                </c:pt>
                <c:pt idx="79">
                  <c:v>45589</c:v>
                </c:pt>
                <c:pt idx="80">
                  <c:v>45590</c:v>
                </c:pt>
                <c:pt idx="81">
                  <c:v>45593</c:v>
                </c:pt>
                <c:pt idx="82">
                  <c:v>45594</c:v>
                </c:pt>
                <c:pt idx="83">
                  <c:v>45595</c:v>
                </c:pt>
                <c:pt idx="84">
                  <c:v>45596</c:v>
                </c:pt>
                <c:pt idx="85">
                  <c:v>45597</c:v>
                </c:pt>
                <c:pt idx="86">
                  <c:v>45600</c:v>
                </c:pt>
                <c:pt idx="87">
                  <c:v>45601</c:v>
                </c:pt>
                <c:pt idx="88">
                  <c:v>45602</c:v>
                </c:pt>
                <c:pt idx="89">
                  <c:v>45603</c:v>
                </c:pt>
                <c:pt idx="90">
                  <c:v>45604</c:v>
                </c:pt>
                <c:pt idx="91">
                  <c:v>45607</c:v>
                </c:pt>
                <c:pt idx="92">
                  <c:v>45608</c:v>
                </c:pt>
                <c:pt idx="93">
                  <c:v>45609</c:v>
                </c:pt>
                <c:pt idx="94">
                  <c:v>45610</c:v>
                </c:pt>
                <c:pt idx="95">
                  <c:v>45611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45621</c:v>
                </c:pt>
                <c:pt idx="102">
                  <c:v>45622</c:v>
                </c:pt>
                <c:pt idx="103">
                  <c:v>45623</c:v>
                </c:pt>
                <c:pt idx="104">
                  <c:v>45628</c:v>
                </c:pt>
                <c:pt idx="105">
                  <c:v>45629</c:v>
                </c:pt>
                <c:pt idx="106">
                  <c:v>45630</c:v>
                </c:pt>
                <c:pt idx="107">
                  <c:v>45631</c:v>
                </c:pt>
                <c:pt idx="108">
                  <c:v>45632</c:v>
                </c:pt>
                <c:pt idx="109">
                  <c:v>45635</c:v>
                </c:pt>
                <c:pt idx="110">
                  <c:v>45636</c:v>
                </c:pt>
                <c:pt idx="111">
                  <c:v>45637</c:v>
                </c:pt>
                <c:pt idx="112">
                  <c:v>45638</c:v>
                </c:pt>
                <c:pt idx="113">
                  <c:v>45639</c:v>
                </c:pt>
                <c:pt idx="114">
                  <c:v>45642</c:v>
                </c:pt>
                <c:pt idx="115">
                  <c:v>45643</c:v>
                </c:pt>
                <c:pt idx="116">
                  <c:v>45644</c:v>
                </c:pt>
                <c:pt idx="117">
                  <c:v>45645</c:v>
                </c:pt>
                <c:pt idx="118">
                  <c:v>45646</c:v>
                </c:pt>
                <c:pt idx="119">
                  <c:v>45649</c:v>
                </c:pt>
                <c:pt idx="120">
                  <c:v>45650</c:v>
                </c:pt>
                <c:pt idx="121">
                  <c:v>45652</c:v>
                </c:pt>
                <c:pt idx="122">
                  <c:v>45653</c:v>
                </c:pt>
                <c:pt idx="123">
                  <c:v>45656</c:v>
                </c:pt>
                <c:pt idx="124">
                  <c:v>45657</c:v>
                </c:pt>
                <c:pt idx="125">
                  <c:v>45659</c:v>
                </c:pt>
                <c:pt idx="126">
                  <c:v>45660</c:v>
                </c:pt>
                <c:pt idx="127">
                  <c:v>45663</c:v>
                </c:pt>
                <c:pt idx="128">
                  <c:v>45664</c:v>
                </c:pt>
                <c:pt idx="129">
                  <c:v>45665</c:v>
                </c:pt>
                <c:pt idx="130">
                  <c:v>45666</c:v>
                </c:pt>
                <c:pt idx="131">
                  <c:v>45667</c:v>
                </c:pt>
                <c:pt idx="132">
                  <c:v>45670</c:v>
                </c:pt>
                <c:pt idx="133">
                  <c:v>45671</c:v>
                </c:pt>
                <c:pt idx="134">
                  <c:v>45672</c:v>
                </c:pt>
                <c:pt idx="135">
                  <c:v>45673</c:v>
                </c:pt>
                <c:pt idx="136">
                  <c:v>45674</c:v>
                </c:pt>
                <c:pt idx="137">
                  <c:v>45677</c:v>
                </c:pt>
                <c:pt idx="138">
                  <c:v>45678</c:v>
                </c:pt>
                <c:pt idx="139">
                  <c:v>45679</c:v>
                </c:pt>
                <c:pt idx="140">
                  <c:v>45680</c:v>
                </c:pt>
                <c:pt idx="141">
                  <c:v>45681</c:v>
                </c:pt>
                <c:pt idx="142">
                  <c:v>45684</c:v>
                </c:pt>
                <c:pt idx="143">
                  <c:v>45685</c:v>
                </c:pt>
                <c:pt idx="144">
                  <c:v>45686</c:v>
                </c:pt>
                <c:pt idx="145">
                  <c:v>45687</c:v>
                </c:pt>
                <c:pt idx="146">
                  <c:v>45688</c:v>
                </c:pt>
                <c:pt idx="147">
                  <c:v>45691</c:v>
                </c:pt>
                <c:pt idx="148">
                  <c:v>45692</c:v>
                </c:pt>
                <c:pt idx="149">
                  <c:v>45693</c:v>
                </c:pt>
                <c:pt idx="150">
                  <c:v>45694</c:v>
                </c:pt>
                <c:pt idx="151">
                  <c:v>45695</c:v>
                </c:pt>
                <c:pt idx="152">
                  <c:v>45698</c:v>
                </c:pt>
                <c:pt idx="153">
                  <c:v>45699</c:v>
                </c:pt>
                <c:pt idx="154">
                  <c:v>45700</c:v>
                </c:pt>
                <c:pt idx="155">
                  <c:v>45701</c:v>
                </c:pt>
                <c:pt idx="156">
                  <c:v>45702</c:v>
                </c:pt>
                <c:pt idx="157">
                  <c:v>45705</c:v>
                </c:pt>
                <c:pt idx="158">
                  <c:v>45706</c:v>
                </c:pt>
                <c:pt idx="159">
                  <c:v>45707</c:v>
                </c:pt>
                <c:pt idx="160">
                  <c:v>45708</c:v>
                </c:pt>
                <c:pt idx="161">
                  <c:v>45709</c:v>
                </c:pt>
                <c:pt idx="162">
                  <c:v>45712</c:v>
                </c:pt>
                <c:pt idx="163">
                  <c:v>45713</c:v>
                </c:pt>
                <c:pt idx="164">
                  <c:v>45714</c:v>
                </c:pt>
                <c:pt idx="165">
                  <c:v>45715</c:v>
                </c:pt>
                <c:pt idx="166">
                  <c:v>45716</c:v>
                </c:pt>
                <c:pt idx="167">
                  <c:v>45719</c:v>
                </c:pt>
                <c:pt idx="168">
                  <c:v>45720</c:v>
                </c:pt>
                <c:pt idx="169">
                  <c:v>45721</c:v>
                </c:pt>
                <c:pt idx="170">
                  <c:v>45722</c:v>
                </c:pt>
                <c:pt idx="171">
                  <c:v>45723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</c:numCache>
            </c:numRef>
          </c:cat>
          <c:val>
            <c:numRef>
              <c:f>Feuil2!$F$6:$F$181</c:f>
              <c:numCache>
                <c:formatCode>_(* #,##0.00_);_(* \(#,##0.00\);_(* "-"??_);_(@_)</c:formatCode>
                <c:ptCount val="176"/>
                <c:pt idx="0">
                  <c:v>1575.8531247463172</c:v>
                </c:pt>
                <c:pt idx="1">
                  <c:v>1109.1811205263175</c:v>
                </c:pt>
                <c:pt idx="2">
                  <c:v>1604.6216908763179</c:v>
                </c:pt>
                <c:pt idx="3">
                  <c:v>1734.7257369663173</c:v>
                </c:pt>
                <c:pt idx="4">
                  <c:v>1538.4517706363176</c:v>
                </c:pt>
                <c:pt idx="5">
                  <c:v>4554.6504251663164</c:v>
                </c:pt>
                <c:pt idx="6">
                  <c:v>4817.855320426318</c:v>
                </c:pt>
                <c:pt idx="7">
                  <c:v>1188.0237917770539</c:v>
                </c:pt>
                <c:pt idx="8">
                  <c:v>2495.892460187054</c:v>
                </c:pt>
                <c:pt idx="9">
                  <c:v>1718.433069007054</c:v>
                </c:pt>
                <c:pt idx="10">
                  <c:v>1349.0286269770529</c:v>
                </c:pt>
                <c:pt idx="11">
                  <c:v>1543.9662497670538</c:v>
                </c:pt>
                <c:pt idx="12">
                  <c:v>1982.1572889970535</c:v>
                </c:pt>
                <c:pt idx="13">
                  <c:v>603.72381386705388</c:v>
                </c:pt>
                <c:pt idx="14">
                  <c:v>346.29326011705376</c:v>
                </c:pt>
                <c:pt idx="15">
                  <c:v>1589.7313799670533</c:v>
                </c:pt>
                <c:pt idx="16">
                  <c:v>2820.5700396270536</c:v>
                </c:pt>
                <c:pt idx="17">
                  <c:v>1596.125033447054</c:v>
                </c:pt>
                <c:pt idx="18">
                  <c:v>2197.8931456870537</c:v>
                </c:pt>
                <c:pt idx="19">
                  <c:v>1899.6604102870538</c:v>
                </c:pt>
                <c:pt idx="20">
                  <c:v>2274.8238123770534</c:v>
                </c:pt>
                <c:pt idx="21">
                  <c:v>1961.8457196670536</c:v>
                </c:pt>
                <c:pt idx="22">
                  <c:v>-407.83553804294644</c:v>
                </c:pt>
                <c:pt idx="23">
                  <c:v>-1412.9296561667538</c:v>
                </c:pt>
                <c:pt idx="24">
                  <c:v>-184.56270182675388</c:v>
                </c:pt>
                <c:pt idx="25">
                  <c:v>60.069822853246194</c:v>
                </c:pt>
                <c:pt idx="26">
                  <c:v>321.69309106324596</c:v>
                </c:pt>
                <c:pt idx="27">
                  <c:v>107.54845029324625</c:v>
                </c:pt>
                <c:pt idx="28">
                  <c:v>-151.581325126754</c:v>
                </c:pt>
                <c:pt idx="29">
                  <c:v>1381.6818695932463</c:v>
                </c:pt>
                <c:pt idx="30">
                  <c:v>764.44179979324633</c:v>
                </c:pt>
                <c:pt idx="31">
                  <c:v>1965.1319119032455</c:v>
                </c:pt>
                <c:pt idx="32">
                  <c:v>-453.52828891675398</c:v>
                </c:pt>
                <c:pt idx="33">
                  <c:v>-744.86726772675388</c:v>
                </c:pt>
                <c:pt idx="34">
                  <c:v>-434.95071645675415</c:v>
                </c:pt>
                <c:pt idx="35">
                  <c:v>918.57877448324575</c:v>
                </c:pt>
                <c:pt idx="36">
                  <c:v>1886.8573108332469</c:v>
                </c:pt>
                <c:pt idx="37">
                  <c:v>1215.2729255032459</c:v>
                </c:pt>
                <c:pt idx="38">
                  <c:v>1384.3560862132458</c:v>
                </c:pt>
                <c:pt idx="39">
                  <c:v>1282.9902028332456</c:v>
                </c:pt>
                <c:pt idx="40">
                  <c:v>5054.6020467632461</c:v>
                </c:pt>
                <c:pt idx="41">
                  <c:v>4729.3632732732458</c:v>
                </c:pt>
                <c:pt idx="42">
                  <c:v>4675.1504320500499</c:v>
                </c:pt>
                <c:pt idx="43">
                  <c:v>5193.6769137400524</c:v>
                </c:pt>
                <c:pt idx="44">
                  <c:v>4065.5398770400511</c:v>
                </c:pt>
                <c:pt idx="45">
                  <c:v>3531.3003669900513</c:v>
                </c:pt>
                <c:pt idx="46">
                  <c:v>2173.9188782200508</c:v>
                </c:pt>
                <c:pt idx="47">
                  <c:v>1721.7607075300509</c:v>
                </c:pt>
                <c:pt idx="48">
                  <c:v>1574.7559556500505</c:v>
                </c:pt>
                <c:pt idx="49">
                  <c:v>1472.0187598600512</c:v>
                </c:pt>
                <c:pt idx="50">
                  <c:v>3158.3775010200507</c:v>
                </c:pt>
                <c:pt idx="51">
                  <c:v>898.83577276005099</c:v>
                </c:pt>
                <c:pt idx="52">
                  <c:v>2421.2059684000519</c:v>
                </c:pt>
                <c:pt idx="53">
                  <c:v>2928.5347179100518</c:v>
                </c:pt>
                <c:pt idx="54">
                  <c:v>1503.403206030051</c:v>
                </c:pt>
                <c:pt idx="55">
                  <c:v>1331.8360548700512</c:v>
                </c:pt>
                <c:pt idx="56">
                  <c:v>194.53077558005145</c:v>
                </c:pt>
                <c:pt idx="57">
                  <c:v>1981.6569314000515</c:v>
                </c:pt>
                <c:pt idx="58">
                  <c:v>2198.6182320100511</c:v>
                </c:pt>
                <c:pt idx="59">
                  <c:v>3080.9493934200509</c:v>
                </c:pt>
                <c:pt idx="60">
                  <c:v>2258.4151035100508</c:v>
                </c:pt>
                <c:pt idx="61">
                  <c:v>513.3713809059127</c:v>
                </c:pt>
                <c:pt idx="62">
                  <c:v>1510.0088527959124</c:v>
                </c:pt>
                <c:pt idx="63">
                  <c:v>2624.1388939859125</c:v>
                </c:pt>
                <c:pt idx="64">
                  <c:v>2488.8147872859131</c:v>
                </c:pt>
                <c:pt idx="65">
                  <c:v>4116.1592294059119</c:v>
                </c:pt>
                <c:pt idx="66">
                  <c:v>2995.2522294059117</c:v>
                </c:pt>
                <c:pt idx="67">
                  <c:v>3375.9532294059122</c:v>
                </c:pt>
                <c:pt idx="68">
                  <c:v>3366.197484735912</c:v>
                </c:pt>
                <c:pt idx="69">
                  <c:v>1940.7940266859127</c:v>
                </c:pt>
                <c:pt idx="70">
                  <c:v>1947.1612068159125</c:v>
                </c:pt>
                <c:pt idx="71">
                  <c:v>1485.9328719159125</c:v>
                </c:pt>
                <c:pt idx="72">
                  <c:v>1827.6886310959126</c:v>
                </c:pt>
                <c:pt idx="73">
                  <c:v>1667.372277105912</c:v>
                </c:pt>
                <c:pt idx="74">
                  <c:v>1589.5734789559126</c:v>
                </c:pt>
                <c:pt idx="75">
                  <c:v>1977.3004257159123</c:v>
                </c:pt>
                <c:pt idx="76">
                  <c:v>1809.4736925559123</c:v>
                </c:pt>
                <c:pt idx="77">
                  <c:v>2071.9633358859128</c:v>
                </c:pt>
                <c:pt idx="78">
                  <c:v>3741.561360115913</c:v>
                </c:pt>
                <c:pt idx="79">
                  <c:v>2947.8212372659127</c:v>
                </c:pt>
                <c:pt idx="80">
                  <c:v>2143.6392294059124</c:v>
                </c:pt>
                <c:pt idx="81">
                  <c:v>3381.017287037952</c:v>
                </c:pt>
                <c:pt idx="82">
                  <c:v>3121.432287037951</c:v>
                </c:pt>
                <c:pt idx="83">
                  <c:v>4114.2624292779501</c:v>
                </c:pt>
                <c:pt idx="84">
                  <c:v>2025.5462870379506</c:v>
                </c:pt>
                <c:pt idx="85">
                  <c:v>2046.1935155979509</c:v>
                </c:pt>
                <c:pt idx="86">
                  <c:v>3049.1196857779501</c:v>
                </c:pt>
                <c:pt idx="87">
                  <c:v>2130.5479451479509</c:v>
                </c:pt>
                <c:pt idx="88">
                  <c:v>1476.5282870379506</c:v>
                </c:pt>
                <c:pt idx="89">
                  <c:v>474.57638819795096</c:v>
                </c:pt>
                <c:pt idx="90">
                  <c:v>1231.9966229979505</c:v>
                </c:pt>
                <c:pt idx="91">
                  <c:v>778.19890410795006</c:v>
                </c:pt>
                <c:pt idx="92">
                  <c:v>232.90767478795041</c:v>
                </c:pt>
                <c:pt idx="93">
                  <c:v>-262.06126742204935</c:v>
                </c:pt>
                <c:pt idx="94">
                  <c:v>3252.2941160079508</c:v>
                </c:pt>
                <c:pt idx="95">
                  <c:v>4296.6228630079504</c:v>
                </c:pt>
                <c:pt idx="96">
                  <c:v>4376.4512356079504</c:v>
                </c:pt>
                <c:pt idx="97">
                  <c:v>4474.8903454079509</c:v>
                </c:pt>
                <c:pt idx="98">
                  <c:v>3551.7525342579506</c:v>
                </c:pt>
                <c:pt idx="99">
                  <c:v>2754.0141863679514</c:v>
                </c:pt>
                <c:pt idx="100">
                  <c:v>2832.8202870379505</c:v>
                </c:pt>
                <c:pt idx="101">
                  <c:v>3964.0759618401944</c:v>
                </c:pt>
                <c:pt idx="102">
                  <c:v>3595.1341978701935</c:v>
                </c:pt>
                <c:pt idx="103">
                  <c:v>3637.6048670201944</c:v>
                </c:pt>
                <c:pt idx="104">
                  <c:v>1891.3999189301937</c:v>
                </c:pt>
                <c:pt idx="105">
                  <c:v>2306.8890225001937</c:v>
                </c:pt>
                <c:pt idx="106">
                  <c:v>1665.2564348001938</c:v>
                </c:pt>
                <c:pt idx="107">
                  <c:v>1266.2142317701939</c:v>
                </c:pt>
                <c:pt idx="108">
                  <c:v>2368.2964010401938</c:v>
                </c:pt>
                <c:pt idx="109">
                  <c:v>2550.8077635501932</c:v>
                </c:pt>
                <c:pt idx="110">
                  <c:v>2609.573695920194</c:v>
                </c:pt>
                <c:pt idx="111">
                  <c:v>1997.7941598901939</c:v>
                </c:pt>
                <c:pt idx="112">
                  <c:v>763.34151260019382</c:v>
                </c:pt>
                <c:pt idx="113">
                  <c:v>814.51364895019424</c:v>
                </c:pt>
                <c:pt idx="114">
                  <c:v>373.28143750019444</c:v>
                </c:pt>
                <c:pt idx="115">
                  <c:v>642.78684933019406</c:v>
                </c:pt>
                <c:pt idx="116">
                  <c:v>-253.73485214980622</c:v>
                </c:pt>
                <c:pt idx="117">
                  <c:v>208.3721666001947</c:v>
                </c:pt>
                <c:pt idx="118">
                  <c:v>549.19108504019346</c:v>
                </c:pt>
                <c:pt idx="119">
                  <c:v>3246.4552018695986</c:v>
                </c:pt>
                <c:pt idx="120">
                  <c:v>1738.7256488599996</c:v>
                </c:pt>
                <c:pt idx="121">
                  <c:v>2991.9808923200017</c:v>
                </c:pt>
                <c:pt idx="122">
                  <c:v>3028.7932831999988</c:v>
                </c:pt>
                <c:pt idx="123">
                  <c:v>3457.0410000000011</c:v>
                </c:pt>
                <c:pt idx="124">
                  <c:v>1439.1141053800002</c:v>
                </c:pt>
                <c:pt idx="125">
                  <c:v>762.3311538099988</c:v>
                </c:pt>
                <c:pt idx="126">
                  <c:v>-958.91889999999876</c:v>
                </c:pt>
                <c:pt idx="127">
                  <c:v>-1686.4000000000005</c:v>
                </c:pt>
                <c:pt idx="128">
                  <c:v>-1423.1262496400004</c:v>
                </c:pt>
                <c:pt idx="129">
                  <c:v>-1427.4252242999992</c:v>
                </c:pt>
                <c:pt idx="130">
                  <c:v>7294.7969941699976</c:v>
                </c:pt>
                <c:pt idx="131">
                  <c:v>-1866.5393791500001</c:v>
                </c:pt>
                <c:pt idx="132">
                  <c:v>-910.32981601000029</c:v>
                </c:pt>
                <c:pt idx="133">
                  <c:v>-1435.5573429599999</c:v>
                </c:pt>
                <c:pt idx="134">
                  <c:v>-2253.6126007199991</c:v>
                </c:pt>
                <c:pt idx="135">
                  <c:v>-709.64710453999942</c:v>
                </c:pt>
                <c:pt idx="136">
                  <c:v>-1597.6188287799996</c:v>
                </c:pt>
                <c:pt idx="137" formatCode="General">
                  <c:v>700.40999999999985</c:v>
                </c:pt>
                <c:pt idx="138" formatCode="General">
                  <c:v>3583.1499999999996</c:v>
                </c:pt>
                <c:pt idx="139" formatCode="General">
                  <c:v>567.1299999999992</c:v>
                </c:pt>
                <c:pt idx="140" formatCode="General">
                  <c:v>-683.59000000000015</c:v>
                </c:pt>
                <c:pt idx="141" formatCode="General">
                  <c:v>-54.149999999999636</c:v>
                </c:pt>
                <c:pt idx="142" formatCode="_-* #\ ##0.00\ _€_-;\-* #\ ##0.00\ _€_-;_-* &quot;-&quot;??\ _€_-;_-@_-">
                  <c:v>4412.5360876620416</c:v>
                </c:pt>
                <c:pt idx="143" formatCode="_-* #\ ##0.00\ _€_-;\-* #\ ##0.00\ _€_-;_-* &quot;-&quot;??\ _€_-;_-@_-">
                  <c:v>-488.23984995795945</c:v>
                </c:pt>
                <c:pt idx="144" formatCode="_-* #\ ##0.00\ _€_-;\-* #\ ##0.00\ _€_-;_-* &quot;-&quot;??\ _€_-;_-@_-">
                  <c:v>-1243.7986911579592</c:v>
                </c:pt>
                <c:pt idx="145" formatCode="_-* #\ ##0.00\ _€_-;\-* #\ ##0.00\ _€_-;_-* &quot;-&quot;??\ _€_-;_-@_-">
                  <c:v>-19.854678307956419</c:v>
                </c:pt>
                <c:pt idx="146" formatCode="_-* #\ ##0.00\ _€_-;\-* #\ ##0.00\ _€_-;_-* &quot;-&quot;??\ _€_-;_-@_-">
                  <c:v>-1486.6666942379597</c:v>
                </c:pt>
                <c:pt idx="147" formatCode="_-* #\ ##0.00\ _€_-;\-* #\ ##0.00\ _€_-;_-* &quot;-&quot;??\ _€_-;_-@_-">
                  <c:v>2521.7067308820424</c:v>
                </c:pt>
                <c:pt idx="148" formatCode="_-* #\ ##0.00\ _€_-;\-* #\ ##0.00\ _€_-;_-* &quot;-&quot;??\ _€_-;_-@_-">
                  <c:v>-1090.492780227959</c:v>
                </c:pt>
                <c:pt idx="149" formatCode="_-* #\ ##0.00\ _€_-;\-* #\ ##0.00\ _€_-;_-* &quot;-&quot;??\ _€_-;_-@_-">
                  <c:v>-868.93013944795894</c:v>
                </c:pt>
                <c:pt idx="150" formatCode="_-* #\ ##0.00\ _€_-;\-* #\ ##0.00\ _€_-;_-* &quot;-&quot;??\ _€_-;_-@_-">
                  <c:v>-1181.3617802279587</c:v>
                </c:pt>
                <c:pt idx="151" formatCode="_-* #\ ##0.00\ _€_-;\-* #\ ##0.00\ _€_-;_-* &quot;-&quot;??\ _€_-;_-@_-">
                  <c:v>-1299.5248457479602</c:v>
                </c:pt>
                <c:pt idx="152" formatCode="_-* #\ ##0.00\ _€_-;\-* #\ ##0.00\ _€_-;_-* &quot;-&quot;??\ _€_-;_-@_-">
                  <c:v>-1167.9828178079597</c:v>
                </c:pt>
                <c:pt idx="153" formatCode="_-* #\ ##0.00\ _€_-;\-* #\ ##0.00\ _€_-;_-* &quot;-&quot;??\ _€_-;_-@_-">
                  <c:v>1500.8891139320422</c:v>
                </c:pt>
                <c:pt idx="154" formatCode="_-* #\ ##0.00\ _€_-;\-* #\ ##0.00\ _€_-;_-* &quot;-&quot;??\ _€_-;_-@_-">
                  <c:v>1431.8612794420405</c:v>
                </c:pt>
                <c:pt idx="155" formatCode="_-* #\ ##0.00\ _€_-;\-* #\ ##0.00\ _€_-;_-* &quot;-&quot;??\ _€_-;_-@_-">
                  <c:v>-1717.1103861879583</c:v>
                </c:pt>
                <c:pt idx="156" formatCode="_-* #\ ##0.00\ _€_-;\-* #\ ##0.00\ _€_-;_-* &quot;-&quot;??\ _€_-;_-@_-">
                  <c:v>1849.9903047920434</c:v>
                </c:pt>
                <c:pt idx="157" formatCode="_-* #\ ##0.00\ _€_-;\-* #\ ##0.00\ _€_-;_-* &quot;-&quot;??\ _€_-;_-@_-">
                  <c:v>434.29479403204095</c:v>
                </c:pt>
                <c:pt idx="158" formatCode="_-* #\ ##0.00\ _€_-;\-* #\ ##0.00\ _€_-;_-* &quot;-&quot;??\ _€_-;_-@_-">
                  <c:v>-660.01562237795952</c:v>
                </c:pt>
                <c:pt idx="159" formatCode="_-* #\ ##0.00\ _€_-;\-* #\ ##0.00\ _€_-;_-* &quot;-&quot;??\ _€_-;_-@_-">
                  <c:v>-687.83903384795849</c:v>
                </c:pt>
                <c:pt idx="160" formatCode="_-* #\ ##0.00\ _€_-;\-* #\ ##0.00\ _€_-;_-* &quot;-&quot;??\ _€_-;_-@_-">
                  <c:v>-1012.9227802279593</c:v>
                </c:pt>
                <c:pt idx="161" formatCode="_-* #\ ##0.00\ _€_-;\-* #\ ##0.00\ _€_-;_-* &quot;-&quot;??\ _€_-;_-@_-">
                  <c:v>-715.63449814795786</c:v>
                </c:pt>
                <c:pt idx="162" formatCode="_-* #\ ##0.00\ _€_-;\-* #\ ##0.00\ _€_-;_-* &quot;-&quot;??\ _€_-;_-@_-">
                  <c:v>109.62921977204132</c:v>
                </c:pt>
                <c:pt idx="163" formatCode="_-* #\ ##0.00\ _€_-;\-* #\ ##0.00\ _€_-;_-* &quot;-&quot;??\ _€_-;_-@_-">
                  <c:v>-443.37180747795901</c:v>
                </c:pt>
                <c:pt idx="164" formatCode="_-* #\ ##0.00\ _€_-;\-* #\ ##0.00\ _€_-;_-* &quot;-&quot;??\ _€_-;_-@_-">
                  <c:v>-751.08321788795911</c:v>
                </c:pt>
                <c:pt idx="165" formatCode="_-* #\ ##0.00\ _€_-;\-* #\ ##0.00\ _€_-;_-* &quot;-&quot;??\ _€_-;_-@_-">
                  <c:v>-1234.3707802279596</c:v>
                </c:pt>
                <c:pt idx="166" formatCode="_-* #\ ##0.00\ _€_-;\-* #\ ##0.00\ _€_-;_-* &quot;-&quot;??\ _€_-;_-@_-">
                  <c:v>-764.90055755795765</c:v>
                </c:pt>
                <c:pt idx="167" formatCode="_-* #\ ##0.00\ _€_-;\-* #\ ##0.00\ _€_-;_-* &quot;-&quot;??\ _€_-;_-@_-">
                  <c:v>-1274.6746514479582</c:v>
                </c:pt>
                <c:pt idx="168" formatCode="_-* #\ ##0.00\ _€_-;\-* #\ ##0.00\ _€_-;_-* &quot;-&quot;??\ _€_-;_-@_-">
                  <c:v>-1531.5897802279587</c:v>
                </c:pt>
                <c:pt idx="169" formatCode="_-* #\ ##0.00\ _€_-;\-* #\ ##0.00\ _€_-;_-* &quot;-&quot;??\ _€_-;_-@_-">
                  <c:v>-1902.3485959279587</c:v>
                </c:pt>
                <c:pt idx="170" formatCode="_-* #\ ##0.00\ _€_-;\-* #\ ##0.00\ _€_-;_-* &quot;-&quot;??\ _€_-;_-@_-">
                  <c:v>-1807.0585105179598</c:v>
                </c:pt>
                <c:pt idx="171" formatCode="_-* #\ ##0.00\ _€_-;\-* #\ ##0.00\ _€_-;_-* &quot;-&quot;??\ _€_-;_-@_-">
                  <c:v>-2141.952065057958</c:v>
                </c:pt>
                <c:pt idx="172" formatCode="_-* #\ ##0.00\ _€_-;\-* #\ ##0.00\ _€_-;_-* &quot;-&quot;??\ _€_-;_-@_-">
                  <c:v>-1674.8027802279585</c:v>
                </c:pt>
                <c:pt idx="173" formatCode="_-* #\ ##0.00\ _€_-;\-* #\ ##0.00\ _€_-;_-* &quot;-&quot;??\ _€_-;_-@_-">
                  <c:v>-1696.3266696379596</c:v>
                </c:pt>
                <c:pt idx="174" formatCode="_-* #\ ##0.00\ _€_-;\-* #\ ##0.00\ _€_-;_-* &quot;-&quot;??\ _€_-;_-@_-">
                  <c:v>-756.77878022795994</c:v>
                </c:pt>
                <c:pt idx="175" formatCode="_-* #\ ##0.00\ _€_-;\-* #\ ##0.00\ _€_-;_-* &quot;-&quot;??\ _€_-;_-@_-">
                  <c:v>-952.92878022795867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8D-4A8F-9438-2AB52A45D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364160"/>
        <c:axId val="895363680"/>
      </c:areaChart>
      <c:dateAx>
        <c:axId val="8953641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5363680"/>
        <c:crosses val="autoZero"/>
        <c:auto val="1"/>
        <c:lblOffset val="100"/>
        <c:baseTimeUnit val="days"/>
      </c:dateAx>
      <c:valAx>
        <c:axId val="8953636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536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Corridor des Taux vs TMP des valeurs du Trésor public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'Marché monétaire'!$C$4</c:f>
              <c:strCache>
                <c:ptCount val="1"/>
                <c:pt idx="0">
                  <c:v>Taux directeur</c:v>
                </c:pt>
              </c:strCache>
            </c:strRef>
          </c:tx>
          <c:spPr>
            <a:ln w="28575" cap="rnd">
              <a:solidFill>
                <a:schemeClr val="accent2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'Marché monétaire'!$B$5:$B$198</c:f>
              <c:numCache>
                <c:formatCode>[$-40C]mmm\-yy;@</c:formatCode>
                <c:ptCount val="194"/>
                <c:pt idx="0">
                  <c:v>44567</c:v>
                </c:pt>
                <c:pt idx="1">
                  <c:v>44574</c:v>
                </c:pt>
                <c:pt idx="2">
                  <c:v>44581</c:v>
                </c:pt>
                <c:pt idx="3">
                  <c:v>44588</c:v>
                </c:pt>
                <c:pt idx="4">
                  <c:v>44595</c:v>
                </c:pt>
                <c:pt idx="5">
                  <c:v>44602</c:v>
                </c:pt>
                <c:pt idx="6">
                  <c:v>44609</c:v>
                </c:pt>
                <c:pt idx="7">
                  <c:v>44623</c:v>
                </c:pt>
                <c:pt idx="8">
                  <c:v>44637</c:v>
                </c:pt>
                <c:pt idx="9">
                  <c:v>44644</c:v>
                </c:pt>
                <c:pt idx="10">
                  <c:v>44651</c:v>
                </c:pt>
                <c:pt idx="11">
                  <c:v>44693</c:v>
                </c:pt>
                <c:pt idx="12">
                  <c:v>44700</c:v>
                </c:pt>
                <c:pt idx="13">
                  <c:v>44721</c:v>
                </c:pt>
                <c:pt idx="14">
                  <c:v>44728</c:v>
                </c:pt>
                <c:pt idx="15">
                  <c:v>44735</c:v>
                </c:pt>
                <c:pt idx="16">
                  <c:v>44742</c:v>
                </c:pt>
                <c:pt idx="17">
                  <c:v>44749</c:v>
                </c:pt>
                <c:pt idx="18">
                  <c:v>44756</c:v>
                </c:pt>
                <c:pt idx="19">
                  <c:v>44763</c:v>
                </c:pt>
                <c:pt idx="20">
                  <c:v>44777</c:v>
                </c:pt>
                <c:pt idx="21">
                  <c:v>44784</c:v>
                </c:pt>
                <c:pt idx="22">
                  <c:v>44791</c:v>
                </c:pt>
                <c:pt idx="23">
                  <c:v>44833</c:v>
                </c:pt>
                <c:pt idx="24">
                  <c:v>44840</c:v>
                </c:pt>
                <c:pt idx="25">
                  <c:v>44847</c:v>
                </c:pt>
                <c:pt idx="26">
                  <c:v>44868</c:v>
                </c:pt>
                <c:pt idx="27">
                  <c:v>44875</c:v>
                </c:pt>
                <c:pt idx="28">
                  <c:v>44882</c:v>
                </c:pt>
                <c:pt idx="29">
                  <c:v>44889</c:v>
                </c:pt>
                <c:pt idx="30">
                  <c:v>44896</c:v>
                </c:pt>
                <c:pt idx="31">
                  <c:v>44903</c:v>
                </c:pt>
                <c:pt idx="32">
                  <c:v>44910</c:v>
                </c:pt>
                <c:pt idx="33">
                  <c:v>44917</c:v>
                </c:pt>
                <c:pt idx="34">
                  <c:v>44924</c:v>
                </c:pt>
                <c:pt idx="35">
                  <c:v>44931</c:v>
                </c:pt>
                <c:pt idx="36">
                  <c:v>44938</c:v>
                </c:pt>
                <c:pt idx="37">
                  <c:v>44945</c:v>
                </c:pt>
                <c:pt idx="38">
                  <c:v>44952</c:v>
                </c:pt>
                <c:pt idx="39">
                  <c:v>44959</c:v>
                </c:pt>
                <c:pt idx="40">
                  <c:v>44966</c:v>
                </c:pt>
                <c:pt idx="41">
                  <c:v>44973</c:v>
                </c:pt>
                <c:pt idx="42">
                  <c:v>44987</c:v>
                </c:pt>
                <c:pt idx="43">
                  <c:v>44994</c:v>
                </c:pt>
                <c:pt idx="44">
                  <c:v>45001</c:v>
                </c:pt>
                <c:pt idx="45">
                  <c:v>45015</c:v>
                </c:pt>
                <c:pt idx="46">
                  <c:v>45022</c:v>
                </c:pt>
                <c:pt idx="47">
                  <c:v>45029</c:v>
                </c:pt>
                <c:pt idx="48">
                  <c:v>45036</c:v>
                </c:pt>
                <c:pt idx="49">
                  <c:v>45043</c:v>
                </c:pt>
                <c:pt idx="50">
                  <c:v>45050</c:v>
                </c:pt>
                <c:pt idx="51">
                  <c:v>45057</c:v>
                </c:pt>
                <c:pt idx="52">
                  <c:v>45064</c:v>
                </c:pt>
                <c:pt idx="53">
                  <c:v>45071</c:v>
                </c:pt>
                <c:pt idx="54">
                  <c:v>45078</c:v>
                </c:pt>
                <c:pt idx="55">
                  <c:v>45085</c:v>
                </c:pt>
                <c:pt idx="56">
                  <c:v>45092</c:v>
                </c:pt>
                <c:pt idx="57">
                  <c:v>45099</c:v>
                </c:pt>
                <c:pt idx="58">
                  <c:v>45106</c:v>
                </c:pt>
                <c:pt idx="59">
                  <c:v>45113</c:v>
                </c:pt>
                <c:pt idx="60">
                  <c:v>45120</c:v>
                </c:pt>
                <c:pt idx="61">
                  <c:v>45127</c:v>
                </c:pt>
                <c:pt idx="62">
                  <c:v>45134</c:v>
                </c:pt>
                <c:pt idx="63">
                  <c:v>45141</c:v>
                </c:pt>
                <c:pt idx="64">
                  <c:v>45148</c:v>
                </c:pt>
                <c:pt idx="65">
                  <c:v>45155</c:v>
                </c:pt>
                <c:pt idx="66">
                  <c:v>45162</c:v>
                </c:pt>
                <c:pt idx="67">
                  <c:v>45169</c:v>
                </c:pt>
                <c:pt idx="68">
                  <c:v>45176</c:v>
                </c:pt>
                <c:pt idx="69">
                  <c:v>45183</c:v>
                </c:pt>
                <c:pt idx="70">
                  <c:v>45190</c:v>
                </c:pt>
                <c:pt idx="71">
                  <c:v>45197</c:v>
                </c:pt>
                <c:pt idx="72">
                  <c:v>45204</c:v>
                </c:pt>
                <c:pt idx="73">
                  <c:v>45211</c:v>
                </c:pt>
                <c:pt idx="74">
                  <c:v>45218</c:v>
                </c:pt>
                <c:pt idx="75">
                  <c:v>45225</c:v>
                </c:pt>
                <c:pt idx="76">
                  <c:v>45232</c:v>
                </c:pt>
                <c:pt idx="77">
                  <c:v>45239</c:v>
                </c:pt>
                <c:pt idx="78">
                  <c:v>45246</c:v>
                </c:pt>
                <c:pt idx="79">
                  <c:v>45253</c:v>
                </c:pt>
                <c:pt idx="80">
                  <c:v>45260</c:v>
                </c:pt>
                <c:pt idx="81">
                  <c:v>45267</c:v>
                </c:pt>
                <c:pt idx="82">
                  <c:v>45274</c:v>
                </c:pt>
                <c:pt idx="83">
                  <c:v>45281</c:v>
                </c:pt>
                <c:pt idx="84">
                  <c:v>45288</c:v>
                </c:pt>
                <c:pt idx="85">
                  <c:v>45295</c:v>
                </c:pt>
                <c:pt idx="86">
                  <c:v>45302</c:v>
                </c:pt>
                <c:pt idx="87">
                  <c:v>45309</c:v>
                </c:pt>
                <c:pt idx="88">
                  <c:v>45316</c:v>
                </c:pt>
                <c:pt idx="89">
                  <c:v>45323</c:v>
                </c:pt>
                <c:pt idx="90">
                  <c:v>45330</c:v>
                </c:pt>
                <c:pt idx="91">
                  <c:v>45337</c:v>
                </c:pt>
                <c:pt idx="92">
                  <c:v>45344</c:v>
                </c:pt>
                <c:pt idx="93">
                  <c:v>45351</c:v>
                </c:pt>
                <c:pt idx="94">
                  <c:v>45358</c:v>
                </c:pt>
                <c:pt idx="95">
                  <c:v>45365</c:v>
                </c:pt>
                <c:pt idx="96">
                  <c:v>45372</c:v>
                </c:pt>
                <c:pt idx="97">
                  <c:v>45379</c:v>
                </c:pt>
                <c:pt idx="98">
                  <c:v>45386</c:v>
                </c:pt>
                <c:pt idx="99">
                  <c:v>45393</c:v>
                </c:pt>
                <c:pt idx="100">
                  <c:v>45400</c:v>
                </c:pt>
                <c:pt idx="101">
                  <c:v>45407</c:v>
                </c:pt>
                <c:pt idx="102">
                  <c:v>45414</c:v>
                </c:pt>
                <c:pt idx="103">
                  <c:v>45421</c:v>
                </c:pt>
                <c:pt idx="104">
                  <c:v>45428</c:v>
                </c:pt>
                <c:pt idx="105">
                  <c:v>45435</c:v>
                </c:pt>
                <c:pt idx="106">
                  <c:v>45442</c:v>
                </c:pt>
                <c:pt idx="107">
                  <c:v>45449</c:v>
                </c:pt>
                <c:pt idx="108">
                  <c:v>45456</c:v>
                </c:pt>
                <c:pt idx="109">
                  <c:v>45463</c:v>
                </c:pt>
                <c:pt idx="110">
                  <c:v>45470</c:v>
                </c:pt>
                <c:pt idx="111">
                  <c:v>45477</c:v>
                </c:pt>
                <c:pt idx="112">
                  <c:v>45484</c:v>
                </c:pt>
                <c:pt idx="113">
                  <c:v>45491</c:v>
                </c:pt>
                <c:pt idx="114">
                  <c:v>45498</c:v>
                </c:pt>
                <c:pt idx="115">
                  <c:v>45505</c:v>
                </c:pt>
                <c:pt idx="116">
                  <c:v>45512</c:v>
                </c:pt>
                <c:pt idx="117">
                  <c:v>45519</c:v>
                </c:pt>
                <c:pt idx="118">
                  <c:v>45526</c:v>
                </c:pt>
                <c:pt idx="119">
                  <c:v>45533</c:v>
                </c:pt>
                <c:pt idx="120">
                  <c:v>45540</c:v>
                </c:pt>
                <c:pt idx="121">
                  <c:v>45547</c:v>
                </c:pt>
                <c:pt idx="122">
                  <c:v>45554</c:v>
                </c:pt>
                <c:pt idx="123">
                  <c:v>45561</c:v>
                </c:pt>
                <c:pt idx="124">
                  <c:v>45568</c:v>
                </c:pt>
                <c:pt idx="125">
                  <c:v>45575</c:v>
                </c:pt>
                <c:pt idx="126">
                  <c:v>45582</c:v>
                </c:pt>
                <c:pt idx="127">
                  <c:v>45589</c:v>
                </c:pt>
                <c:pt idx="128">
                  <c:v>45596</c:v>
                </c:pt>
                <c:pt idx="129">
                  <c:v>45603</c:v>
                </c:pt>
                <c:pt idx="130">
                  <c:v>45610</c:v>
                </c:pt>
                <c:pt idx="131">
                  <c:v>45617</c:v>
                </c:pt>
                <c:pt idx="132">
                  <c:v>45625</c:v>
                </c:pt>
                <c:pt idx="133">
                  <c:v>45631</c:v>
                </c:pt>
                <c:pt idx="134">
                  <c:v>45638</c:v>
                </c:pt>
                <c:pt idx="135">
                  <c:v>45645</c:v>
                </c:pt>
                <c:pt idx="136">
                  <c:v>45652</c:v>
                </c:pt>
                <c:pt idx="137">
                  <c:v>45659</c:v>
                </c:pt>
                <c:pt idx="138">
                  <c:v>45666</c:v>
                </c:pt>
                <c:pt idx="139">
                  <c:v>45673</c:v>
                </c:pt>
                <c:pt idx="140">
                  <c:v>45680</c:v>
                </c:pt>
                <c:pt idx="141">
                  <c:v>45687</c:v>
                </c:pt>
                <c:pt idx="142">
                  <c:v>45694</c:v>
                </c:pt>
                <c:pt idx="143">
                  <c:v>45701</c:v>
                </c:pt>
                <c:pt idx="144">
                  <c:v>45708</c:v>
                </c:pt>
                <c:pt idx="145">
                  <c:v>45715</c:v>
                </c:pt>
                <c:pt idx="146">
                  <c:v>45722</c:v>
                </c:pt>
                <c:pt idx="147">
                  <c:v>45729</c:v>
                </c:pt>
                <c:pt idx="148">
                  <c:v>45736</c:v>
                </c:pt>
                <c:pt idx="149">
                  <c:v>45743</c:v>
                </c:pt>
                <c:pt idx="150">
                  <c:v>45750</c:v>
                </c:pt>
                <c:pt idx="151">
                  <c:v>45757</c:v>
                </c:pt>
                <c:pt idx="152">
                  <c:v>45764</c:v>
                </c:pt>
                <c:pt idx="153">
                  <c:v>45771</c:v>
                </c:pt>
                <c:pt idx="154">
                  <c:v>45778</c:v>
                </c:pt>
                <c:pt idx="155">
                  <c:v>45785</c:v>
                </c:pt>
                <c:pt idx="156">
                  <c:v>45792</c:v>
                </c:pt>
                <c:pt idx="157">
                  <c:v>45799</c:v>
                </c:pt>
                <c:pt idx="158">
                  <c:v>45806</c:v>
                </c:pt>
                <c:pt idx="159">
                  <c:v>45813</c:v>
                </c:pt>
                <c:pt idx="160">
                  <c:v>45820</c:v>
                </c:pt>
                <c:pt idx="161">
                  <c:v>45827</c:v>
                </c:pt>
                <c:pt idx="162">
                  <c:v>45834</c:v>
                </c:pt>
                <c:pt idx="163">
                  <c:v>45841</c:v>
                </c:pt>
                <c:pt idx="164">
                  <c:v>45848</c:v>
                </c:pt>
                <c:pt idx="165">
                  <c:v>45855</c:v>
                </c:pt>
                <c:pt idx="166">
                  <c:v>45862</c:v>
                </c:pt>
                <c:pt idx="167">
                  <c:v>45869</c:v>
                </c:pt>
                <c:pt idx="168">
                  <c:v>45876</c:v>
                </c:pt>
                <c:pt idx="169">
                  <c:v>45883</c:v>
                </c:pt>
                <c:pt idx="170">
                  <c:v>45890</c:v>
                </c:pt>
                <c:pt idx="171">
                  <c:v>45897</c:v>
                </c:pt>
                <c:pt idx="172">
                  <c:v>45904</c:v>
                </c:pt>
                <c:pt idx="173">
                  <c:v>45911</c:v>
                </c:pt>
                <c:pt idx="174">
                  <c:v>45918</c:v>
                </c:pt>
                <c:pt idx="175">
                  <c:v>45925</c:v>
                </c:pt>
                <c:pt idx="176">
                  <c:v>45932</c:v>
                </c:pt>
                <c:pt idx="177">
                  <c:v>45939</c:v>
                </c:pt>
                <c:pt idx="178">
                  <c:v>45946</c:v>
                </c:pt>
                <c:pt idx="179">
                  <c:v>45953</c:v>
                </c:pt>
                <c:pt idx="180">
                  <c:v>45960</c:v>
                </c:pt>
                <c:pt idx="181">
                  <c:v>45967</c:v>
                </c:pt>
                <c:pt idx="182">
                  <c:v>45974</c:v>
                </c:pt>
                <c:pt idx="183">
                  <c:v>45981</c:v>
                </c:pt>
                <c:pt idx="184">
                  <c:v>45988</c:v>
                </c:pt>
                <c:pt idx="185">
                  <c:v>45995</c:v>
                </c:pt>
                <c:pt idx="186">
                  <c:v>46002</c:v>
                </c:pt>
                <c:pt idx="187">
                  <c:v>46009</c:v>
                </c:pt>
                <c:pt idx="188">
                  <c:v>46016</c:v>
                </c:pt>
                <c:pt idx="189">
                  <c:v>46022</c:v>
                </c:pt>
                <c:pt idx="190">
                  <c:v>46030</c:v>
                </c:pt>
                <c:pt idx="191">
                  <c:v>46037</c:v>
                </c:pt>
                <c:pt idx="192">
                  <c:v>46044</c:v>
                </c:pt>
                <c:pt idx="193">
                  <c:v>46051</c:v>
                </c:pt>
              </c:numCache>
            </c:numRef>
          </c:cat>
          <c:val>
            <c:numRef>
              <c:f>'Marché monétaire'!$C$5:$C$198</c:f>
              <c:numCache>
                <c:formatCode>0.00</c:formatCode>
                <c:ptCount val="19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7.25</c:v>
                </c:pt>
                <c:pt idx="128">
                  <c:v>7.25</c:v>
                </c:pt>
                <c:pt idx="129">
                  <c:v>7.25</c:v>
                </c:pt>
                <c:pt idx="130">
                  <c:v>7.25</c:v>
                </c:pt>
                <c:pt idx="131">
                  <c:v>7.25</c:v>
                </c:pt>
                <c:pt idx="132">
                  <c:v>7.25</c:v>
                </c:pt>
                <c:pt idx="133">
                  <c:v>6.75</c:v>
                </c:pt>
                <c:pt idx="134">
                  <c:v>6.75</c:v>
                </c:pt>
                <c:pt idx="135">
                  <c:v>6.75</c:v>
                </c:pt>
                <c:pt idx="136">
                  <c:v>6.75</c:v>
                </c:pt>
                <c:pt idx="137">
                  <c:v>6.5</c:v>
                </c:pt>
                <c:pt idx="138">
                  <c:v>6.5</c:v>
                </c:pt>
                <c:pt idx="139">
                  <c:v>6.5</c:v>
                </c:pt>
                <c:pt idx="140">
                  <c:v>6.5</c:v>
                </c:pt>
                <c:pt idx="141">
                  <c:v>6.5</c:v>
                </c:pt>
                <c:pt idx="142">
                  <c:v>6.5</c:v>
                </c:pt>
                <c:pt idx="143">
                  <c:v>6.5</c:v>
                </c:pt>
                <c:pt idx="144">
                  <c:v>6.5</c:v>
                </c:pt>
                <c:pt idx="145">
                  <c:v>6.5</c:v>
                </c:pt>
                <c:pt idx="146">
                  <c:v>6.5</c:v>
                </c:pt>
                <c:pt idx="147">
                  <c:v>6.5</c:v>
                </c:pt>
                <c:pt idx="148">
                  <c:v>6.5</c:v>
                </c:pt>
                <c:pt idx="149">
                  <c:v>6.5</c:v>
                </c:pt>
                <c:pt idx="150">
                  <c:v>6.5</c:v>
                </c:pt>
                <c:pt idx="151">
                  <c:v>6.5</c:v>
                </c:pt>
                <c:pt idx="152">
                  <c:v>6.5</c:v>
                </c:pt>
                <c:pt idx="153">
                  <c:v>6.5</c:v>
                </c:pt>
                <c:pt idx="154">
                  <c:v>6.5</c:v>
                </c:pt>
                <c:pt idx="155">
                  <c:v>6.5</c:v>
                </c:pt>
                <c:pt idx="156">
                  <c:v>6.5</c:v>
                </c:pt>
                <c:pt idx="157">
                  <c:v>6.5</c:v>
                </c:pt>
                <c:pt idx="158">
                  <c:v>6.5</c:v>
                </c:pt>
                <c:pt idx="159">
                  <c:v>6.5</c:v>
                </c:pt>
                <c:pt idx="160">
                  <c:v>6.5</c:v>
                </c:pt>
                <c:pt idx="161">
                  <c:v>6.5</c:v>
                </c:pt>
                <c:pt idx="162">
                  <c:v>6.5</c:v>
                </c:pt>
                <c:pt idx="163">
                  <c:v>6.5</c:v>
                </c:pt>
                <c:pt idx="164">
                  <c:v>6.5</c:v>
                </c:pt>
                <c:pt idx="165">
                  <c:v>6.5</c:v>
                </c:pt>
                <c:pt idx="166">
                  <c:v>6.5</c:v>
                </c:pt>
                <c:pt idx="167">
                  <c:v>6.5</c:v>
                </c:pt>
                <c:pt idx="168">
                  <c:v>6.5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8-487B-9664-E643554EA314}"/>
            </c:ext>
          </c:extLst>
        </c:ser>
        <c:ser>
          <c:idx val="1"/>
          <c:order val="1"/>
          <c:tx>
            <c:strRef>
              <c:f>'Marché monétaire'!$D$4</c:f>
              <c:strCache>
                <c:ptCount val="1"/>
                <c:pt idx="0">
                  <c:v>Taux Facilité de Dépôts</c:v>
                </c:pt>
              </c:strCache>
            </c:strRef>
          </c:tx>
          <c:spPr>
            <a:ln w="28575" cap="rnd">
              <a:solidFill>
                <a:schemeClr val="accent2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'Marché monétaire'!$B$5:$B$198</c:f>
              <c:numCache>
                <c:formatCode>[$-40C]mmm\-yy;@</c:formatCode>
                <c:ptCount val="194"/>
                <c:pt idx="0">
                  <c:v>44567</c:v>
                </c:pt>
                <c:pt idx="1">
                  <c:v>44574</c:v>
                </c:pt>
                <c:pt idx="2">
                  <c:v>44581</c:v>
                </c:pt>
                <c:pt idx="3">
                  <c:v>44588</c:v>
                </c:pt>
                <c:pt idx="4">
                  <c:v>44595</c:v>
                </c:pt>
                <c:pt idx="5">
                  <c:v>44602</c:v>
                </c:pt>
                <c:pt idx="6">
                  <c:v>44609</c:v>
                </c:pt>
                <c:pt idx="7">
                  <c:v>44623</c:v>
                </c:pt>
                <c:pt idx="8">
                  <c:v>44637</c:v>
                </c:pt>
                <c:pt idx="9">
                  <c:v>44644</c:v>
                </c:pt>
                <c:pt idx="10">
                  <c:v>44651</c:v>
                </c:pt>
                <c:pt idx="11">
                  <c:v>44693</c:v>
                </c:pt>
                <c:pt idx="12">
                  <c:v>44700</c:v>
                </c:pt>
                <c:pt idx="13">
                  <c:v>44721</c:v>
                </c:pt>
                <c:pt idx="14">
                  <c:v>44728</c:v>
                </c:pt>
                <c:pt idx="15">
                  <c:v>44735</c:v>
                </c:pt>
                <c:pt idx="16">
                  <c:v>44742</c:v>
                </c:pt>
                <c:pt idx="17">
                  <c:v>44749</c:v>
                </c:pt>
                <c:pt idx="18">
                  <c:v>44756</c:v>
                </c:pt>
                <c:pt idx="19">
                  <c:v>44763</c:v>
                </c:pt>
                <c:pt idx="20">
                  <c:v>44777</c:v>
                </c:pt>
                <c:pt idx="21">
                  <c:v>44784</c:v>
                </c:pt>
                <c:pt idx="22">
                  <c:v>44791</c:v>
                </c:pt>
                <c:pt idx="23">
                  <c:v>44833</c:v>
                </c:pt>
                <c:pt idx="24">
                  <c:v>44840</c:v>
                </c:pt>
                <c:pt idx="25">
                  <c:v>44847</c:v>
                </c:pt>
                <c:pt idx="26">
                  <c:v>44868</c:v>
                </c:pt>
                <c:pt idx="27">
                  <c:v>44875</c:v>
                </c:pt>
                <c:pt idx="28">
                  <c:v>44882</c:v>
                </c:pt>
                <c:pt idx="29">
                  <c:v>44889</c:v>
                </c:pt>
                <c:pt idx="30">
                  <c:v>44896</c:v>
                </c:pt>
                <c:pt idx="31">
                  <c:v>44903</c:v>
                </c:pt>
                <c:pt idx="32">
                  <c:v>44910</c:v>
                </c:pt>
                <c:pt idx="33">
                  <c:v>44917</c:v>
                </c:pt>
                <c:pt idx="34">
                  <c:v>44924</c:v>
                </c:pt>
                <c:pt idx="35">
                  <c:v>44931</c:v>
                </c:pt>
                <c:pt idx="36">
                  <c:v>44938</c:v>
                </c:pt>
                <c:pt idx="37">
                  <c:v>44945</c:v>
                </c:pt>
                <c:pt idx="38">
                  <c:v>44952</c:v>
                </c:pt>
                <c:pt idx="39">
                  <c:v>44959</c:v>
                </c:pt>
                <c:pt idx="40">
                  <c:v>44966</c:v>
                </c:pt>
                <c:pt idx="41">
                  <c:v>44973</c:v>
                </c:pt>
                <c:pt idx="42">
                  <c:v>44987</c:v>
                </c:pt>
                <c:pt idx="43">
                  <c:v>44994</c:v>
                </c:pt>
                <c:pt idx="44">
                  <c:v>45001</c:v>
                </c:pt>
                <c:pt idx="45">
                  <c:v>45015</c:v>
                </c:pt>
                <c:pt idx="46">
                  <c:v>45022</c:v>
                </c:pt>
                <c:pt idx="47">
                  <c:v>45029</c:v>
                </c:pt>
                <c:pt idx="48">
                  <c:v>45036</c:v>
                </c:pt>
                <c:pt idx="49">
                  <c:v>45043</c:v>
                </c:pt>
                <c:pt idx="50">
                  <c:v>45050</c:v>
                </c:pt>
                <c:pt idx="51">
                  <c:v>45057</c:v>
                </c:pt>
                <c:pt idx="52">
                  <c:v>45064</c:v>
                </c:pt>
                <c:pt idx="53">
                  <c:v>45071</c:v>
                </c:pt>
                <c:pt idx="54">
                  <c:v>45078</c:v>
                </c:pt>
                <c:pt idx="55">
                  <c:v>45085</c:v>
                </c:pt>
                <c:pt idx="56">
                  <c:v>45092</c:v>
                </c:pt>
                <c:pt idx="57">
                  <c:v>45099</c:v>
                </c:pt>
                <c:pt idx="58">
                  <c:v>45106</c:v>
                </c:pt>
                <c:pt idx="59">
                  <c:v>45113</c:v>
                </c:pt>
                <c:pt idx="60">
                  <c:v>45120</c:v>
                </c:pt>
                <c:pt idx="61">
                  <c:v>45127</c:v>
                </c:pt>
                <c:pt idx="62">
                  <c:v>45134</c:v>
                </c:pt>
                <c:pt idx="63">
                  <c:v>45141</c:v>
                </c:pt>
                <c:pt idx="64">
                  <c:v>45148</c:v>
                </c:pt>
                <c:pt idx="65">
                  <c:v>45155</c:v>
                </c:pt>
                <c:pt idx="66">
                  <c:v>45162</c:v>
                </c:pt>
                <c:pt idx="67">
                  <c:v>45169</c:v>
                </c:pt>
                <c:pt idx="68">
                  <c:v>45176</c:v>
                </c:pt>
                <c:pt idx="69">
                  <c:v>45183</c:v>
                </c:pt>
                <c:pt idx="70">
                  <c:v>45190</c:v>
                </c:pt>
                <c:pt idx="71">
                  <c:v>45197</c:v>
                </c:pt>
                <c:pt idx="72">
                  <c:v>45204</c:v>
                </c:pt>
                <c:pt idx="73">
                  <c:v>45211</c:v>
                </c:pt>
                <c:pt idx="74">
                  <c:v>45218</c:v>
                </c:pt>
                <c:pt idx="75">
                  <c:v>45225</c:v>
                </c:pt>
                <c:pt idx="76">
                  <c:v>45232</c:v>
                </c:pt>
                <c:pt idx="77">
                  <c:v>45239</c:v>
                </c:pt>
                <c:pt idx="78">
                  <c:v>45246</c:v>
                </c:pt>
                <c:pt idx="79">
                  <c:v>45253</c:v>
                </c:pt>
                <c:pt idx="80">
                  <c:v>45260</c:v>
                </c:pt>
                <c:pt idx="81">
                  <c:v>45267</c:v>
                </c:pt>
                <c:pt idx="82">
                  <c:v>45274</c:v>
                </c:pt>
                <c:pt idx="83">
                  <c:v>45281</c:v>
                </c:pt>
                <c:pt idx="84">
                  <c:v>45288</c:v>
                </c:pt>
                <c:pt idx="85">
                  <c:v>45295</c:v>
                </c:pt>
                <c:pt idx="86">
                  <c:v>45302</c:v>
                </c:pt>
                <c:pt idx="87">
                  <c:v>45309</c:v>
                </c:pt>
                <c:pt idx="88">
                  <c:v>45316</c:v>
                </c:pt>
                <c:pt idx="89">
                  <c:v>45323</c:v>
                </c:pt>
                <c:pt idx="90">
                  <c:v>45330</c:v>
                </c:pt>
                <c:pt idx="91">
                  <c:v>45337</c:v>
                </c:pt>
                <c:pt idx="92">
                  <c:v>45344</c:v>
                </c:pt>
                <c:pt idx="93">
                  <c:v>45351</c:v>
                </c:pt>
                <c:pt idx="94">
                  <c:v>45358</c:v>
                </c:pt>
                <c:pt idx="95">
                  <c:v>45365</c:v>
                </c:pt>
                <c:pt idx="96">
                  <c:v>45372</c:v>
                </c:pt>
                <c:pt idx="97">
                  <c:v>45379</c:v>
                </c:pt>
                <c:pt idx="98">
                  <c:v>45386</c:v>
                </c:pt>
                <c:pt idx="99">
                  <c:v>45393</c:v>
                </c:pt>
                <c:pt idx="100">
                  <c:v>45400</c:v>
                </c:pt>
                <c:pt idx="101">
                  <c:v>45407</c:v>
                </c:pt>
                <c:pt idx="102">
                  <c:v>45414</c:v>
                </c:pt>
                <c:pt idx="103">
                  <c:v>45421</c:v>
                </c:pt>
                <c:pt idx="104">
                  <c:v>45428</c:v>
                </c:pt>
                <c:pt idx="105">
                  <c:v>45435</c:v>
                </c:pt>
                <c:pt idx="106">
                  <c:v>45442</c:v>
                </c:pt>
                <c:pt idx="107">
                  <c:v>45449</c:v>
                </c:pt>
                <c:pt idx="108">
                  <c:v>45456</c:v>
                </c:pt>
                <c:pt idx="109">
                  <c:v>45463</c:v>
                </c:pt>
                <c:pt idx="110">
                  <c:v>45470</c:v>
                </c:pt>
                <c:pt idx="111">
                  <c:v>45477</c:v>
                </c:pt>
                <c:pt idx="112">
                  <c:v>45484</c:v>
                </c:pt>
                <c:pt idx="113">
                  <c:v>45491</c:v>
                </c:pt>
                <c:pt idx="114">
                  <c:v>45498</c:v>
                </c:pt>
                <c:pt idx="115">
                  <c:v>45505</c:v>
                </c:pt>
                <c:pt idx="116">
                  <c:v>45512</c:v>
                </c:pt>
                <c:pt idx="117">
                  <c:v>45519</c:v>
                </c:pt>
                <c:pt idx="118">
                  <c:v>45526</c:v>
                </c:pt>
                <c:pt idx="119">
                  <c:v>45533</c:v>
                </c:pt>
                <c:pt idx="120">
                  <c:v>45540</c:v>
                </c:pt>
                <c:pt idx="121">
                  <c:v>45547</c:v>
                </c:pt>
                <c:pt idx="122">
                  <c:v>45554</c:v>
                </c:pt>
                <c:pt idx="123">
                  <c:v>45561</c:v>
                </c:pt>
                <c:pt idx="124">
                  <c:v>45568</c:v>
                </c:pt>
                <c:pt idx="125">
                  <c:v>45575</c:v>
                </c:pt>
                <c:pt idx="126">
                  <c:v>45582</c:v>
                </c:pt>
                <c:pt idx="127">
                  <c:v>45589</c:v>
                </c:pt>
                <c:pt idx="128">
                  <c:v>45596</c:v>
                </c:pt>
                <c:pt idx="129">
                  <c:v>45603</c:v>
                </c:pt>
                <c:pt idx="130">
                  <c:v>45610</c:v>
                </c:pt>
                <c:pt idx="131">
                  <c:v>45617</c:v>
                </c:pt>
                <c:pt idx="132">
                  <c:v>45625</c:v>
                </c:pt>
                <c:pt idx="133">
                  <c:v>45631</c:v>
                </c:pt>
                <c:pt idx="134">
                  <c:v>45638</c:v>
                </c:pt>
                <c:pt idx="135">
                  <c:v>45645</c:v>
                </c:pt>
                <c:pt idx="136">
                  <c:v>45652</c:v>
                </c:pt>
                <c:pt idx="137">
                  <c:v>45659</c:v>
                </c:pt>
                <c:pt idx="138">
                  <c:v>45666</c:v>
                </c:pt>
                <c:pt idx="139">
                  <c:v>45673</c:v>
                </c:pt>
                <c:pt idx="140">
                  <c:v>45680</c:v>
                </c:pt>
                <c:pt idx="141">
                  <c:v>45687</c:v>
                </c:pt>
                <c:pt idx="142">
                  <c:v>45694</c:v>
                </c:pt>
                <c:pt idx="143">
                  <c:v>45701</c:v>
                </c:pt>
                <c:pt idx="144">
                  <c:v>45708</c:v>
                </c:pt>
                <c:pt idx="145">
                  <c:v>45715</c:v>
                </c:pt>
                <c:pt idx="146">
                  <c:v>45722</c:v>
                </c:pt>
                <c:pt idx="147">
                  <c:v>45729</c:v>
                </c:pt>
                <c:pt idx="148">
                  <c:v>45736</c:v>
                </c:pt>
                <c:pt idx="149">
                  <c:v>45743</c:v>
                </c:pt>
                <c:pt idx="150">
                  <c:v>45750</c:v>
                </c:pt>
                <c:pt idx="151">
                  <c:v>45757</c:v>
                </c:pt>
                <c:pt idx="152">
                  <c:v>45764</c:v>
                </c:pt>
                <c:pt idx="153">
                  <c:v>45771</c:v>
                </c:pt>
                <c:pt idx="154">
                  <c:v>45778</c:v>
                </c:pt>
                <c:pt idx="155">
                  <c:v>45785</c:v>
                </c:pt>
                <c:pt idx="156">
                  <c:v>45792</c:v>
                </c:pt>
                <c:pt idx="157">
                  <c:v>45799</c:v>
                </c:pt>
                <c:pt idx="158">
                  <c:v>45806</c:v>
                </c:pt>
                <c:pt idx="159">
                  <c:v>45813</c:v>
                </c:pt>
                <c:pt idx="160">
                  <c:v>45820</c:v>
                </c:pt>
                <c:pt idx="161">
                  <c:v>45827</c:v>
                </c:pt>
                <c:pt idx="162">
                  <c:v>45834</c:v>
                </c:pt>
                <c:pt idx="163">
                  <c:v>45841</c:v>
                </c:pt>
                <c:pt idx="164">
                  <c:v>45848</c:v>
                </c:pt>
                <c:pt idx="165">
                  <c:v>45855</c:v>
                </c:pt>
                <c:pt idx="166">
                  <c:v>45862</c:v>
                </c:pt>
                <c:pt idx="167">
                  <c:v>45869</c:v>
                </c:pt>
                <c:pt idx="168">
                  <c:v>45876</c:v>
                </c:pt>
                <c:pt idx="169">
                  <c:v>45883</c:v>
                </c:pt>
                <c:pt idx="170">
                  <c:v>45890</c:v>
                </c:pt>
                <c:pt idx="171">
                  <c:v>45897</c:v>
                </c:pt>
                <c:pt idx="172">
                  <c:v>45904</c:v>
                </c:pt>
                <c:pt idx="173">
                  <c:v>45911</c:v>
                </c:pt>
                <c:pt idx="174">
                  <c:v>45918</c:v>
                </c:pt>
                <c:pt idx="175">
                  <c:v>45925</c:v>
                </c:pt>
                <c:pt idx="176">
                  <c:v>45932</c:v>
                </c:pt>
                <c:pt idx="177">
                  <c:v>45939</c:v>
                </c:pt>
                <c:pt idx="178">
                  <c:v>45946</c:v>
                </c:pt>
                <c:pt idx="179">
                  <c:v>45953</c:v>
                </c:pt>
                <c:pt idx="180">
                  <c:v>45960</c:v>
                </c:pt>
                <c:pt idx="181">
                  <c:v>45967</c:v>
                </c:pt>
                <c:pt idx="182">
                  <c:v>45974</c:v>
                </c:pt>
                <c:pt idx="183">
                  <c:v>45981</c:v>
                </c:pt>
                <c:pt idx="184">
                  <c:v>45988</c:v>
                </c:pt>
                <c:pt idx="185">
                  <c:v>45995</c:v>
                </c:pt>
                <c:pt idx="186">
                  <c:v>46002</c:v>
                </c:pt>
                <c:pt idx="187">
                  <c:v>46009</c:v>
                </c:pt>
                <c:pt idx="188">
                  <c:v>46016</c:v>
                </c:pt>
                <c:pt idx="189">
                  <c:v>46022</c:v>
                </c:pt>
                <c:pt idx="190">
                  <c:v>46030</c:v>
                </c:pt>
                <c:pt idx="191">
                  <c:v>46037</c:v>
                </c:pt>
                <c:pt idx="192">
                  <c:v>46044</c:v>
                </c:pt>
                <c:pt idx="193">
                  <c:v>46051</c:v>
                </c:pt>
              </c:numCache>
            </c:numRef>
          </c:cat>
          <c:val>
            <c:numRef>
              <c:f>'Marché monétaire'!$D$5:$D$198</c:f>
              <c:numCache>
                <c:formatCode>_(* #,##0.00_);_(* \(#,##0.00\);_(* "-"??_);_(@_)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B8-487B-9664-E643554EA314}"/>
            </c:ext>
          </c:extLst>
        </c:ser>
        <c:ser>
          <c:idx val="2"/>
          <c:order val="2"/>
          <c:tx>
            <c:strRef>
              <c:f>'Marché monétaire'!$E$4</c:f>
              <c:strCache>
                <c:ptCount val="1"/>
                <c:pt idx="0">
                  <c:v>Taux Facilité de Prêt</c:v>
                </c:pt>
              </c:strCache>
            </c:strRef>
          </c:tx>
          <c:spPr>
            <a:ln w="28575" cap="rnd">
              <a:solidFill>
                <a:schemeClr val="accent2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'Marché monétaire'!$B$5:$B$198</c:f>
              <c:numCache>
                <c:formatCode>[$-40C]mmm\-yy;@</c:formatCode>
                <c:ptCount val="194"/>
                <c:pt idx="0">
                  <c:v>44567</c:v>
                </c:pt>
                <c:pt idx="1">
                  <c:v>44574</c:v>
                </c:pt>
                <c:pt idx="2">
                  <c:v>44581</c:v>
                </c:pt>
                <c:pt idx="3">
                  <c:v>44588</c:v>
                </c:pt>
                <c:pt idx="4">
                  <c:v>44595</c:v>
                </c:pt>
                <c:pt idx="5">
                  <c:v>44602</c:v>
                </c:pt>
                <c:pt idx="6">
                  <c:v>44609</c:v>
                </c:pt>
                <c:pt idx="7">
                  <c:v>44623</c:v>
                </c:pt>
                <c:pt idx="8">
                  <c:v>44637</c:v>
                </c:pt>
                <c:pt idx="9">
                  <c:v>44644</c:v>
                </c:pt>
                <c:pt idx="10">
                  <c:v>44651</c:v>
                </c:pt>
                <c:pt idx="11">
                  <c:v>44693</c:v>
                </c:pt>
                <c:pt idx="12">
                  <c:v>44700</c:v>
                </c:pt>
                <c:pt idx="13">
                  <c:v>44721</c:v>
                </c:pt>
                <c:pt idx="14">
                  <c:v>44728</c:v>
                </c:pt>
                <c:pt idx="15">
                  <c:v>44735</c:v>
                </c:pt>
                <c:pt idx="16">
                  <c:v>44742</c:v>
                </c:pt>
                <c:pt idx="17">
                  <c:v>44749</c:v>
                </c:pt>
                <c:pt idx="18">
                  <c:v>44756</c:v>
                </c:pt>
                <c:pt idx="19">
                  <c:v>44763</c:v>
                </c:pt>
                <c:pt idx="20">
                  <c:v>44777</c:v>
                </c:pt>
                <c:pt idx="21">
                  <c:v>44784</c:v>
                </c:pt>
                <c:pt idx="22">
                  <c:v>44791</c:v>
                </c:pt>
                <c:pt idx="23">
                  <c:v>44833</c:v>
                </c:pt>
                <c:pt idx="24">
                  <c:v>44840</c:v>
                </c:pt>
                <c:pt idx="25">
                  <c:v>44847</c:v>
                </c:pt>
                <c:pt idx="26">
                  <c:v>44868</c:v>
                </c:pt>
                <c:pt idx="27">
                  <c:v>44875</c:v>
                </c:pt>
                <c:pt idx="28">
                  <c:v>44882</c:v>
                </c:pt>
                <c:pt idx="29">
                  <c:v>44889</c:v>
                </c:pt>
                <c:pt idx="30">
                  <c:v>44896</c:v>
                </c:pt>
                <c:pt idx="31">
                  <c:v>44903</c:v>
                </c:pt>
                <c:pt idx="32">
                  <c:v>44910</c:v>
                </c:pt>
                <c:pt idx="33">
                  <c:v>44917</c:v>
                </c:pt>
                <c:pt idx="34">
                  <c:v>44924</c:v>
                </c:pt>
                <c:pt idx="35">
                  <c:v>44931</c:v>
                </c:pt>
                <c:pt idx="36">
                  <c:v>44938</c:v>
                </c:pt>
                <c:pt idx="37">
                  <c:v>44945</c:v>
                </c:pt>
                <c:pt idx="38">
                  <c:v>44952</c:v>
                </c:pt>
                <c:pt idx="39">
                  <c:v>44959</c:v>
                </c:pt>
                <c:pt idx="40">
                  <c:v>44966</c:v>
                </c:pt>
                <c:pt idx="41">
                  <c:v>44973</c:v>
                </c:pt>
                <c:pt idx="42">
                  <c:v>44987</c:v>
                </c:pt>
                <c:pt idx="43">
                  <c:v>44994</c:v>
                </c:pt>
                <c:pt idx="44">
                  <c:v>45001</c:v>
                </c:pt>
                <c:pt idx="45">
                  <c:v>45015</c:v>
                </c:pt>
                <c:pt idx="46">
                  <c:v>45022</c:v>
                </c:pt>
                <c:pt idx="47">
                  <c:v>45029</c:v>
                </c:pt>
                <c:pt idx="48">
                  <c:v>45036</c:v>
                </c:pt>
                <c:pt idx="49">
                  <c:v>45043</c:v>
                </c:pt>
                <c:pt idx="50">
                  <c:v>45050</c:v>
                </c:pt>
                <c:pt idx="51">
                  <c:v>45057</c:v>
                </c:pt>
                <c:pt idx="52">
                  <c:v>45064</c:v>
                </c:pt>
                <c:pt idx="53">
                  <c:v>45071</c:v>
                </c:pt>
                <c:pt idx="54">
                  <c:v>45078</c:v>
                </c:pt>
                <c:pt idx="55">
                  <c:v>45085</c:v>
                </c:pt>
                <c:pt idx="56">
                  <c:v>45092</c:v>
                </c:pt>
                <c:pt idx="57">
                  <c:v>45099</c:v>
                </c:pt>
                <c:pt idx="58">
                  <c:v>45106</c:v>
                </c:pt>
                <c:pt idx="59">
                  <c:v>45113</c:v>
                </c:pt>
                <c:pt idx="60">
                  <c:v>45120</c:v>
                </c:pt>
                <c:pt idx="61">
                  <c:v>45127</c:v>
                </c:pt>
                <c:pt idx="62">
                  <c:v>45134</c:v>
                </c:pt>
                <c:pt idx="63">
                  <c:v>45141</c:v>
                </c:pt>
                <c:pt idx="64">
                  <c:v>45148</c:v>
                </c:pt>
                <c:pt idx="65">
                  <c:v>45155</c:v>
                </c:pt>
                <c:pt idx="66">
                  <c:v>45162</c:v>
                </c:pt>
                <c:pt idx="67">
                  <c:v>45169</c:v>
                </c:pt>
                <c:pt idx="68">
                  <c:v>45176</c:v>
                </c:pt>
                <c:pt idx="69">
                  <c:v>45183</c:v>
                </c:pt>
                <c:pt idx="70">
                  <c:v>45190</c:v>
                </c:pt>
                <c:pt idx="71">
                  <c:v>45197</c:v>
                </c:pt>
                <c:pt idx="72">
                  <c:v>45204</c:v>
                </c:pt>
                <c:pt idx="73">
                  <c:v>45211</c:v>
                </c:pt>
                <c:pt idx="74">
                  <c:v>45218</c:v>
                </c:pt>
                <c:pt idx="75">
                  <c:v>45225</c:v>
                </c:pt>
                <c:pt idx="76">
                  <c:v>45232</c:v>
                </c:pt>
                <c:pt idx="77">
                  <c:v>45239</c:v>
                </c:pt>
                <c:pt idx="78">
                  <c:v>45246</c:v>
                </c:pt>
                <c:pt idx="79">
                  <c:v>45253</c:v>
                </c:pt>
                <c:pt idx="80">
                  <c:v>45260</c:v>
                </c:pt>
                <c:pt idx="81">
                  <c:v>45267</c:v>
                </c:pt>
                <c:pt idx="82">
                  <c:v>45274</c:v>
                </c:pt>
                <c:pt idx="83">
                  <c:v>45281</c:v>
                </c:pt>
                <c:pt idx="84">
                  <c:v>45288</c:v>
                </c:pt>
                <c:pt idx="85">
                  <c:v>45295</c:v>
                </c:pt>
                <c:pt idx="86">
                  <c:v>45302</c:v>
                </c:pt>
                <c:pt idx="87">
                  <c:v>45309</c:v>
                </c:pt>
                <c:pt idx="88">
                  <c:v>45316</c:v>
                </c:pt>
                <c:pt idx="89">
                  <c:v>45323</c:v>
                </c:pt>
                <c:pt idx="90">
                  <c:v>45330</c:v>
                </c:pt>
                <c:pt idx="91">
                  <c:v>45337</c:v>
                </c:pt>
                <c:pt idx="92">
                  <c:v>45344</c:v>
                </c:pt>
                <c:pt idx="93">
                  <c:v>45351</c:v>
                </c:pt>
                <c:pt idx="94">
                  <c:v>45358</c:v>
                </c:pt>
                <c:pt idx="95">
                  <c:v>45365</c:v>
                </c:pt>
                <c:pt idx="96">
                  <c:v>45372</c:v>
                </c:pt>
                <c:pt idx="97">
                  <c:v>45379</c:v>
                </c:pt>
                <c:pt idx="98">
                  <c:v>45386</c:v>
                </c:pt>
                <c:pt idx="99">
                  <c:v>45393</c:v>
                </c:pt>
                <c:pt idx="100">
                  <c:v>45400</c:v>
                </c:pt>
                <c:pt idx="101">
                  <c:v>45407</c:v>
                </c:pt>
                <c:pt idx="102">
                  <c:v>45414</c:v>
                </c:pt>
                <c:pt idx="103">
                  <c:v>45421</c:v>
                </c:pt>
                <c:pt idx="104">
                  <c:v>45428</c:v>
                </c:pt>
                <c:pt idx="105">
                  <c:v>45435</c:v>
                </c:pt>
                <c:pt idx="106">
                  <c:v>45442</c:v>
                </c:pt>
                <c:pt idx="107">
                  <c:v>45449</c:v>
                </c:pt>
                <c:pt idx="108">
                  <c:v>45456</c:v>
                </c:pt>
                <c:pt idx="109">
                  <c:v>45463</c:v>
                </c:pt>
                <c:pt idx="110">
                  <c:v>45470</c:v>
                </c:pt>
                <c:pt idx="111">
                  <c:v>45477</c:v>
                </c:pt>
                <c:pt idx="112">
                  <c:v>45484</c:v>
                </c:pt>
                <c:pt idx="113">
                  <c:v>45491</c:v>
                </c:pt>
                <c:pt idx="114">
                  <c:v>45498</c:v>
                </c:pt>
                <c:pt idx="115">
                  <c:v>45505</c:v>
                </c:pt>
                <c:pt idx="116">
                  <c:v>45512</c:v>
                </c:pt>
                <c:pt idx="117">
                  <c:v>45519</c:v>
                </c:pt>
                <c:pt idx="118">
                  <c:v>45526</c:v>
                </c:pt>
                <c:pt idx="119">
                  <c:v>45533</c:v>
                </c:pt>
                <c:pt idx="120">
                  <c:v>45540</c:v>
                </c:pt>
                <c:pt idx="121">
                  <c:v>45547</c:v>
                </c:pt>
                <c:pt idx="122">
                  <c:v>45554</c:v>
                </c:pt>
                <c:pt idx="123">
                  <c:v>45561</c:v>
                </c:pt>
                <c:pt idx="124">
                  <c:v>45568</c:v>
                </c:pt>
                <c:pt idx="125">
                  <c:v>45575</c:v>
                </c:pt>
                <c:pt idx="126">
                  <c:v>45582</c:v>
                </c:pt>
                <c:pt idx="127">
                  <c:v>45589</c:v>
                </c:pt>
                <c:pt idx="128">
                  <c:v>45596</c:v>
                </c:pt>
                <c:pt idx="129">
                  <c:v>45603</c:v>
                </c:pt>
                <c:pt idx="130">
                  <c:v>45610</c:v>
                </c:pt>
                <c:pt idx="131">
                  <c:v>45617</c:v>
                </c:pt>
                <c:pt idx="132">
                  <c:v>45625</c:v>
                </c:pt>
                <c:pt idx="133">
                  <c:v>45631</c:v>
                </c:pt>
                <c:pt idx="134">
                  <c:v>45638</c:v>
                </c:pt>
                <c:pt idx="135">
                  <c:v>45645</c:v>
                </c:pt>
                <c:pt idx="136">
                  <c:v>45652</c:v>
                </c:pt>
                <c:pt idx="137">
                  <c:v>45659</c:v>
                </c:pt>
                <c:pt idx="138">
                  <c:v>45666</c:v>
                </c:pt>
                <c:pt idx="139">
                  <c:v>45673</c:v>
                </c:pt>
                <c:pt idx="140">
                  <c:v>45680</c:v>
                </c:pt>
                <c:pt idx="141">
                  <c:v>45687</c:v>
                </c:pt>
                <c:pt idx="142">
                  <c:v>45694</c:v>
                </c:pt>
                <c:pt idx="143">
                  <c:v>45701</c:v>
                </c:pt>
                <c:pt idx="144">
                  <c:v>45708</c:v>
                </c:pt>
                <c:pt idx="145">
                  <c:v>45715</c:v>
                </c:pt>
                <c:pt idx="146">
                  <c:v>45722</c:v>
                </c:pt>
                <c:pt idx="147">
                  <c:v>45729</c:v>
                </c:pt>
                <c:pt idx="148">
                  <c:v>45736</c:v>
                </c:pt>
                <c:pt idx="149">
                  <c:v>45743</c:v>
                </c:pt>
                <c:pt idx="150">
                  <c:v>45750</c:v>
                </c:pt>
                <c:pt idx="151">
                  <c:v>45757</c:v>
                </c:pt>
                <c:pt idx="152">
                  <c:v>45764</c:v>
                </c:pt>
                <c:pt idx="153">
                  <c:v>45771</c:v>
                </c:pt>
                <c:pt idx="154">
                  <c:v>45778</c:v>
                </c:pt>
                <c:pt idx="155">
                  <c:v>45785</c:v>
                </c:pt>
                <c:pt idx="156">
                  <c:v>45792</c:v>
                </c:pt>
                <c:pt idx="157">
                  <c:v>45799</c:v>
                </c:pt>
                <c:pt idx="158">
                  <c:v>45806</c:v>
                </c:pt>
                <c:pt idx="159">
                  <c:v>45813</c:v>
                </c:pt>
                <c:pt idx="160">
                  <c:v>45820</c:v>
                </c:pt>
                <c:pt idx="161">
                  <c:v>45827</c:v>
                </c:pt>
                <c:pt idx="162">
                  <c:v>45834</c:v>
                </c:pt>
                <c:pt idx="163">
                  <c:v>45841</c:v>
                </c:pt>
                <c:pt idx="164">
                  <c:v>45848</c:v>
                </c:pt>
                <c:pt idx="165">
                  <c:v>45855</c:v>
                </c:pt>
                <c:pt idx="166">
                  <c:v>45862</c:v>
                </c:pt>
                <c:pt idx="167">
                  <c:v>45869</c:v>
                </c:pt>
                <c:pt idx="168">
                  <c:v>45876</c:v>
                </c:pt>
                <c:pt idx="169">
                  <c:v>45883</c:v>
                </c:pt>
                <c:pt idx="170">
                  <c:v>45890</c:v>
                </c:pt>
                <c:pt idx="171">
                  <c:v>45897</c:v>
                </c:pt>
                <c:pt idx="172">
                  <c:v>45904</c:v>
                </c:pt>
                <c:pt idx="173">
                  <c:v>45911</c:v>
                </c:pt>
                <c:pt idx="174">
                  <c:v>45918</c:v>
                </c:pt>
                <c:pt idx="175">
                  <c:v>45925</c:v>
                </c:pt>
                <c:pt idx="176">
                  <c:v>45932</c:v>
                </c:pt>
                <c:pt idx="177">
                  <c:v>45939</c:v>
                </c:pt>
                <c:pt idx="178">
                  <c:v>45946</c:v>
                </c:pt>
                <c:pt idx="179">
                  <c:v>45953</c:v>
                </c:pt>
                <c:pt idx="180">
                  <c:v>45960</c:v>
                </c:pt>
                <c:pt idx="181">
                  <c:v>45967</c:v>
                </c:pt>
                <c:pt idx="182">
                  <c:v>45974</c:v>
                </c:pt>
                <c:pt idx="183">
                  <c:v>45981</c:v>
                </c:pt>
                <c:pt idx="184">
                  <c:v>45988</c:v>
                </c:pt>
                <c:pt idx="185">
                  <c:v>45995</c:v>
                </c:pt>
                <c:pt idx="186">
                  <c:v>46002</c:v>
                </c:pt>
                <c:pt idx="187">
                  <c:v>46009</c:v>
                </c:pt>
                <c:pt idx="188">
                  <c:v>46016</c:v>
                </c:pt>
                <c:pt idx="189">
                  <c:v>46022</c:v>
                </c:pt>
                <c:pt idx="190">
                  <c:v>46030</c:v>
                </c:pt>
                <c:pt idx="191">
                  <c:v>46037</c:v>
                </c:pt>
                <c:pt idx="192">
                  <c:v>46044</c:v>
                </c:pt>
                <c:pt idx="193">
                  <c:v>46051</c:v>
                </c:pt>
              </c:numCache>
            </c:numRef>
          </c:cat>
          <c:val>
            <c:numRef>
              <c:f>'Marché monétaire'!$E$5:$E$198</c:f>
              <c:numCache>
                <c:formatCode>0.00</c:formatCode>
                <c:ptCount val="194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  <c:pt idx="24">
                  <c:v>6.5</c:v>
                </c:pt>
                <c:pt idx="25">
                  <c:v>6.5</c:v>
                </c:pt>
                <c:pt idx="26">
                  <c:v>6.5</c:v>
                </c:pt>
                <c:pt idx="27">
                  <c:v>6.5</c:v>
                </c:pt>
                <c:pt idx="28">
                  <c:v>6.5</c:v>
                </c:pt>
                <c:pt idx="29">
                  <c:v>6.5</c:v>
                </c:pt>
                <c:pt idx="30">
                  <c:v>9.5</c:v>
                </c:pt>
                <c:pt idx="31">
                  <c:v>9.5</c:v>
                </c:pt>
                <c:pt idx="32">
                  <c:v>9.5</c:v>
                </c:pt>
                <c:pt idx="33">
                  <c:v>9.5</c:v>
                </c:pt>
                <c:pt idx="34">
                  <c:v>9.5</c:v>
                </c:pt>
                <c:pt idx="35">
                  <c:v>9.5</c:v>
                </c:pt>
                <c:pt idx="36">
                  <c:v>9.5</c:v>
                </c:pt>
                <c:pt idx="37">
                  <c:v>9.5</c:v>
                </c:pt>
                <c:pt idx="38">
                  <c:v>9.5</c:v>
                </c:pt>
                <c:pt idx="39">
                  <c:v>9.5</c:v>
                </c:pt>
                <c:pt idx="40">
                  <c:v>9.5</c:v>
                </c:pt>
                <c:pt idx="41">
                  <c:v>9.5</c:v>
                </c:pt>
                <c:pt idx="42">
                  <c:v>9.5</c:v>
                </c:pt>
                <c:pt idx="43">
                  <c:v>9.5</c:v>
                </c:pt>
                <c:pt idx="44">
                  <c:v>9.5</c:v>
                </c:pt>
                <c:pt idx="45">
                  <c:v>9.5</c:v>
                </c:pt>
                <c:pt idx="46">
                  <c:v>9.5</c:v>
                </c:pt>
                <c:pt idx="47">
                  <c:v>9.5</c:v>
                </c:pt>
                <c:pt idx="48">
                  <c:v>9.5</c:v>
                </c:pt>
                <c:pt idx="49">
                  <c:v>9.5</c:v>
                </c:pt>
                <c:pt idx="50">
                  <c:v>9.5</c:v>
                </c:pt>
                <c:pt idx="51">
                  <c:v>9.5</c:v>
                </c:pt>
                <c:pt idx="52">
                  <c:v>9.5</c:v>
                </c:pt>
                <c:pt idx="53">
                  <c:v>9.5</c:v>
                </c:pt>
                <c:pt idx="54">
                  <c:v>9.5</c:v>
                </c:pt>
                <c:pt idx="55">
                  <c:v>9.5</c:v>
                </c:pt>
                <c:pt idx="56">
                  <c:v>9.5</c:v>
                </c:pt>
                <c:pt idx="57">
                  <c:v>9.5</c:v>
                </c:pt>
                <c:pt idx="58">
                  <c:v>9.5</c:v>
                </c:pt>
                <c:pt idx="59">
                  <c:v>9.5</c:v>
                </c:pt>
                <c:pt idx="60">
                  <c:v>9.5</c:v>
                </c:pt>
                <c:pt idx="61">
                  <c:v>9.5</c:v>
                </c:pt>
                <c:pt idx="62">
                  <c:v>9.5</c:v>
                </c:pt>
                <c:pt idx="63">
                  <c:v>9.5</c:v>
                </c:pt>
                <c:pt idx="64">
                  <c:v>9.5</c:v>
                </c:pt>
                <c:pt idx="65">
                  <c:v>9.5</c:v>
                </c:pt>
                <c:pt idx="66">
                  <c:v>9.5</c:v>
                </c:pt>
                <c:pt idx="67">
                  <c:v>9.5</c:v>
                </c:pt>
                <c:pt idx="68">
                  <c:v>9.5</c:v>
                </c:pt>
                <c:pt idx="69">
                  <c:v>9.5</c:v>
                </c:pt>
                <c:pt idx="70">
                  <c:v>9.5</c:v>
                </c:pt>
                <c:pt idx="71">
                  <c:v>9.5</c:v>
                </c:pt>
                <c:pt idx="72">
                  <c:v>9.5</c:v>
                </c:pt>
                <c:pt idx="73">
                  <c:v>9.5</c:v>
                </c:pt>
                <c:pt idx="74">
                  <c:v>9.5</c:v>
                </c:pt>
                <c:pt idx="75">
                  <c:v>9.5</c:v>
                </c:pt>
                <c:pt idx="76">
                  <c:v>9.5</c:v>
                </c:pt>
                <c:pt idx="77">
                  <c:v>9.5</c:v>
                </c:pt>
                <c:pt idx="78">
                  <c:v>9.5</c:v>
                </c:pt>
                <c:pt idx="79">
                  <c:v>9.5</c:v>
                </c:pt>
                <c:pt idx="80">
                  <c:v>9.5</c:v>
                </c:pt>
                <c:pt idx="81">
                  <c:v>9.5</c:v>
                </c:pt>
                <c:pt idx="82">
                  <c:v>9.5</c:v>
                </c:pt>
                <c:pt idx="83">
                  <c:v>9.5</c:v>
                </c:pt>
                <c:pt idx="84">
                  <c:v>9.5</c:v>
                </c:pt>
                <c:pt idx="85">
                  <c:v>9.5</c:v>
                </c:pt>
                <c:pt idx="86">
                  <c:v>9.5</c:v>
                </c:pt>
                <c:pt idx="87">
                  <c:v>9.5</c:v>
                </c:pt>
                <c:pt idx="88">
                  <c:v>9.5</c:v>
                </c:pt>
                <c:pt idx="89">
                  <c:v>9.5</c:v>
                </c:pt>
                <c:pt idx="90">
                  <c:v>9.5</c:v>
                </c:pt>
                <c:pt idx="91">
                  <c:v>9.5</c:v>
                </c:pt>
                <c:pt idx="92">
                  <c:v>9.5</c:v>
                </c:pt>
                <c:pt idx="93">
                  <c:v>9.5</c:v>
                </c:pt>
                <c:pt idx="94">
                  <c:v>9.5</c:v>
                </c:pt>
                <c:pt idx="95">
                  <c:v>9.5</c:v>
                </c:pt>
                <c:pt idx="96">
                  <c:v>9.5</c:v>
                </c:pt>
                <c:pt idx="97">
                  <c:v>9.5</c:v>
                </c:pt>
                <c:pt idx="98">
                  <c:v>9.5</c:v>
                </c:pt>
                <c:pt idx="99">
                  <c:v>9.5</c:v>
                </c:pt>
                <c:pt idx="100">
                  <c:v>9.5</c:v>
                </c:pt>
                <c:pt idx="101">
                  <c:v>9.5</c:v>
                </c:pt>
                <c:pt idx="102">
                  <c:v>9.5</c:v>
                </c:pt>
                <c:pt idx="103">
                  <c:v>9.5</c:v>
                </c:pt>
                <c:pt idx="104">
                  <c:v>9.5</c:v>
                </c:pt>
                <c:pt idx="105">
                  <c:v>9.5</c:v>
                </c:pt>
                <c:pt idx="106">
                  <c:v>9.5</c:v>
                </c:pt>
                <c:pt idx="107">
                  <c:v>9.5</c:v>
                </c:pt>
                <c:pt idx="108">
                  <c:v>9.5</c:v>
                </c:pt>
                <c:pt idx="109">
                  <c:v>9.5</c:v>
                </c:pt>
                <c:pt idx="110">
                  <c:v>9.5</c:v>
                </c:pt>
                <c:pt idx="111">
                  <c:v>9.5</c:v>
                </c:pt>
                <c:pt idx="112">
                  <c:v>9.5</c:v>
                </c:pt>
                <c:pt idx="113">
                  <c:v>9.5</c:v>
                </c:pt>
                <c:pt idx="114">
                  <c:v>9.5</c:v>
                </c:pt>
                <c:pt idx="115">
                  <c:v>9.5</c:v>
                </c:pt>
                <c:pt idx="116">
                  <c:v>9.5</c:v>
                </c:pt>
                <c:pt idx="117">
                  <c:v>9.5</c:v>
                </c:pt>
                <c:pt idx="118">
                  <c:v>9.5</c:v>
                </c:pt>
                <c:pt idx="119">
                  <c:v>9.5</c:v>
                </c:pt>
                <c:pt idx="120">
                  <c:v>9.5</c:v>
                </c:pt>
                <c:pt idx="121">
                  <c:v>9.5</c:v>
                </c:pt>
                <c:pt idx="122">
                  <c:v>9.5</c:v>
                </c:pt>
                <c:pt idx="123">
                  <c:v>9.5</c:v>
                </c:pt>
                <c:pt idx="124">
                  <c:v>9.5</c:v>
                </c:pt>
                <c:pt idx="125">
                  <c:v>9.5</c:v>
                </c:pt>
                <c:pt idx="126">
                  <c:v>9.5</c:v>
                </c:pt>
                <c:pt idx="127">
                  <c:v>8.25</c:v>
                </c:pt>
                <c:pt idx="128">
                  <c:v>8.25</c:v>
                </c:pt>
                <c:pt idx="129">
                  <c:v>8.25</c:v>
                </c:pt>
                <c:pt idx="130">
                  <c:v>8.25</c:v>
                </c:pt>
                <c:pt idx="131">
                  <c:v>8.25</c:v>
                </c:pt>
                <c:pt idx="132">
                  <c:v>8.25</c:v>
                </c:pt>
                <c:pt idx="133">
                  <c:v>7.75</c:v>
                </c:pt>
                <c:pt idx="134">
                  <c:v>7.75</c:v>
                </c:pt>
                <c:pt idx="135">
                  <c:v>7.75</c:v>
                </c:pt>
                <c:pt idx="136">
                  <c:v>7.75</c:v>
                </c:pt>
                <c:pt idx="137">
                  <c:v>7.5</c:v>
                </c:pt>
                <c:pt idx="138">
                  <c:v>7.5</c:v>
                </c:pt>
                <c:pt idx="139">
                  <c:v>7.5</c:v>
                </c:pt>
                <c:pt idx="140">
                  <c:v>7.5</c:v>
                </c:pt>
                <c:pt idx="141">
                  <c:v>7.5</c:v>
                </c:pt>
                <c:pt idx="142">
                  <c:v>7.5</c:v>
                </c:pt>
                <c:pt idx="143">
                  <c:v>7.5</c:v>
                </c:pt>
                <c:pt idx="144">
                  <c:v>7.5</c:v>
                </c:pt>
                <c:pt idx="145">
                  <c:v>7.5</c:v>
                </c:pt>
                <c:pt idx="146">
                  <c:v>7.5</c:v>
                </c:pt>
                <c:pt idx="147">
                  <c:v>7.5</c:v>
                </c:pt>
                <c:pt idx="148">
                  <c:v>7.5</c:v>
                </c:pt>
                <c:pt idx="149">
                  <c:v>7.5</c:v>
                </c:pt>
                <c:pt idx="150">
                  <c:v>7.5</c:v>
                </c:pt>
                <c:pt idx="151">
                  <c:v>7.5</c:v>
                </c:pt>
                <c:pt idx="152">
                  <c:v>7.5</c:v>
                </c:pt>
                <c:pt idx="153">
                  <c:v>7.5</c:v>
                </c:pt>
                <c:pt idx="154">
                  <c:v>7.5</c:v>
                </c:pt>
                <c:pt idx="155">
                  <c:v>7.5</c:v>
                </c:pt>
                <c:pt idx="156">
                  <c:v>7.5</c:v>
                </c:pt>
                <c:pt idx="157">
                  <c:v>7.5</c:v>
                </c:pt>
                <c:pt idx="158">
                  <c:v>7.5</c:v>
                </c:pt>
                <c:pt idx="159">
                  <c:v>7.5</c:v>
                </c:pt>
                <c:pt idx="160">
                  <c:v>7.5</c:v>
                </c:pt>
                <c:pt idx="161">
                  <c:v>7.5</c:v>
                </c:pt>
                <c:pt idx="162">
                  <c:v>7.5</c:v>
                </c:pt>
                <c:pt idx="163">
                  <c:v>7.5</c:v>
                </c:pt>
                <c:pt idx="164">
                  <c:v>7.5</c:v>
                </c:pt>
                <c:pt idx="165">
                  <c:v>7.5</c:v>
                </c:pt>
                <c:pt idx="166">
                  <c:v>7.5</c:v>
                </c:pt>
                <c:pt idx="167">
                  <c:v>7.5</c:v>
                </c:pt>
                <c:pt idx="168">
                  <c:v>7.5</c:v>
                </c:pt>
                <c:pt idx="169">
                  <c:v>6.5</c:v>
                </c:pt>
                <c:pt idx="170">
                  <c:v>6.5</c:v>
                </c:pt>
                <c:pt idx="171">
                  <c:v>6.5</c:v>
                </c:pt>
                <c:pt idx="172">
                  <c:v>6.5</c:v>
                </c:pt>
                <c:pt idx="173">
                  <c:v>6.5</c:v>
                </c:pt>
                <c:pt idx="174">
                  <c:v>6.5</c:v>
                </c:pt>
                <c:pt idx="175">
                  <c:v>6.5</c:v>
                </c:pt>
                <c:pt idx="176">
                  <c:v>6.5</c:v>
                </c:pt>
                <c:pt idx="177">
                  <c:v>6.5</c:v>
                </c:pt>
                <c:pt idx="178">
                  <c:v>6.5</c:v>
                </c:pt>
                <c:pt idx="179">
                  <c:v>6.5</c:v>
                </c:pt>
                <c:pt idx="180">
                  <c:v>6.5</c:v>
                </c:pt>
                <c:pt idx="181">
                  <c:v>6.5</c:v>
                </c:pt>
                <c:pt idx="182">
                  <c:v>6.5</c:v>
                </c:pt>
                <c:pt idx="183">
                  <c:v>6.5</c:v>
                </c:pt>
                <c:pt idx="184">
                  <c:v>6.5</c:v>
                </c:pt>
                <c:pt idx="185">
                  <c:v>6.5</c:v>
                </c:pt>
                <c:pt idx="186">
                  <c:v>6.5</c:v>
                </c:pt>
                <c:pt idx="187">
                  <c:v>6.5</c:v>
                </c:pt>
                <c:pt idx="188">
                  <c:v>6.5</c:v>
                </c:pt>
                <c:pt idx="189">
                  <c:v>6.5</c:v>
                </c:pt>
                <c:pt idx="190">
                  <c:v>6.5</c:v>
                </c:pt>
                <c:pt idx="191">
                  <c:v>6.5</c:v>
                </c:pt>
                <c:pt idx="192">
                  <c:v>6.5</c:v>
                </c:pt>
                <c:pt idx="19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B8-487B-9664-E643554EA314}"/>
            </c:ext>
          </c:extLst>
        </c:ser>
        <c:ser>
          <c:idx val="11"/>
          <c:order val="3"/>
          <c:tx>
            <c:strRef>
              <c:f>'Marché monétaire'!$Q$4</c:f>
              <c:strCache>
                <c:ptCount val="1"/>
                <c:pt idx="0">
                  <c:v>Taux  Moyen Pondéré  des valeurs du Trésor</c:v>
                </c:pt>
              </c:strCache>
            </c:strRef>
          </c:tx>
          <c:spPr>
            <a:ln w="28575" cap="rnd">
              <a:solidFill>
                <a:schemeClr val="accent2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'Marché monétaire'!$B$5:$B$198</c:f>
              <c:numCache>
                <c:formatCode>[$-40C]mmm\-yy;@</c:formatCode>
                <c:ptCount val="194"/>
                <c:pt idx="0">
                  <c:v>44567</c:v>
                </c:pt>
                <c:pt idx="1">
                  <c:v>44574</c:v>
                </c:pt>
                <c:pt idx="2">
                  <c:v>44581</c:v>
                </c:pt>
                <c:pt idx="3">
                  <c:v>44588</c:v>
                </c:pt>
                <c:pt idx="4">
                  <c:v>44595</c:v>
                </c:pt>
                <c:pt idx="5">
                  <c:v>44602</c:v>
                </c:pt>
                <c:pt idx="6">
                  <c:v>44609</c:v>
                </c:pt>
                <c:pt idx="7">
                  <c:v>44623</c:v>
                </c:pt>
                <c:pt idx="8">
                  <c:v>44637</c:v>
                </c:pt>
                <c:pt idx="9">
                  <c:v>44644</c:v>
                </c:pt>
                <c:pt idx="10">
                  <c:v>44651</c:v>
                </c:pt>
                <c:pt idx="11">
                  <c:v>44693</c:v>
                </c:pt>
                <c:pt idx="12">
                  <c:v>44700</c:v>
                </c:pt>
                <c:pt idx="13">
                  <c:v>44721</c:v>
                </c:pt>
                <c:pt idx="14">
                  <c:v>44728</c:v>
                </c:pt>
                <c:pt idx="15">
                  <c:v>44735</c:v>
                </c:pt>
                <c:pt idx="16">
                  <c:v>44742</c:v>
                </c:pt>
                <c:pt idx="17">
                  <c:v>44749</c:v>
                </c:pt>
                <c:pt idx="18">
                  <c:v>44756</c:v>
                </c:pt>
                <c:pt idx="19">
                  <c:v>44763</c:v>
                </c:pt>
                <c:pt idx="20">
                  <c:v>44777</c:v>
                </c:pt>
                <c:pt idx="21">
                  <c:v>44784</c:v>
                </c:pt>
                <c:pt idx="22">
                  <c:v>44791</c:v>
                </c:pt>
                <c:pt idx="23">
                  <c:v>44833</c:v>
                </c:pt>
                <c:pt idx="24">
                  <c:v>44840</c:v>
                </c:pt>
                <c:pt idx="25">
                  <c:v>44847</c:v>
                </c:pt>
                <c:pt idx="26">
                  <c:v>44868</c:v>
                </c:pt>
                <c:pt idx="27">
                  <c:v>44875</c:v>
                </c:pt>
                <c:pt idx="28">
                  <c:v>44882</c:v>
                </c:pt>
                <c:pt idx="29">
                  <c:v>44889</c:v>
                </c:pt>
                <c:pt idx="30">
                  <c:v>44896</c:v>
                </c:pt>
                <c:pt idx="31">
                  <c:v>44903</c:v>
                </c:pt>
                <c:pt idx="32">
                  <c:v>44910</c:v>
                </c:pt>
                <c:pt idx="33">
                  <c:v>44917</c:v>
                </c:pt>
                <c:pt idx="34">
                  <c:v>44924</c:v>
                </c:pt>
                <c:pt idx="35">
                  <c:v>44931</c:v>
                </c:pt>
                <c:pt idx="36">
                  <c:v>44938</c:v>
                </c:pt>
                <c:pt idx="37">
                  <c:v>44945</c:v>
                </c:pt>
                <c:pt idx="38">
                  <c:v>44952</c:v>
                </c:pt>
                <c:pt idx="39">
                  <c:v>44959</c:v>
                </c:pt>
                <c:pt idx="40">
                  <c:v>44966</c:v>
                </c:pt>
                <c:pt idx="41">
                  <c:v>44973</c:v>
                </c:pt>
                <c:pt idx="42">
                  <c:v>44987</c:v>
                </c:pt>
                <c:pt idx="43">
                  <c:v>44994</c:v>
                </c:pt>
                <c:pt idx="44">
                  <c:v>45001</c:v>
                </c:pt>
                <c:pt idx="45">
                  <c:v>45015</c:v>
                </c:pt>
                <c:pt idx="46">
                  <c:v>45022</c:v>
                </c:pt>
                <c:pt idx="47">
                  <c:v>45029</c:v>
                </c:pt>
                <c:pt idx="48">
                  <c:v>45036</c:v>
                </c:pt>
                <c:pt idx="49">
                  <c:v>45043</c:v>
                </c:pt>
                <c:pt idx="50">
                  <c:v>45050</c:v>
                </c:pt>
                <c:pt idx="51">
                  <c:v>45057</c:v>
                </c:pt>
                <c:pt idx="52">
                  <c:v>45064</c:v>
                </c:pt>
                <c:pt idx="53">
                  <c:v>45071</c:v>
                </c:pt>
                <c:pt idx="54">
                  <c:v>45078</c:v>
                </c:pt>
                <c:pt idx="55">
                  <c:v>45085</c:v>
                </c:pt>
                <c:pt idx="56">
                  <c:v>45092</c:v>
                </c:pt>
                <c:pt idx="57">
                  <c:v>45099</c:v>
                </c:pt>
                <c:pt idx="58">
                  <c:v>45106</c:v>
                </c:pt>
                <c:pt idx="59">
                  <c:v>45113</c:v>
                </c:pt>
                <c:pt idx="60">
                  <c:v>45120</c:v>
                </c:pt>
                <c:pt idx="61">
                  <c:v>45127</c:v>
                </c:pt>
                <c:pt idx="62">
                  <c:v>45134</c:v>
                </c:pt>
                <c:pt idx="63">
                  <c:v>45141</c:v>
                </c:pt>
                <c:pt idx="64">
                  <c:v>45148</c:v>
                </c:pt>
                <c:pt idx="65">
                  <c:v>45155</c:v>
                </c:pt>
                <c:pt idx="66">
                  <c:v>45162</c:v>
                </c:pt>
                <c:pt idx="67">
                  <c:v>45169</c:v>
                </c:pt>
                <c:pt idx="68">
                  <c:v>45176</c:v>
                </c:pt>
                <c:pt idx="69">
                  <c:v>45183</c:v>
                </c:pt>
                <c:pt idx="70">
                  <c:v>45190</c:v>
                </c:pt>
                <c:pt idx="71">
                  <c:v>45197</c:v>
                </c:pt>
                <c:pt idx="72">
                  <c:v>45204</c:v>
                </c:pt>
                <c:pt idx="73">
                  <c:v>45211</c:v>
                </c:pt>
                <c:pt idx="74">
                  <c:v>45218</c:v>
                </c:pt>
                <c:pt idx="75">
                  <c:v>45225</c:v>
                </c:pt>
                <c:pt idx="76">
                  <c:v>45232</c:v>
                </c:pt>
                <c:pt idx="77">
                  <c:v>45239</c:v>
                </c:pt>
                <c:pt idx="78">
                  <c:v>45246</c:v>
                </c:pt>
                <c:pt idx="79">
                  <c:v>45253</c:v>
                </c:pt>
                <c:pt idx="80">
                  <c:v>45260</c:v>
                </c:pt>
                <c:pt idx="81">
                  <c:v>45267</c:v>
                </c:pt>
                <c:pt idx="82">
                  <c:v>45274</c:v>
                </c:pt>
                <c:pt idx="83">
                  <c:v>45281</c:v>
                </c:pt>
                <c:pt idx="84">
                  <c:v>45288</c:v>
                </c:pt>
                <c:pt idx="85">
                  <c:v>45295</c:v>
                </c:pt>
                <c:pt idx="86">
                  <c:v>45302</c:v>
                </c:pt>
                <c:pt idx="87">
                  <c:v>45309</c:v>
                </c:pt>
                <c:pt idx="88">
                  <c:v>45316</c:v>
                </c:pt>
                <c:pt idx="89">
                  <c:v>45323</c:v>
                </c:pt>
                <c:pt idx="90">
                  <c:v>45330</c:v>
                </c:pt>
                <c:pt idx="91">
                  <c:v>45337</c:v>
                </c:pt>
                <c:pt idx="92">
                  <c:v>45344</c:v>
                </c:pt>
                <c:pt idx="93">
                  <c:v>45351</c:v>
                </c:pt>
                <c:pt idx="94">
                  <c:v>45358</c:v>
                </c:pt>
                <c:pt idx="95">
                  <c:v>45365</c:v>
                </c:pt>
                <c:pt idx="96">
                  <c:v>45372</c:v>
                </c:pt>
                <c:pt idx="97">
                  <c:v>45379</c:v>
                </c:pt>
                <c:pt idx="98">
                  <c:v>45386</c:v>
                </c:pt>
                <c:pt idx="99">
                  <c:v>45393</c:v>
                </c:pt>
                <c:pt idx="100">
                  <c:v>45400</c:v>
                </c:pt>
                <c:pt idx="101">
                  <c:v>45407</c:v>
                </c:pt>
                <c:pt idx="102">
                  <c:v>45414</c:v>
                </c:pt>
                <c:pt idx="103">
                  <c:v>45421</c:v>
                </c:pt>
                <c:pt idx="104">
                  <c:v>45428</c:v>
                </c:pt>
                <c:pt idx="105">
                  <c:v>45435</c:v>
                </c:pt>
                <c:pt idx="106">
                  <c:v>45442</c:v>
                </c:pt>
                <c:pt idx="107">
                  <c:v>45449</c:v>
                </c:pt>
                <c:pt idx="108">
                  <c:v>45456</c:v>
                </c:pt>
                <c:pt idx="109">
                  <c:v>45463</c:v>
                </c:pt>
                <c:pt idx="110">
                  <c:v>45470</c:v>
                </c:pt>
                <c:pt idx="111">
                  <c:v>45477</c:v>
                </c:pt>
                <c:pt idx="112">
                  <c:v>45484</c:v>
                </c:pt>
                <c:pt idx="113">
                  <c:v>45491</c:v>
                </c:pt>
                <c:pt idx="114">
                  <c:v>45498</c:v>
                </c:pt>
                <c:pt idx="115">
                  <c:v>45505</c:v>
                </c:pt>
                <c:pt idx="116">
                  <c:v>45512</c:v>
                </c:pt>
                <c:pt idx="117">
                  <c:v>45519</c:v>
                </c:pt>
                <c:pt idx="118">
                  <c:v>45526</c:v>
                </c:pt>
                <c:pt idx="119">
                  <c:v>45533</c:v>
                </c:pt>
                <c:pt idx="120">
                  <c:v>45540</c:v>
                </c:pt>
                <c:pt idx="121">
                  <c:v>45547</c:v>
                </c:pt>
                <c:pt idx="122">
                  <c:v>45554</c:v>
                </c:pt>
                <c:pt idx="123">
                  <c:v>45561</c:v>
                </c:pt>
                <c:pt idx="124">
                  <c:v>45568</c:v>
                </c:pt>
                <c:pt idx="125">
                  <c:v>45575</c:v>
                </c:pt>
                <c:pt idx="126">
                  <c:v>45582</c:v>
                </c:pt>
                <c:pt idx="127">
                  <c:v>45589</c:v>
                </c:pt>
                <c:pt idx="128">
                  <c:v>45596</c:v>
                </c:pt>
                <c:pt idx="129">
                  <c:v>45603</c:v>
                </c:pt>
                <c:pt idx="130">
                  <c:v>45610</c:v>
                </c:pt>
                <c:pt idx="131">
                  <c:v>45617</c:v>
                </c:pt>
                <c:pt idx="132">
                  <c:v>45625</c:v>
                </c:pt>
                <c:pt idx="133">
                  <c:v>45631</c:v>
                </c:pt>
                <c:pt idx="134">
                  <c:v>45638</c:v>
                </c:pt>
                <c:pt idx="135">
                  <c:v>45645</c:v>
                </c:pt>
                <c:pt idx="136">
                  <c:v>45652</c:v>
                </c:pt>
                <c:pt idx="137">
                  <c:v>45659</c:v>
                </c:pt>
                <c:pt idx="138">
                  <c:v>45666</c:v>
                </c:pt>
                <c:pt idx="139">
                  <c:v>45673</c:v>
                </c:pt>
                <c:pt idx="140">
                  <c:v>45680</c:v>
                </c:pt>
                <c:pt idx="141">
                  <c:v>45687</c:v>
                </c:pt>
                <c:pt idx="142">
                  <c:v>45694</c:v>
                </c:pt>
                <c:pt idx="143">
                  <c:v>45701</c:v>
                </c:pt>
                <c:pt idx="144">
                  <c:v>45708</c:v>
                </c:pt>
                <c:pt idx="145">
                  <c:v>45715</c:v>
                </c:pt>
                <c:pt idx="146">
                  <c:v>45722</c:v>
                </c:pt>
                <c:pt idx="147">
                  <c:v>45729</c:v>
                </c:pt>
                <c:pt idx="148">
                  <c:v>45736</c:v>
                </c:pt>
                <c:pt idx="149">
                  <c:v>45743</c:v>
                </c:pt>
                <c:pt idx="150">
                  <c:v>45750</c:v>
                </c:pt>
                <c:pt idx="151">
                  <c:v>45757</c:v>
                </c:pt>
                <c:pt idx="152">
                  <c:v>45764</c:v>
                </c:pt>
                <c:pt idx="153">
                  <c:v>45771</c:v>
                </c:pt>
                <c:pt idx="154">
                  <c:v>45778</c:v>
                </c:pt>
                <c:pt idx="155">
                  <c:v>45785</c:v>
                </c:pt>
                <c:pt idx="156">
                  <c:v>45792</c:v>
                </c:pt>
                <c:pt idx="157">
                  <c:v>45799</c:v>
                </c:pt>
                <c:pt idx="158">
                  <c:v>45806</c:v>
                </c:pt>
                <c:pt idx="159">
                  <c:v>45813</c:v>
                </c:pt>
                <c:pt idx="160">
                  <c:v>45820</c:v>
                </c:pt>
                <c:pt idx="161">
                  <c:v>45827</c:v>
                </c:pt>
                <c:pt idx="162">
                  <c:v>45834</c:v>
                </c:pt>
                <c:pt idx="163">
                  <c:v>45841</c:v>
                </c:pt>
                <c:pt idx="164">
                  <c:v>45848</c:v>
                </c:pt>
                <c:pt idx="165">
                  <c:v>45855</c:v>
                </c:pt>
                <c:pt idx="166">
                  <c:v>45862</c:v>
                </c:pt>
                <c:pt idx="167">
                  <c:v>45869</c:v>
                </c:pt>
                <c:pt idx="168">
                  <c:v>45876</c:v>
                </c:pt>
                <c:pt idx="169">
                  <c:v>45883</c:v>
                </c:pt>
                <c:pt idx="170">
                  <c:v>45890</c:v>
                </c:pt>
                <c:pt idx="171">
                  <c:v>45897</c:v>
                </c:pt>
                <c:pt idx="172">
                  <c:v>45904</c:v>
                </c:pt>
                <c:pt idx="173">
                  <c:v>45911</c:v>
                </c:pt>
                <c:pt idx="174">
                  <c:v>45918</c:v>
                </c:pt>
                <c:pt idx="175">
                  <c:v>45925</c:v>
                </c:pt>
                <c:pt idx="176">
                  <c:v>45932</c:v>
                </c:pt>
                <c:pt idx="177">
                  <c:v>45939</c:v>
                </c:pt>
                <c:pt idx="178">
                  <c:v>45946</c:v>
                </c:pt>
                <c:pt idx="179">
                  <c:v>45953</c:v>
                </c:pt>
                <c:pt idx="180">
                  <c:v>45960</c:v>
                </c:pt>
                <c:pt idx="181">
                  <c:v>45967</c:v>
                </c:pt>
                <c:pt idx="182">
                  <c:v>45974</c:v>
                </c:pt>
                <c:pt idx="183">
                  <c:v>45981</c:v>
                </c:pt>
                <c:pt idx="184">
                  <c:v>45988</c:v>
                </c:pt>
                <c:pt idx="185">
                  <c:v>45995</c:v>
                </c:pt>
                <c:pt idx="186">
                  <c:v>46002</c:v>
                </c:pt>
                <c:pt idx="187">
                  <c:v>46009</c:v>
                </c:pt>
                <c:pt idx="188">
                  <c:v>46016</c:v>
                </c:pt>
                <c:pt idx="189">
                  <c:v>46022</c:v>
                </c:pt>
                <c:pt idx="190">
                  <c:v>46030</c:v>
                </c:pt>
                <c:pt idx="191">
                  <c:v>46037</c:v>
                </c:pt>
                <c:pt idx="192">
                  <c:v>46044</c:v>
                </c:pt>
                <c:pt idx="193">
                  <c:v>46051</c:v>
                </c:pt>
              </c:numCache>
            </c:numRef>
          </c:cat>
          <c:val>
            <c:numRef>
              <c:f>'Marché monétaire'!$Q$5:$Q$198</c:f>
              <c:numCache>
                <c:formatCode>0.00</c:formatCode>
                <c:ptCount val="194"/>
                <c:pt idx="0">
                  <c:v>1.8</c:v>
                </c:pt>
                <c:pt idx="1">
                  <c:v>1.7385714285714287</c:v>
                </c:pt>
                <c:pt idx="2">
                  <c:v>1.52</c:v>
                </c:pt>
                <c:pt idx="3">
                  <c:v>1.4630769230769232</c:v>
                </c:pt>
                <c:pt idx="4">
                  <c:v>1.8142361111111112</c:v>
                </c:pt>
                <c:pt idx="5">
                  <c:v>1.7</c:v>
                </c:pt>
                <c:pt idx="6">
                  <c:v>1.67</c:v>
                </c:pt>
                <c:pt idx="7">
                  <c:v>1.925</c:v>
                </c:pt>
                <c:pt idx="8">
                  <c:v>1.62</c:v>
                </c:pt>
                <c:pt idx="9">
                  <c:v>1.76</c:v>
                </c:pt>
                <c:pt idx="10">
                  <c:v>1.86</c:v>
                </c:pt>
                <c:pt idx="11">
                  <c:v>1.5</c:v>
                </c:pt>
                <c:pt idx="12">
                  <c:v>1.7136807817589577</c:v>
                </c:pt>
                <c:pt idx="13">
                  <c:v>1.6793774319066148</c:v>
                </c:pt>
                <c:pt idx="14">
                  <c:v>1.9742857142857142</c:v>
                </c:pt>
                <c:pt idx="15">
                  <c:v>1.8566666666666667</c:v>
                </c:pt>
                <c:pt idx="16">
                  <c:v>1.96</c:v>
                </c:pt>
                <c:pt idx="17">
                  <c:v>1.8</c:v>
                </c:pt>
                <c:pt idx="18">
                  <c:v>1.9207142857142858</c:v>
                </c:pt>
                <c:pt idx="19">
                  <c:v>1.87</c:v>
                </c:pt>
                <c:pt idx="20">
                  <c:v>1.9387739463601532</c:v>
                </c:pt>
                <c:pt idx="21">
                  <c:v>1.7</c:v>
                </c:pt>
                <c:pt idx="22">
                  <c:v>1.67</c:v>
                </c:pt>
                <c:pt idx="23">
                  <c:v>1.56</c:v>
                </c:pt>
                <c:pt idx="24">
                  <c:v>1.76</c:v>
                </c:pt>
                <c:pt idx="25">
                  <c:v>1.76</c:v>
                </c:pt>
                <c:pt idx="26">
                  <c:v>1.76</c:v>
                </c:pt>
                <c:pt idx="27">
                  <c:v>1.87</c:v>
                </c:pt>
                <c:pt idx="28">
                  <c:v>1.95</c:v>
                </c:pt>
                <c:pt idx="29">
                  <c:v>2.3694537346711257</c:v>
                </c:pt>
                <c:pt idx="30">
                  <c:v>3.002787068004459</c:v>
                </c:pt>
                <c:pt idx="31">
                  <c:v>3.7336984632315371</c:v>
                </c:pt>
                <c:pt idx="32">
                  <c:v>3.8014285714285712</c:v>
                </c:pt>
                <c:pt idx="33">
                  <c:v>3.7666666666666662</c:v>
                </c:pt>
                <c:pt idx="34">
                  <c:v>3.8266666666666667</c:v>
                </c:pt>
                <c:pt idx="35">
                  <c:v>3.8260121765601216</c:v>
                </c:pt>
                <c:pt idx="36">
                  <c:v>3.8539766081871343</c:v>
                </c:pt>
                <c:pt idx="37">
                  <c:v>3.8688888888888893</c:v>
                </c:pt>
                <c:pt idx="38">
                  <c:v>3.8688888888888893</c:v>
                </c:pt>
                <c:pt idx="39">
                  <c:v>3.8059999999999996</c:v>
                </c:pt>
                <c:pt idx="40">
                  <c:v>3.83</c:v>
                </c:pt>
                <c:pt idx="41">
                  <c:v>3.8266212534059942</c:v>
                </c:pt>
                <c:pt idx="42">
                  <c:v>4.0388434756282168</c:v>
                </c:pt>
                <c:pt idx="43">
                  <c:v>4.1599545867393273</c:v>
                </c:pt>
                <c:pt idx="44">
                  <c:v>4.1599545867393273</c:v>
                </c:pt>
                <c:pt idx="45">
                  <c:v>4.1532879200726605</c:v>
                </c:pt>
                <c:pt idx="46">
                  <c:v>4.2524545867393275</c:v>
                </c:pt>
                <c:pt idx="47">
                  <c:v>4.043287920072661</c:v>
                </c:pt>
                <c:pt idx="48">
                  <c:v>3.9266212534059943</c:v>
                </c:pt>
                <c:pt idx="49">
                  <c:v>4.2375614243461657</c:v>
                </c:pt>
                <c:pt idx="50">
                  <c:v>4.2599545867393278</c:v>
                </c:pt>
                <c:pt idx="51">
                  <c:v>4.7448888888888883</c:v>
                </c:pt>
                <c:pt idx="52">
                  <c:v>4.505757575757575</c:v>
                </c:pt>
                <c:pt idx="53">
                  <c:v>4.9060802469135796</c:v>
                </c:pt>
                <c:pt idx="54">
                  <c:v>4.8011111111111102</c:v>
                </c:pt>
                <c:pt idx="55">
                  <c:v>4.9375126903553292</c:v>
                </c:pt>
                <c:pt idx="56">
                  <c:v>5.4113003663003667</c:v>
                </c:pt>
                <c:pt idx="57">
                  <c:v>4.9823809523809519</c:v>
                </c:pt>
                <c:pt idx="58">
                  <c:v>4.6466666666666656</c:v>
                </c:pt>
                <c:pt idx="59">
                  <c:v>5.0815151515151502</c:v>
                </c:pt>
                <c:pt idx="60">
                  <c:v>4.8765199999999993</c:v>
                </c:pt>
                <c:pt idx="61">
                  <c:v>4.9069337979094074</c:v>
                </c:pt>
                <c:pt idx="62">
                  <c:v>4.5567399267399269</c:v>
                </c:pt>
                <c:pt idx="63">
                  <c:v>4.4869337979094075</c:v>
                </c:pt>
                <c:pt idx="64">
                  <c:v>5.1483999999999979</c:v>
                </c:pt>
                <c:pt idx="65">
                  <c:v>5.1135311355311357</c:v>
                </c:pt>
                <c:pt idx="66">
                  <c:v>5.0044444444444434</c:v>
                </c:pt>
                <c:pt idx="67">
                  <c:v>4.6885987261146491</c:v>
                </c:pt>
                <c:pt idx="68">
                  <c:v>5.2270666666666648</c:v>
                </c:pt>
                <c:pt idx="69">
                  <c:v>5.298</c:v>
                </c:pt>
                <c:pt idx="70">
                  <c:v>5.3721666666666676</c:v>
                </c:pt>
                <c:pt idx="71">
                  <c:v>5.3666666666666671</c:v>
                </c:pt>
                <c:pt idx="72">
                  <c:v>5.3736842105263163</c:v>
                </c:pt>
                <c:pt idx="73">
                  <c:v>5.496309523809523</c:v>
                </c:pt>
                <c:pt idx="74">
                  <c:v>5.3580086580086581</c:v>
                </c:pt>
                <c:pt idx="75">
                  <c:v>5.4418732782369146</c:v>
                </c:pt>
                <c:pt idx="76">
                  <c:v>5.2237575757575749</c:v>
                </c:pt>
                <c:pt idx="77">
                  <c:v>5.7884000000000002</c:v>
                </c:pt>
                <c:pt idx="78">
                  <c:v>6.0718333333333332</c:v>
                </c:pt>
                <c:pt idx="79">
                  <c:v>5.99125</c:v>
                </c:pt>
                <c:pt idx="80">
                  <c:v>5.8972500000000005</c:v>
                </c:pt>
                <c:pt idx="81">
                  <c:v>6.4284227776114937</c:v>
                </c:pt>
                <c:pt idx="82">
                  <c:v>7.2513267973856212</c:v>
                </c:pt>
                <c:pt idx="83">
                  <c:v>7.2225742574257428</c:v>
                </c:pt>
                <c:pt idx="84">
                  <c:v>6.916212121212121</c:v>
                </c:pt>
                <c:pt idx="85">
                  <c:v>7.1387735849056604</c:v>
                </c:pt>
                <c:pt idx="86">
                  <c:v>6.6607692307692306</c:v>
                </c:pt>
                <c:pt idx="87">
                  <c:v>6.7783333333333333</c:v>
                </c:pt>
                <c:pt idx="88">
                  <c:v>7.0129166666666665</c:v>
                </c:pt>
                <c:pt idx="89">
                  <c:v>7.2128076923076927</c:v>
                </c:pt>
                <c:pt idx="90">
                  <c:v>7.0975000000000001</c:v>
                </c:pt>
                <c:pt idx="91">
                  <c:v>6.9339968762202275</c:v>
                </c:pt>
                <c:pt idx="92">
                  <c:v>7.35</c:v>
                </c:pt>
                <c:pt idx="93">
                  <c:v>7.4081333333333337</c:v>
                </c:pt>
                <c:pt idx="94">
                  <c:v>7.2829230769230762</c:v>
                </c:pt>
                <c:pt idx="95">
                  <c:v>7.5472692467748645</c:v>
                </c:pt>
                <c:pt idx="96">
                  <c:v>7.4862322097378282</c:v>
                </c:pt>
                <c:pt idx="97">
                  <c:v>7.4078615384615372</c:v>
                </c:pt>
                <c:pt idx="98">
                  <c:v>7.3925577217962752</c:v>
                </c:pt>
                <c:pt idx="99">
                  <c:v>7.734357142857144</c:v>
                </c:pt>
                <c:pt idx="100">
                  <c:v>7.7471000000000005</c:v>
                </c:pt>
                <c:pt idx="101">
                  <c:v>7.7480000000000002</c:v>
                </c:pt>
                <c:pt idx="102">
                  <c:v>7.4600000000000009</c:v>
                </c:pt>
                <c:pt idx="103">
                  <c:v>7.3425714285714294</c:v>
                </c:pt>
                <c:pt idx="104">
                  <c:v>7.4900576000000019</c:v>
                </c:pt>
                <c:pt idx="105">
                  <c:v>7.2244326798755996</c:v>
                </c:pt>
                <c:pt idx="106">
                  <c:v>7.1729285714285727</c:v>
                </c:pt>
                <c:pt idx="107">
                  <c:v>7.6519286964980555</c:v>
                </c:pt>
                <c:pt idx="108">
                  <c:v>7.7034999788556693</c:v>
                </c:pt>
                <c:pt idx="109">
                  <c:v>7.7468736842105272</c:v>
                </c:pt>
                <c:pt idx="110">
                  <c:v>7.8652125000000011</c:v>
                </c:pt>
                <c:pt idx="111">
                  <c:v>7.9618186666666677</c:v>
                </c:pt>
                <c:pt idx="112">
                  <c:v>7.6492000000000004</c:v>
                </c:pt>
                <c:pt idx="113">
                  <c:v>7.616937351991389</c:v>
                </c:pt>
                <c:pt idx="114">
                  <c:v>7.8249629629629638</c:v>
                </c:pt>
                <c:pt idx="115">
                  <c:v>7.9177872340425539</c:v>
                </c:pt>
                <c:pt idx="116">
                  <c:v>7.6544460431654668</c:v>
                </c:pt>
                <c:pt idx="117">
                  <c:v>7.7418344074695806</c:v>
                </c:pt>
                <c:pt idx="118">
                  <c:v>7.4460643517998291</c:v>
                </c:pt>
                <c:pt idx="119">
                  <c:v>7.3162074726537023</c:v>
                </c:pt>
                <c:pt idx="120">
                  <c:v>7.0791806554756187</c:v>
                </c:pt>
                <c:pt idx="121">
                  <c:v>7.1262867565552135</c:v>
                </c:pt>
                <c:pt idx="122">
                  <c:v>6.9191341341341337</c:v>
                </c:pt>
                <c:pt idx="123">
                  <c:v>6.9626296296296291</c:v>
                </c:pt>
                <c:pt idx="124">
                  <c:v>6.7486666666666659</c:v>
                </c:pt>
                <c:pt idx="125">
                  <c:v>6.8187878787878793</c:v>
                </c:pt>
                <c:pt idx="126">
                  <c:v>6.5115363128491621</c:v>
                </c:pt>
                <c:pt idx="127">
                  <c:v>6.4901638095238097</c:v>
                </c:pt>
                <c:pt idx="128">
                  <c:v>6.4793209876543214</c:v>
                </c:pt>
                <c:pt idx="129">
                  <c:v>6.3031954022988508</c:v>
                </c:pt>
                <c:pt idx="130">
                  <c:v>6.3088888888888883</c:v>
                </c:pt>
                <c:pt idx="131">
                  <c:v>6.335319108035371</c:v>
                </c:pt>
                <c:pt idx="132">
                  <c:v>6.3264847634519761</c:v>
                </c:pt>
                <c:pt idx="133">
                  <c:v>6.351056247845146</c:v>
                </c:pt>
                <c:pt idx="134">
                  <c:v>5.7071759259259265</c:v>
                </c:pt>
                <c:pt idx="135">
                  <c:v>5.565435028051172</c:v>
                </c:pt>
                <c:pt idx="136">
                  <c:v>5.671059564719358</c:v>
                </c:pt>
                <c:pt idx="137">
                  <c:v>5.6124050632911393</c:v>
                </c:pt>
                <c:pt idx="138">
                  <c:v>5.6303455284552841</c:v>
                </c:pt>
                <c:pt idx="139">
                  <c:v>5.7525000000000004</c:v>
                </c:pt>
                <c:pt idx="140">
                  <c:v>5.5057288087056131</c:v>
                </c:pt>
                <c:pt idx="141">
                  <c:v>5.3658424456202232</c:v>
                </c:pt>
                <c:pt idx="142">
                  <c:v>5.1467850045167118</c:v>
                </c:pt>
                <c:pt idx="143">
                  <c:v>5.0505939015939019</c:v>
                </c:pt>
                <c:pt idx="144">
                  <c:v>4.9394390804597705</c:v>
                </c:pt>
                <c:pt idx="145">
                  <c:v>4.9276472222222232</c:v>
                </c:pt>
                <c:pt idx="146">
                  <c:v>4.8659333333333343</c:v>
                </c:pt>
                <c:pt idx="147">
                  <c:v>4.3590124740124745</c:v>
                </c:pt>
                <c:pt idx="148">
                  <c:v>4.3194986687219732</c:v>
                </c:pt>
                <c:pt idx="149">
                  <c:v>4.2754120879120885</c:v>
                </c:pt>
                <c:pt idx="150">
                  <c:v>4.2937500000000002</c:v>
                </c:pt>
                <c:pt idx="151">
                  <c:v>4.3100000000000005</c:v>
                </c:pt>
                <c:pt idx="152">
                  <c:v>4.2549999999999999</c:v>
                </c:pt>
                <c:pt idx="153">
                  <c:v>4.2825000000000006</c:v>
                </c:pt>
                <c:pt idx="154">
                  <c:v>4.2975000000000003</c:v>
                </c:pt>
                <c:pt idx="155">
                  <c:v>4.5012500000000006</c:v>
                </c:pt>
                <c:pt idx="156">
                  <c:v>4.4562499999999998</c:v>
                </c:pt>
                <c:pt idx="157">
                  <c:v>4.6037500000000007</c:v>
                </c:pt>
                <c:pt idx="158">
                  <c:v>4.5512500000000005</c:v>
                </c:pt>
                <c:pt idx="159">
                  <c:v>4.5925000000000002</c:v>
                </c:pt>
                <c:pt idx="160">
                  <c:v>4.3325000000000005</c:v>
                </c:pt>
                <c:pt idx="161">
                  <c:v>4.50875</c:v>
                </c:pt>
                <c:pt idx="162">
                  <c:v>4.7287499999999998</c:v>
                </c:pt>
                <c:pt idx="163">
                  <c:v>4.7362500000000001</c:v>
                </c:pt>
                <c:pt idx="164">
                  <c:v>4.6587500000000004</c:v>
                </c:pt>
                <c:pt idx="165">
                  <c:v>4.5025000000000004</c:v>
                </c:pt>
                <c:pt idx="166">
                  <c:v>4.5025000000000004</c:v>
                </c:pt>
                <c:pt idx="167">
                  <c:v>4.6050000000000004</c:v>
                </c:pt>
                <c:pt idx="168">
                  <c:v>4.8012500000000005</c:v>
                </c:pt>
                <c:pt idx="169">
                  <c:v>4.5662500000000001</c:v>
                </c:pt>
                <c:pt idx="170">
                  <c:v>4.5437500000000002</c:v>
                </c:pt>
                <c:pt idx="171">
                  <c:v>4.3990909090909085</c:v>
                </c:pt>
                <c:pt idx="172">
                  <c:v>4.3836363636363638</c:v>
                </c:pt>
                <c:pt idx="173">
                  <c:v>4.3154545454545463</c:v>
                </c:pt>
                <c:pt idx="174">
                  <c:v>4.2145454545454548</c:v>
                </c:pt>
                <c:pt idx="175">
                  <c:v>4.2854545454545461</c:v>
                </c:pt>
                <c:pt idx="176">
                  <c:v>4.2754545454545445</c:v>
                </c:pt>
                <c:pt idx="177">
                  <c:v>4.2236363636363636</c:v>
                </c:pt>
                <c:pt idx="178">
                  <c:v>4.3227272727272732</c:v>
                </c:pt>
                <c:pt idx="179">
                  <c:v>4.293636363636363</c:v>
                </c:pt>
                <c:pt idx="180">
                  <c:v>4.332727272727273</c:v>
                </c:pt>
                <c:pt idx="181">
                  <c:v>4.1581818181818182</c:v>
                </c:pt>
                <c:pt idx="182">
                  <c:v>4.1581818181818182</c:v>
                </c:pt>
                <c:pt idx="183">
                  <c:v>4.0854545454545459</c:v>
                </c:pt>
                <c:pt idx="184">
                  <c:v>4.0854545454545459</c:v>
                </c:pt>
                <c:pt idx="185">
                  <c:v>3.8536363636363631</c:v>
                </c:pt>
                <c:pt idx="186">
                  <c:v>3.9390909090909094</c:v>
                </c:pt>
                <c:pt idx="187">
                  <c:v>4.0127272727272736</c:v>
                </c:pt>
                <c:pt idx="188">
                  <c:v>4.0127272727272736</c:v>
                </c:pt>
                <c:pt idx="189">
                  <c:v>4.0381818181818181</c:v>
                </c:pt>
                <c:pt idx="190">
                  <c:v>4.000909090909091</c:v>
                </c:pt>
                <c:pt idx="191">
                  <c:v>3.877272727272727</c:v>
                </c:pt>
                <c:pt idx="192">
                  <c:v>4.0600000000000005</c:v>
                </c:pt>
                <c:pt idx="193">
                  <c:v>4.0890909090909089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9B8-487B-9664-E643554EA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731440"/>
        <c:axId val="814730480"/>
      </c:lineChart>
      <c:dateAx>
        <c:axId val="814731440"/>
        <c:scaling>
          <c:orientation val="minMax"/>
        </c:scaling>
        <c:delete val="0"/>
        <c:axPos val="b"/>
        <c:numFmt formatCode="[$-40C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4730480"/>
        <c:crosses val="autoZero"/>
        <c:auto val="1"/>
        <c:lblOffset val="100"/>
        <c:baseTimeUnit val="days"/>
      </c:dateAx>
      <c:valAx>
        <c:axId val="8147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473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Construction de la Courbe des Taux MRU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'Marché monétaire'!$E$216</c:f>
              <c:strCache>
                <c:ptCount val="1"/>
                <c:pt idx="0">
                  <c:v>déc.-22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monétaire'!$F$216:$P$216</c:f>
              <c:numCache>
                <c:formatCode>0.00</c:formatCode>
                <c:ptCount val="11"/>
                <c:pt idx="0">
                  <c:v>4.04</c:v>
                </c:pt>
                <c:pt idx="1">
                  <c:v>6.84</c:v>
                </c:pt>
                <c:pt idx="2">
                  <c:v>3.75</c:v>
                </c:pt>
                <c:pt idx="3" formatCode="General">
                  <c:v>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4-4E46-A911-41C3925350C3}"/>
            </c:ext>
          </c:extLst>
        </c:ser>
        <c:ser>
          <c:idx val="1"/>
          <c:order val="1"/>
          <c:tx>
            <c:strRef>
              <c:f>'Marché monétaire'!$E$217</c:f>
              <c:strCache>
                <c:ptCount val="1"/>
                <c:pt idx="0">
                  <c:v>déc.-23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monétaire'!$F$217:$P$217</c:f>
              <c:numCache>
                <c:formatCode>0.00</c:formatCode>
                <c:ptCount val="11"/>
                <c:pt idx="0">
                  <c:v>6.6448484848484846</c:v>
                </c:pt>
                <c:pt idx="1">
                  <c:v>6.84</c:v>
                </c:pt>
                <c:pt idx="2">
                  <c:v>6.34</c:v>
                </c:pt>
                <c:pt idx="3" formatCode="General">
                  <c:v>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4-4E46-A911-41C3925350C3}"/>
            </c:ext>
          </c:extLst>
        </c:ser>
        <c:ser>
          <c:idx val="2"/>
          <c:order val="2"/>
          <c:tx>
            <c:strRef>
              <c:f>'Marché monétaire'!$E$218</c:f>
              <c:strCache>
                <c:ptCount val="1"/>
                <c:pt idx="0">
                  <c:v>déc.-24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monétaire'!$F$218:$P$218</c:f>
              <c:numCache>
                <c:formatCode>0.00</c:formatCode>
                <c:ptCount val="11"/>
                <c:pt idx="0">
                  <c:v>4.7763573883161516</c:v>
                </c:pt>
                <c:pt idx="1">
                  <c:v>5.76</c:v>
                </c:pt>
                <c:pt idx="2">
                  <c:v>5.57</c:v>
                </c:pt>
                <c:pt idx="3" formatCode="General">
                  <c:v>4.91</c:v>
                </c:pt>
                <c:pt idx="4" formatCode="General">
                  <c:v>6</c:v>
                </c:pt>
                <c:pt idx="5" formatCode="General">
                  <c:v>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54-4E46-A911-41C3925350C3}"/>
            </c:ext>
          </c:extLst>
        </c:ser>
        <c:ser>
          <c:idx val="3"/>
          <c:order val="3"/>
          <c:tx>
            <c:strRef>
              <c:f>'Marché monétaire'!$E$219</c:f>
              <c:strCache>
                <c:ptCount val="1"/>
                <c:pt idx="0">
                  <c:v>mars-25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monétaire'!$F$219:$P$219</c:f>
              <c:numCache>
                <c:formatCode>0.00</c:formatCode>
                <c:ptCount val="11"/>
                <c:pt idx="0">
                  <c:v>3.4632967032967032</c:v>
                </c:pt>
                <c:pt idx="1">
                  <c:v>2.76</c:v>
                </c:pt>
                <c:pt idx="2">
                  <c:v>3.05</c:v>
                </c:pt>
                <c:pt idx="3" formatCode="General">
                  <c:v>4.91</c:v>
                </c:pt>
                <c:pt idx="4" formatCode="General">
                  <c:v>6</c:v>
                </c:pt>
                <c:pt idx="5" formatCode="General">
                  <c:v>4.43</c:v>
                </c:pt>
                <c:pt idx="6" formatCode="General">
                  <c:v>4.92</c:v>
                </c:pt>
                <c:pt idx="7" formatCode="General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54-4E46-A911-41C3925350C3}"/>
            </c:ext>
          </c:extLst>
        </c:ser>
        <c:ser>
          <c:idx val="4"/>
          <c:order val="4"/>
          <c:tx>
            <c:strRef>
              <c:f>'Marché monétaire'!$E$220</c:f>
              <c:strCache>
                <c:ptCount val="1"/>
                <c:pt idx="0">
                  <c:v>avr.-25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monétaire'!$F$220:$P$220</c:f>
              <c:numCache>
                <c:formatCode>0.00</c:formatCode>
                <c:ptCount val="11"/>
                <c:pt idx="0">
                  <c:v>3.41</c:v>
                </c:pt>
                <c:pt idx="1">
                  <c:v>2.96</c:v>
                </c:pt>
                <c:pt idx="2">
                  <c:v>2.96</c:v>
                </c:pt>
                <c:pt idx="3">
                  <c:v>4.91</c:v>
                </c:pt>
                <c:pt idx="4" formatCode="General">
                  <c:v>6</c:v>
                </c:pt>
                <c:pt idx="5" formatCode="General">
                  <c:v>4.43</c:v>
                </c:pt>
                <c:pt idx="6" formatCode="General">
                  <c:v>4.92</c:v>
                </c:pt>
                <c:pt idx="7" formatCode="General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6-477A-9BA1-F23DC5C84D3D}"/>
            </c:ext>
          </c:extLst>
        </c:ser>
        <c:ser>
          <c:idx val="5"/>
          <c:order val="5"/>
          <c:tx>
            <c:strRef>
              <c:f>'Marché monétaire'!$E$221</c:f>
              <c:strCache>
                <c:ptCount val="1"/>
                <c:pt idx="0">
                  <c:v>mai-25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monétaire'!$F$221:$P$221</c:f>
              <c:numCache>
                <c:formatCode>0.00</c:formatCode>
                <c:ptCount val="11"/>
                <c:pt idx="0">
                  <c:v>3.27</c:v>
                </c:pt>
                <c:pt idx="1">
                  <c:v>3.62</c:v>
                </c:pt>
                <c:pt idx="2">
                  <c:v>4.46</c:v>
                </c:pt>
                <c:pt idx="3">
                  <c:v>5.04</c:v>
                </c:pt>
                <c:pt idx="4" formatCode="General">
                  <c:v>6</c:v>
                </c:pt>
                <c:pt idx="5" formatCode="General">
                  <c:v>4.43</c:v>
                </c:pt>
                <c:pt idx="6" formatCode="General">
                  <c:v>4.92</c:v>
                </c:pt>
                <c:pt idx="7" formatCode="General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6-477A-9BA1-F23DC5C84D3D}"/>
            </c:ext>
          </c:extLst>
        </c:ser>
        <c:ser>
          <c:idx val="6"/>
          <c:order val="6"/>
          <c:tx>
            <c:strRef>
              <c:f>'Marché monétaire'!$E$222</c:f>
              <c:strCache>
                <c:ptCount val="1"/>
                <c:pt idx="0">
                  <c:v>juin-25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monétaire'!$F$222:$P$222</c:f>
              <c:numCache>
                <c:formatCode>0.00</c:formatCode>
                <c:ptCount val="11"/>
                <c:pt idx="0">
                  <c:v>3.34</c:v>
                </c:pt>
                <c:pt idx="1">
                  <c:v>3.73</c:v>
                </c:pt>
                <c:pt idx="2">
                  <c:v>5.04</c:v>
                </c:pt>
                <c:pt idx="3">
                  <c:v>5.7</c:v>
                </c:pt>
                <c:pt idx="4" formatCode="General">
                  <c:v>6</c:v>
                </c:pt>
                <c:pt idx="5" formatCode="General">
                  <c:v>4.43</c:v>
                </c:pt>
                <c:pt idx="6" formatCode="General">
                  <c:v>4.92</c:v>
                </c:pt>
                <c:pt idx="7" formatCode="General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16-477A-9BA1-F23DC5C84D3D}"/>
            </c:ext>
          </c:extLst>
        </c:ser>
        <c:ser>
          <c:idx val="7"/>
          <c:order val="7"/>
          <c:tx>
            <c:strRef>
              <c:f>'Marché monétaire'!$E$223</c:f>
              <c:strCache>
                <c:ptCount val="1"/>
                <c:pt idx="0">
                  <c:v>juil.-25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monétaire'!$F$223:$P$223</c:f>
              <c:numCache>
                <c:formatCode>0.00</c:formatCode>
                <c:ptCount val="11"/>
                <c:pt idx="0">
                  <c:v>3.18</c:v>
                </c:pt>
                <c:pt idx="1">
                  <c:v>3.52</c:v>
                </c:pt>
                <c:pt idx="2">
                  <c:v>4.42</c:v>
                </c:pt>
                <c:pt idx="3">
                  <c:v>5.7</c:v>
                </c:pt>
                <c:pt idx="4" formatCode="General">
                  <c:v>6</c:v>
                </c:pt>
                <c:pt idx="5" formatCode="General">
                  <c:v>4.43</c:v>
                </c:pt>
                <c:pt idx="6" formatCode="General">
                  <c:v>4.92</c:v>
                </c:pt>
                <c:pt idx="7" formatCode="General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0-4CEE-801A-0C86E48729E0}"/>
            </c:ext>
          </c:extLst>
        </c:ser>
        <c:ser>
          <c:idx val="8"/>
          <c:order val="8"/>
          <c:tx>
            <c:strRef>
              <c:f>'Marché monétaire'!$E$224</c:f>
              <c:strCache>
                <c:ptCount val="1"/>
                <c:pt idx="0">
                  <c:v>août-25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monétaire'!$F$224:$P$224</c:f>
              <c:numCache>
                <c:formatCode>0.00</c:formatCode>
                <c:ptCount val="11"/>
                <c:pt idx="0">
                  <c:v>3.22</c:v>
                </c:pt>
                <c:pt idx="1">
                  <c:v>3.15</c:v>
                </c:pt>
                <c:pt idx="2">
                  <c:v>4.5999999999999996</c:v>
                </c:pt>
                <c:pt idx="3">
                  <c:v>5.7</c:v>
                </c:pt>
                <c:pt idx="4" formatCode="General">
                  <c:v>6</c:v>
                </c:pt>
                <c:pt idx="5" formatCode="General">
                  <c:v>4.43</c:v>
                </c:pt>
                <c:pt idx="6" formatCode="General">
                  <c:v>4.92</c:v>
                </c:pt>
                <c:pt idx="7" formatCode="General">
                  <c:v>4.67</c:v>
                </c:pt>
                <c:pt idx="8" formatCode="General">
                  <c:v>3.71</c:v>
                </c:pt>
                <c:pt idx="9" formatCode="General">
                  <c:v>3.84</c:v>
                </c:pt>
                <c:pt idx="10" formatCode="General">
                  <c:v>4.1500000000000004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0-4CEE-801A-0C86E48729E0}"/>
            </c:ext>
          </c:extLst>
        </c:ser>
        <c:ser>
          <c:idx val="9"/>
          <c:order val="9"/>
          <c:tx>
            <c:strRef>
              <c:f>'Marché monétaire'!$E$225</c:f>
              <c:strCache>
                <c:ptCount val="1"/>
                <c:pt idx="0">
                  <c:v>sept.-25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monétaire'!$F$225:$P$225</c:f>
              <c:numCache>
                <c:formatCode>0.00</c:formatCode>
                <c:ptCount val="11"/>
                <c:pt idx="0">
                  <c:v>3.1</c:v>
                </c:pt>
                <c:pt idx="1">
                  <c:v>3.69</c:v>
                </c:pt>
                <c:pt idx="2">
                  <c:v>2.93</c:v>
                </c:pt>
                <c:pt idx="3">
                  <c:v>5.7</c:v>
                </c:pt>
                <c:pt idx="4" formatCode="General">
                  <c:v>6</c:v>
                </c:pt>
                <c:pt idx="5" formatCode="General">
                  <c:v>4.43</c:v>
                </c:pt>
                <c:pt idx="6" formatCode="General">
                  <c:v>4.92</c:v>
                </c:pt>
                <c:pt idx="7" formatCode="General">
                  <c:v>4.67</c:v>
                </c:pt>
                <c:pt idx="8" formatCode="General">
                  <c:v>3.71</c:v>
                </c:pt>
                <c:pt idx="9" formatCode="General">
                  <c:v>3.84</c:v>
                </c:pt>
                <c:pt idx="10" formatCode="General">
                  <c:v>4.1500000000000004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4-454F-9C52-A3391B813C19}"/>
            </c:ext>
          </c:extLst>
        </c:ser>
        <c:ser>
          <c:idx val="10"/>
          <c:order val="10"/>
          <c:tx>
            <c:strRef>
              <c:f>'Marché monétaire'!$E$226</c:f>
              <c:strCache>
                <c:ptCount val="1"/>
                <c:pt idx="0">
                  <c:v>oct.-25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monétaire'!$F$226:$P$226</c:f>
              <c:numCache>
                <c:formatCode>0.00</c:formatCode>
                <c:ptCount val="11"/>
                <c:pt idx="0">
                  <c:v>2.0699999999999998</c:v>
                </c:pt>
                <c:pt idx="1">
                  <c:v>2.87</c:v>
                </c:pt>
                <c:pt idx="2">
                  <c:v>5.37</c:v>
                </c:pt>
                <c:pt idx="3">
                  <c:v>5.63</c:v>
                </c:pt>
                <c:pt idx="4" formatCode="General">
                  <c:v>6</c:v>
                </c:pt>
                <c:pt idx="5" formatCode="General">
                  <c:v>4.43</c:v>
                </c:pt>
                <c:pt idx="6" formatCode="General">
                  <c:v>4.92</c:v>
                </c:pt>
                <c:pt idx="7" formatCode="General">
                  <c:v>4.67</c:v>
                </c:pt>
                <c:pt idx="8" formatCode="General">
                  <c:v>3.71</c:v>
                </c:pt>
                <c:pt idx="9" formatCode="General">
                  <c:v>3.84</c:v>
                </c:pt>
                <c:pt idx="10" formatCode="General">
                  <c:v>4.1500000000000004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DF-4D8C-A256-78531F47BF7B}"/>
            </c:ext>
          </c:extLst>
        </c:ser>
        <c:ser>
          <c:idx val="11"/>
          <c:order val="11"/>
          <c:tx>
            <c:strRef>
              <c:f>'Marché monétaire'!$E$227</c:f>
              <c:strCache>
                <c:ptCount val="1"/>
                <c:pt idx="0">
                  <c:v>nov.-25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monétaire'!$F$227:$P$227</c:f>
              <c:numCache>
                <c:formatCode>0.00</c:formatCode>
                <c:ptCount val="11"/>
                <c:pt idx="0">
                  <c:v>2.04</c:v>
                </c:pt>
                <c:pt idx="1">
                  <c:v>2.12</c:v>
                </c:pt>
                <c:pt idx="2">
                  <c:v>5.3</c:v>
                </c:pt>
                <c:pt idx="3">
                  <c:v>5.83</c:v>
                </c:pt>
                <c:pt idx="4" formatCode="General">
                  <c:v>3.93</c:v>
                </c:pt>
                <c:pt idx="5" formatCode="General">
                  <c:v>4.43</c:v>
                </c:pt>
                <c:pt idx="6" formatCode="General">
                  <c:v>4.92</c:v>
                </c:pt>
                <c:pt idx="7" formatCode="General">
                  <c:v>4.67</c:v>
                </c:pt>
                <c:pt idx="8" formatCode="General">
                  <c:v>3.71</c:v>
                </c:pt>
                <c:pt idx="9" formatCode="General">
                  <c:v>3.84</c:v>
                </c:pt>
                <c:pt idx="10" formatCode="General">
                  <c:v>4.1500000000000004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8-4C2D-9474-EC44DB119C55}"/>
            </c:ext>
          </c:extLst>
        </c:ser>
        <c:ser>
          <c:idx val="12"/>
          <c:order val="12"/>
          <c:tx>
            <c:strRef>
              <c:f>'Marché monétaire'!$E$228</c:f>
              <c:strCache>
                <c:ptCount val="1"/>
                <c:pt idx="0">
                  <c:v>déc.-25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monétaire'!$F$228:$P$228</c:f>
              <c:numCache>
                <c:formatCode>0.00</c:formatCode>
                <c:ptCount val="11"/>
                <c:pt idx="0">
                  <c:v>2.04</c:v>
                </c:pt>
                <c:pt idx="1">
                  <c:v>4.4400000000000004</c:v>
                </c:pt>
                <c:pt idx="2">
                  <c:v>4.8099999999999996</c:v>
                </c:pt>
                <c:pt idx="3">
                  <c:v>3.07</c:v>
                </c:pt>
                <c:pt idx="4" formatCode="General">
                  <c:v>3.93</c:v>
                </c:pt>
                <c:pt idx="5" formatCode="General">
                  <c:v>4.43</c:v>
                </c:pt>
                <c:pt idx="6" formatCode="General">
                  <c:v>4.92</c:v>
                </c:pt>
                <c:pt idx="7" formatCode="General">
                  <c:v>4.67</c:v>
                </c:pt>
                <c:pt idx="8" formatCode="General">
                  <c:v>3.71</c:v>
                </c:pt>
                <c:pt idx="9" formatCode="General">
                  <c:v>3.84</c:v>
                </c:pt>
                <c:pt idx="10" formatCode="General">
                  <c:v>4.1500000000000004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D8-4727-B160-87D36D1CB868}"/>
            </c:ext>
          </c:extLst>
        </c:ser>
        <c:ser>
          <c:idx val="13"/>
          <c:order val="13"/>
          <c:tx>
            <c:strRef>
              <c:f>'Marché monétaire'!$E$229</c:f>
              <c:strCache>
                <c:ptCount val="1"/>
                <c:pt idx="0">
                  <c:v>janv.-26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'Marché monétaire'!$F$215:$P$215</c:f>
              <c:strCache>
                <c:ptCount val="11"/>
                <c:pt idx="0">
                  <c:v>04 Semaines</c:v>
                </c:pt>
                <c:pt idx="1">
                  <c:v>13 semaines</c:v>
                </c:pt>
                <c:pt idx="2">
                  <c:v>26 semaines</c:v>
                </c:pt>
                <c:pt idx="3">
                  <c:v>52 semaines</c:v>
                </c:pt>
                <c:pt idx="4">
                  <c:v>2 ans</c:v>
                </c:pt>
                <c:pt idx="5">
                  <c:v>3 ans </c:v>
                </c:pt>
                <c:pt idx="6">
                  <c:v>4 ans </c:v>
                </c:pt>
                <c:pt idx="7">
                  <c:v>5 ans </c:v>
                </c:pt>
                <c:pt idx="8">
                  <c:v>8 ans</c:v>
                </c:pt>
                <c:pt idx="9">
                  <c:v>9 ans</c:v>
                </c:pt>
                <c:pt idx="10">
                  <c:v>10 ans</c:v>
                </c:pt>
              </c:strCache>
            </c:strRef>
          </c:cat>
          <c:val>
            <c:numRef>
              <c:f>'Marché monétaire'!$F$229:$P$229</c:f>
              <c:numCache>
                <c:formatCode>0.00</c:formatCode>
                <c:ptCount val="11"/>
                <c:pt idx="0">
                  <c:v>2.04</c:v>
                </c:pt>
                <c:pt idx="1">
                  <c:v>3.6</c:v>
                </c:pt>
                <c:pt idx="2">
                  <c:v>4.26</c:v>
                </c:pt>
                <c:pt idx="3">
                  <c:v>4.37</c:v>
                </c:pt>
                <c:pt idx="4" formatCode="General">
                  <c:v>3.93</c:v>
                </c:pt>
                <c:pt idx="5" formatCode="General">
                  <c:v>5.49</c:v>
                </c:pt>
                <c:pt idx="6" formatCode="General">
                  <c:v>4.92</c:v>
                </c:pt>
                <c:pt idx="7" formatCode="General">
                  <c:v>4.67</c:v>
                </c:pt>
                <c:pt idx="8" formatCode="General">
                  <c:v>3.71</c:v>
                </c:pt>
                <c:pt idx="9" formatCode="General">
                  <c:v>3.84</c:v>
                </c:pt>
                <c:pt idx="10" formatCode="General">
                  <c:v>4.1500000000000004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B-4082-8917-7398E4E56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473872"/>
        <c:axId val="846461392"/>
      </c:lineChart>
      <c:catAx>
        <c:axId val="84647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6461392"/>
        <c:crosses val="autoZero"/>
        <c:auto val="1"/>
        <c:lblAlgn val="ctr"/>
        <c:lblOffset val="100"/>
        <c:noMultiLvlLbl val="0"/>
      </c:catAx>
      <c:valAx>
        <c:axId val="8464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647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Evolution de la Courbe des Taux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'Marché monétaire'!$E$299</c:f>
              <c:strCache>
                <c:ptCount val="1"/>
                <c:pt idx="0">
                  <c:v>Spread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4800000" sx="57000" sy="57000" algn="ctr" rotWithShape="0">
                <a:srgbClr val="000000">
                  <a:alpha val="63000"/>
                </a:srgbClr>
              </a:outerShdw>
              <a:softEdge rad="0"/>
            </a:effectLst>
          </c:spPr>
          <c:invertIfNegative val="0"/>
          <c:cat>
            <c:strRef>
              <c:f>'Marché monétaire'!$F$294:$R$294</c:f>
              <c:strCache>
                <c:ptCount val="13"/>
                <c:pt idx="0">
                  <c:v>Overnight</c:v>
                </c:pt>
                <c:pt idx="1">
                  <c:v>1 semaine</c:v>
                </c:pt>
                <c:pt idx="2">
                  <c:v>04 Semaines</c:v>
                </c:pt>
                <c:pt idx="3">
                  <c:v>13 semaines</c:v>
                </c:pt>
                <c:pt idx="4">
                  <c:v>26 semaines</c:v>
                </c:pt>
                <c:pt idx="5">
                  <c:v>52 semaines</c:v>
                </c:pt>
                <c:pt idx="6">
                  <c:v>2 ans</c:v>
                </c:pt>
                <c:pt idx="7">
                  <c:v>3 ans </c:v>
                </c:pt>
                <c:pt idx="8">
                  <c:v>4 ans </c:v>
                </c:pt>
                <c:pt idx="9">
                  <c:v>5 ans </c:v>
                </c:pt>
                <c:pt idx="10">
                  <c:v>8 ans</c:v>
                </c:pt>
                <c:pt idx="11">
                  <c:v>9 ans</c:v>
                </c:pt>
                <c:pt idx="12">
                  <c:v>10 ans</c:v>
                </c:pt>
              </c:strCache>
            </c:strRef>
          </c:cat>
          <c:val>
            <c:numRef>
              <c:f>'Marché monétaire'!$F$299:$R$299</c:f>
              <c:numCache>
                <c:formatCode>0.00</c:formatCode>
                <c:ptCount val="13"/>
                <c:pt idx="0">
                  <c:v>0</c:v>
                </c:pt>
                <c:pt idx="1">
                  <c:v>5.0000000000000711E-2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4B-44B2-913D-3A4170A6C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7560448"/>
        <c:axId val="157562368"/>
      </c:barChart>
      <c:lineChart>
        <c:grouping val="standard"/>
        <c:varyColors val="0"/>
        <c:ser>
          <c:idx val="1"/>
          <c:order val="0"/>
          <c:tx>
            <c:strRef>
              <c:f>'Marché monétaire'!$E$297</c:f>
              <c:strCache>
                <c:ptCount val="1"/>
                <c:pt idx="0">
                  <c:v>Semaine du 02 au 06 février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'Marché monétaire'!$F$294:$R$294</c:f>
              <c:strCache>
                <c:ptCount val="13"/>
                <c:pt idx="0">
                  <c:v>Overnight</c:v>
                </c:pt>
                <c:pt idx="1">
                  <c:v>1 semaine</c:v>
                </c:pt>
                <c:pt idx="2">
                  <c:v>04 Semaines</c:v>
                </c:pt>
                <c:pt idx="3">
                  <c:v>13 semaines</c:v>
                </c:pt>
                <c:pt idx="4">
                  <c:v>26 semaines</c:v>
                </c:pt>
                <c:pt idx="5">
                  <c:v>52 semaines</c:v>
                </c:pt>
                <c:pt idx="6">
                  <c:v>2 ans</c:v>
                </c:pt>
                <c:pt idx="7">
                  <c:v>3 ans </c:v>
                </c:pt>
                <c:pt idx="8">
                  <c:v>4 ans </c:v>
                </c:pt>
                <c:pt idx="9">
                  <c:v>5 ans </c:v>
                </c:pt>
                <c:pt idx="10">
                  <c:v>8 ans</c:v>
                </c:pt>
                <c:pt idx="11">
                  <c:v>9 ans</c:v>
                </c:pt>
                <c:pt idx="12">
                  <c:v>10 ans</c:v>
                </c:pt>
              </c:strCache>
            </c:strRef>
          </c:cat>
          <c:val>
            <c:numRef>
              <c:f>'Marché monétaire'!$F$297:$R$297</c:f>
              <c:numCache>
                <c:formatCode>0.00</c:formatCode>
                <c:ptCount val="13"/>
                <c:pt idx="0">
                  <c:v>2</c:v>
                </c:pt>
                <c:pt idx="1">
                  <c:v>5.77</c:v>
                </c:pt>
                <c:pt idx="2">
                  <c:v>2.04</c:v>
                </c:pt>
                <c:pt idx="3">
                  <c:v>4.12</c:v>
                </c:pt>
                <c:pt idx="4">
                  <c:v>4.34</c:v>
                </c:pt>
                <c:pt idx="5">
                  <c:v>3.56</c:v>
                </c:pt>
                <c:pt idx="6" formatCode="General">
                  <c:v>3.93</c:v>
                </c:pt>
                <c:pt idx="7" formatCode="General">
                  <c:v>5.49</c:v>
                </c:pt>
                <c:pt idx="8" formatCode="General">
                  <c:v>4.92</c:v>
                </c:pt>
                <c:pt idx="9" formatCode="General">
                  <c:v>4.67</c:v>
                </c:pt>
                <c:pt idx="10" formatCode="General">
                  <c:v>3.71</c:v>
                </c:pt>
                <c:pt idx="11" formatCode="General">
                  <c:v>3.84</c:v>
                </c:pt>
                <c:pt idx="12" formatCode="General">
                  <c:v>4.1500000000000004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B-44B2-913D-3A4170A6CBBB}"/>
            </c:ext>
          </c:extLst>
        </c:ser>
        <c:ser>
          <c:idx val="4"/>
          <c:order val="2"/>
          <c:tx>
            <c:strRef>
              <c:f>'Marché monétaire'!$E$298</c:f>
              <c:strCache>
                <c:ptCount val="1"/>
                <c:pt idx="0">
                  <c:v>Semaine du 09 au 13février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'Marché monétaire'!$F$294:$R$294</c:f>
              <c:strCache>
                <c:ptCount val="13"/>
                <c:pt idx="0">
                  <c:v>Overnight</c:v>
                </c:pt>
                <c:pt idx="1">
                  <c:v>1 semaine</c:v>
                </c:pt>
                <c:pt idx="2">
                  <c:v>04 Semaines</c:v>
                </c:pt>
                <c:pt idx="3">
                  <c:v>13 semaines</c:v>
                </c:pt>
                <c:pt idx="4">
                  <c:v>26 semaines</c:v>
                </c:pt>
                <c:pt idx="5">
                  <c:v>52 semaines</c:v>
                </c:pt>
                <c:pt idx="6">
                  <c:v>2 ans</c:v>
                </c:pt>
                <c:pt idx="7">
                  <c:v>3 ans </c:v>
                </c:pt>
                <c:pt idx="8">
                  <c:v>4 ans </c:v>
                </c:pt>
                <c:pt idx="9">
                  <c:v>5 ans </c:v>
                </c:pt>
                <c:pt idx="10">
                  <c:v>8 ans</c:v>
                </c:pt>
                <c:pt idx="11">
                  <c:v>9 ans</c:v>
                </c:pt>
                <c:pt idx="12">
                  <c:v>10 ans</c:v>
                </c:pt>
              </c:strCache>
            </c:strRef>
          </c:cat>
          <c:val>
            <c:numRef>
              <c:f>'Marché monétaire'!$F$298:$R$298</c:f>
              <c:numCache>
                <c:formatCode>0.00</c:formatCode>
                <c:ptCount val="13"/>
                <c:pt idx="0">
                  <c:v>2</c:v>
                </c:pt>
                <c:pt idx="1">
                  <c:v>5.82</c:v>
                </c:pt>
                <c:pt idx="2">
                  <c:v>2.04</c:v>
                </c:pt>
                <c:pt idx="3">
                  <c:v>4.12</c:v>
                </c:pt>
                <c:pt idx="4">
                  <c:v>4.34</c:v>
                </c:pt>
                <c:pt idx="5">
                  <c:v>3.56</c:v>
                </c:pt>
                <c:pt idx="6" formatCode="General">
                  <c:v>3.93</c:v>
                </c:pt>
                <c:pt idx="7" formatCode="General">
                  <c:v>5.49</c:v>
                </c:pt>
                <c:pt idx="8" formatCode="General">
                  <c:v>4.92</c:v>
                </c:pt>
                <c:pt idx="9" formatCode="General">
                  <c:v>4.67</c:v>
                </c:pt>
                <c:pt idx="10" formatCode="General">
                  <c:v>3.71</c:v>
                </c:pt>
                <c:pt idx="11" formatCode="General">
                  <c:v>3.84</c:v>
                </c:pt>
                <c:pt idx="12" formatCode="General">
                  <c:v>4.1500000000000004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FF-4AC5-B970-CEB11B8C3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39808"/>
        <c:axId val="157535488"/>
      </c:lineChart>
      <c:catAx>
        <c:axId val="1575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535488"/>
        <c:crosses val="autoZero"/>
        <c:auto val="1"/>
        <c:lblAlgn val="ctr"/>
        <c:lblOffset val="100"/>
        <c:noMultiLvlLbl val="0"/>
      </c:catAx>
      <c:valAx>
        <c:axId val="15753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539808"/>
        <c:crosses val="autoZero"/>
        <c:crossBetween val="between"/>
      </c:valAx>
      <c:valAx>
        <c:axId val="15756236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560448"/>
        <c:crosses val="max"/>
        <c:crossBetween val="between"/>
      </c:valAx>
      <c:catAx>
        <c:axId val="157560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562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6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Evolution des Réserves de changes vs (Risque de Crédit)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600" b="1" i="0" u="none" strike="noStrike" kern="1200" spc="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'Gestion des réserves Ext'!$D$20</c:f>
              <c:strCache>
                <c:ptCount val="1"/>
                <c:pt idx="0">
                  <c:v>Part Titres Souverains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'Gestion des réserves Ext'!$B$21:$B$25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'Gestion des réserves Ext'!$D$21:$D$25</c:f>
              <c:numCache>
                <c:formatCode>0.00%</c:formatCode>
                <c:ptCount val="5"/>
                <c:pt idx="0">
                  <c:v>0.1449</c:v>
                </c:pt>
                <c:pt idx="1">
                  <c:v>0.34489999999999998</c:v>
                </c:pt>
                <c:pt idx="2" formatCode="0%">
                  <c:v>0.52</c:v>
                </c:pt>
                <c:pt idx="3">
                  <c:v>0.62790000000000001</c:v>
                </c:pt>
                <c:pt idx="4">
                  <c:v>0.60540000000000005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7-4FA5-882A-C8E2AE41DA19}"/>
            </c:ext>
          </c:extLst>
        </c:ser>
        <c:ser>
          <c:idx val="2"/>
          <c:order val="2"/>
          <c:tx>
            <c:strRef>
              <c:f>'Gestion des réserves Ext'!$E$20</c:f>
              <c:strCache>
                <c:ptCount val="1"/>
                <c:pt idx="0">
                  <c:v>Part des Dépôts à terme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'Gestion des réserves Ext'!$B$21:$B$25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'Gestion des réserves Ext'!$E$21:$E$25</c:f>
              <c:numCache>
                <c:formatCode>0.00%</c:formatCode>
                <c:ptCount val="5"/>
                <c:pt idx="0">
                  <c:v>0.85509999999999997</c:v>
                </c:pt>
                <c:pt idx="1">
                  <c:v>0.65510000000000002</c:v>
                </c:pt>
                <c:pt idx="2" formatCode="0%">
                  <c:v>0.48</c:v>
                </c:pt>
                <c:pt idx="3">
                  <c:v>0.37209999999999999</c:v>
                </c:pt>
                <c:pt idx="4">
                  <c:v>0.39460000000000001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27-4FA5-882A-C8E2AE41D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52448800"/>
        <c:axId val="1752448320"/>
      </c:barChart>
      <c:lineChart>
        <c:grouping val="standard"/>
        <c:varyColors val="0"/>
        <c:ser>
          <c:idx val="0"/>
          <c:order val="0"/>
          <c:tx>
            <c:strRef>
              <c:f>'Gestion des réserves Ext'!$C$20</c:f>
              <c:strCache>
                <c:ptCount val="1"/>
                <c:pt idx="0">
                  <c:v>Niveau des Reserves de Change</c:v>
                </c:pt>
              </c:strCache>
            </c:strRef>
          </c:tx>
          <c:spPr>
            <a:ln w="34925" cap="rnd">
              <a:solidFill>
                <a:schemeClr val="accent1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'Gestion des réserves Ext'!$B$21:$B$25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'Gestion des réserves Ext'!$C$21:$C$25</c:f>
              <c:numCache>
                <c:formatCode>General</c:formatCode>
                <c:ptCount val="5"/>
                <c:pt idx="0">
                  <c:v>2004.33</c:v>
                </c:pt>
                <c:pt idx="1">
                  <c:v>1849.54</c:v>
                </c:pt>
                <c:pt idx="2">
                  <c:v>2001.01</c:v>
                </c:pt>
                <c:pt idx="3">
                  <c:v>1893.34</c:v>
                </c:pt>
                <c:pt idx="4">
                  <c:v>2009.67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7-4FA5-882A-C8E2AE41D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451200"/>
        <c:axId val="1752445440"/>
      </c:lineChart>
      <c:catAx>
        <c:axId val="175245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2445440"/>
        <c:crosses val="autoZero"/>
        <c:auto val="1"/>
        <c:lblAlgn val="ctr"/>
        <c:lblOffset val="100"/>
        <c:noMultiLvlLbl val="0"/>
      </c:catAx>
      <c:valAx>
        <c:axId val="175244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2451200"/>
        <c:crosses val="autoZero"/>
        <c:crossBetween val="between"/>
      </c:valAx>
      <c:valAx>
        <c:axId val="175244832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2448800"/>
        <c:crosses val="max"/>
        <c:crossBetween val="between"/>
      </c:valAx>
      <c:catAx>
        <c:axId val="17524488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2448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6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Diversification des Reserves vs Risque de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600" b="1" i="0" u="none" strike="noStrike" kern="1200" spc="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'Gestion des réserves Ext'!$F$20</c:f>
              <c:strCache>
                <c:ptCount val="1"/>
                <c:pt idx="0">
                  <c:v>% 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'Gestion des réserves Ext'!$B$21:$B$25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'Gestion des réserves Ext'!$F$21:$F$25</c:f>
              <c:numCache>
                <c:formatCode>0.00%</c:formatCode>
                <c:ptCount val="5"/>
                <c:pt idx="0">
                  <c:v>0.99990000000000001</c:v>
                </c:pt>
                <c:pt idx="1">
                  <c:v>0.97699999999999998</c:v>
                </c:pt>
                <c:pt idx="2">
                  <c:v>0.8256</c:v>
                </c:pt>
                <c:pt idx="3">
                  <c:v>0.75590000000000002</c:v>
                </c:pt>
                <c:pt idx="4">
                  <c:v>0.75660000000000005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A-40A3-B724-E93E7CD882B1}"/>
            </c:ext>
          </c:extLst>
        </c:ser>
        <c:ser>
          <c:idx val="2"/>
          <c:order val="2"/>
          <c:tx>
            <c:strRef>
              <c:f>'Gestion des réserves Ext'!$G$20</c:f>
              <c:strCache>
                <c:ptCount val="1"/>
                <c:pt idx="0">
                  <c:v>% EUR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'Gestion des réserves Ext'!$B$21:$B$25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'Gestion des réserves Ext'!$G$21:$G$25</c:f>
              <c:numCache>
                <c:formatCode>0.00%</c:formatCode>
                <c:ptCount val="5"/>
                <c:pt idx="0">
                  <c:v>1E-4</c:v>
                </c:pt>
                <c:pt idx="1">
                  <c:v>2.3E-2</c:v>
                </c:pt>
                <c:pt idx="2">
                  <c:v>0.1744</c:v>
                </c:pt>
                <c:pt idx="3">
                  <c:v>0.24410000000000001</c:v>
                </c:pt>
                <c:pt idx="4">
                  <c:v>0.24340000000000001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4A-40A3-B724-E93E7CD8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86300144"/>
        <c:axId val="286299664"/>
      </c:barChart>
      <c:lineChart>
        <c:grouping val="standard"/>
        <c:varyColors val="0"/>
        <c:ser>
          <c:idx val="0"/>
          <c:order val="0"/>
          <c:tx>
            <c:strRef>
              <c:f>'Gestion des réserves Ext'!$C$20</c:f>
              <c:strCache>
                <c:ptCount val="1"/>
                <c:pt idx="0">
                  <c:v>Niveau des Reserves de Change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'Gestion des réserves Ext'!$B$21:$B$25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'Gestion des réserves Ext'!$C$21:$C$25</c:f>
              <c:numCache>
                <c:formatCode>General</c:formatCode>
                <c:ptCount val="5"/>
                <c:pt idx="0">
                  <c:v>2004.33</c:v>
                </c:pt>
                <c:pt idx="1">
                  <c:v>1849.54</c:v>
                </c:pt>
                <c:pt idx="2">
                  <c:v>2001.01</c:v>
                </c:pt>
                <c:pt idx="3">
                  <c:v>1893.34</c:v>
                </c:pt>
                <c:pt idx="4">
                  <c:v>2009.67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A-40A3-B724-E93E7CD8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297264"/>
        <c:axId val="286289104"/>
      </c:lineChart>
      <c:catAx>
        <c:axId val="28629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6289104"/>
        <c:crosses val="autoZero"/>
        <c:auto val="1"/>
        <c:lblAlgn val="ctr"/>
        <c:lblOffset val="100"/>
        <c:noMultiLvlLbl val="0"/>
      </c:catAx>
      <c:valAx>
        <c:axId val="28628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6297264"/>
        <c:crosses val="autoZero"/>
        <c:crossBetween val="between"/>
      </c:valAx>
      <c:valAx>
        <c:axId val="2862996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6300144"/>
        <c:crosses val="max"/>
        <c:crossBetween val="between"/>
      </c:valAx>
      <c:catAx>
        <c:axId val="286300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6299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Niveau des Reserves de</a:t>
            </a:r>
            <a:r>
              <a:rPr lang="fr-FR" baseline="0"/>
              <a:t> Change vs Rentabilité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'Gestion des réserves Ext'!$C$20</c:f>
              <c:strCache>
                <c:ptCount val="1"/>
                <c:pt idx="0">
                  <c:v>Niveau des Reserves de Change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'Gestion des réserves Ext'!$B$21:$B$25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'Gestion des réserves Ext'!$C$21:$C$25</c:f>
              <c:numCache>
                <c:formatCode>General</c:formatCode>
                <c:ptCount val="5"/>
                <c:pt idx="0">
                  <c:v>2004.33</c:v>
                </c:pt>
                <c:pt idx="1">
                  <c:v>1849.54</c:v>
                </c:pt>
                <c:pt idx="2">
                  <c:v>2001.01</c:v>
                </c:pt>
                <c:pt idx="3">
                  <c:v>1893.34</c:v>
                </c:pt>
                <c:pt idx="4">
                  <c:v>2009.67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7-446C-A923-6BCCB294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939040"/>
        <c:axId val="889948160"/>
      </c:lineChart>
      <c:lineChart>
        <c:grouping val="standard"/>
        <c:varyColors val="0"/>
        <c:ser>
          <c:idx val="1"/>
          <c:order val="1"/>
          <c:tx>
            <c:strRef>
              <c:f>'Gestion des réserves Ext'!$H$20</c:f>
              <c:strCache>
                <c:ptCount val="1"/>
                <c:pt idx="0">
                  <c:v>Produit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'Gestion des réserves Ext'!$B$21:$B$25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'Gestion des réserves Ext'!$H$21:$H$25</c:f>
              <c:numCache>
                <c:formatCode>General</c:formatCode>
                <c:ptCount val="5"/>
                <c:pt idx="0">
                  <c:v>2.61</c:v>
                </c:pt>
                <c:pt idx="1">
                  <c:v>22.67</c:v>
                </c:pt>
                <c:pt idx="2">
                  <c:v>84</c:v>
                </c:pt>
                <c:pt idx="3">
                  <c:v>86</c:v>
                </c:pt>
                <c:pt idx="4">
                  <c:v>80.2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7-446C-A923-6BCCB294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946720"/>
        <c:axId val="889945280"/>
      </c:lineChart>
      <c:catAx>
        <c:axId val="88993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9948160"/>
        <c:crosses val="autoZero"/>
        <c:auto val="1"/>
        <c:lblAlgn val="ctr"/>
        <c:lblOffset val="100"/>
        <c:noMultiLvlLbl val="0"/>
      </c:catAx>
      <c:valAx>
        <c:axId val="88994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9939040"/>
        <c:crosses val="autoZero"/>
        <c:crossBetween val="between"/>
      </c:valAx>
      <c:valAx>
        <c:axId val="8899452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9946720"/>
        <c:crosses val="max"/>
        <c:crossBetween val="between"/>
      </c:valAx>
      <c:catAx>
        <c:axId val="8899467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9945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 b="1"/>
              <a:t>Evolution du Cours MRU vs Intervetion de la BCM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3"/>
          <c:tx>
            <c:strRef>
              <c:f>[1]Feuil1!$V$43</c:f>
              <c:strCache>
                <c:ptCount val="1"/>
                <c:pt idx="0">
                  <c:v>Intervention de la BCM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[1]Feuil1!$O$44:$O$60</c:f>
              <c:numCache>
                <c:formatCode>General</c:formatCode>
                <c:ptCount val="17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</c:numCache>
            </c:numRef>
          </c:cat>
          <c:val>
            <c:numRef>
              <c:f>[1]Feuil1!$V$44:$V$60</c:f>
              <c:numCache>
                <c:formatCode>General</c:formatCode>
                <c:ptCount val="17"/>
                <c:pt idx="0">
                  <c:v>84.509078000000002</c:v>
                </c:pt>
                <c:pt idx="1">
                  <c:v>69</c:v>
                </c:pt>
                <c:pt idx="2">
                  <c:v>61.999997</c:v>
                </c:pt>
                <c:pt idx="3">
                  <c:v>8.1818179999999998</c:v>
                </c:pt>
                <c:pt idx="4">
                  <c:v>56.5</c:v>
                </c:pt>
                <c:pt idx="5">
                  <c:v>50.000000999999997</c:v>
                </c:pt>
                <c:pt idx="6">
                  <c:v>59.999991999999999</c:v>
                </c:pt>
                <c:pt idx="7">
                  <c:v>89.000004000000004</c:v>
                </c:pt>
                <c:pt idx="8">
                  <c:v>27</c:v>
                </c:pt>
                <c:pt idx="9">
                  <c:v>70.000000999999997</c:v>
                </c:pt>
                <c:pt idx="10">
                  <c:v>0</c:v>
                </c:pt>
                <c:pt idx="11">
                  <c:v>60</c:v>
                </c:pt>
                <c:pt idx="12">
                  <c:v>68.5</c:v>
                </c:pt>
                <c:pt idx="13">
                  <c:v>30</c:v>
                </c:pt>
                <c:pt idx="14">
                  <c:v>44.999999000000003</c:v>
                </c:pt>
                <c:pt idx="15">
                  <c:v>35</c:v>
                </c:pt>
                <c:pt idx="16">
                  <c:v>34.999999000000003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5-42AE-B797-95C96CC58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5609679"/>
        <c:axId val="1135612559"/>
      </c:barChart>
      <c:lineChart>
        <c:grouping val="standard"/>
        <c:varyColors val="0"/>
        <c:ser>
          <c:idx val="0"/>
          <c:order val="0"/>
          <c:tx>
            <c:strRef>
              <c:f>[1]Feuil1!$P$43</c:f>
              <c:strCache>
                <c:ptCount val="1"/>
                <c:pt idx="0">
                  <c:v>Cours de Référence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[1]Feuil1!$O$44:$O$60</c:f>
              <c:numCache>
                <c:formatCode>General</c:formatCode>
                <c:ptCount val="17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</c:numCache>
            </c:numRef>
          </c:cat>
          <c:val>
            <c:numRef>
              <c:f>[1]Feuil1!$P$44:$P$60</c:f>
              <c:numCache>
                <c:formatCode>General</c:formatCode>
                <c:ptCount val="17"/>
                <c:pt idx="0">
                  <c:v>39.527999999999999</c:v>
                </c:pt>
                <c:pt idx="1">
                  <c:v>39.709444444444451</c:v>
                </c:pt>
                <c:pt idx="2">
                  <c:v>39.867647058823522</c:v>
                </c:pt>
                <c:pt idx="3">
                  <c:v>39.781874999999999</c:v>
                </c:pt>
                <c:pt idx="4">
                  <c:v>39.541250000000005</c:v>
                </c:pt>
                <c:pt idx="5">
                  <c:v>39.560588235294119</c:v>
                </c:pt>
                <c:pt idx="6">
                  <c:v>39.27428571428571</c:v>
                </c:pt>
                <c:pt idx="7">
                  <c:v>39.581666666666671</c:v>
                </c:pt>
                <c:pt idx="8">
                  <c:v>39.595882352941182</c:v>
                </c:pt>
                <c:pt idx="9">
                  <c:v>39.571250000000006</c:v>
                </c:pt>
                <c:pt idx="10">
                  <c:v>39.641578947368416</c:v>
                </c:pt>
                <c:pt idx="11">
                  <c:v>39.795333333333339</c:v>
                </c:pt>
                <c:pt idx="12">
                  <c:v>39.753529411764703</c:v>
                </c:pt>
                <c:pt idx="13">
                  <c:v>39.744705882352939</c:v>
                </c:pt>
                <c:pt idx="14">
                  <c:v>39.844374999999999</c:v>
                </c:pt>
                <c:pt idx="15">
                  <c:v>39.735624999999992</c:v>
                </c:pt>
                <c:pt idx="16">
                  <c:v>39.592500000000001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95-42AE-B797-95C96CC587BE}"/>
            </c:ext>
          </c:extLst>
        </c:ser>
        <c:ser>
          <c:idx val="3"/>
          <c:order val="1"/>
          <c:tx>
            <c:strRef>
              <c:f>[1]Feuil1!$S$43</c:f>
              <c:strCache>
                <c:ptCount val="1"/>
                <c:pt idx="0">
                  <c:v>Bande min USD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[1]Feuil1!$O$44:$O$60</c:f>
              <c:numCache>
                <c:formatCode>General</c:formatCode>
                <c:ptCount val="17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</c:numCache>
            </c:numRef>
          </c:cat>
          <c:val>
            <c:numRef>
              <c:f>[1]Feuil1!$S$44:$S$60</c:f>
              <c:numCache>
                <c:formatCode>General</c:formatCode>
                <c:ptCount val="17"/>
                <c:pt idx="0">
                  <c:v>36.99499999999999</c:v>
                </c:pt>
                <c:pt idx="1">
                  <c:v>37.042777777777786</c:v>
                </c:pt>
                <c:pt idx="2">
                  <c:v>37.129411764705885</c:v>
                </c:pt>
                <c:pt idx="3">
                  <c:v>37.069375000000001</c:v>
                </c:pt>
                <c:pt idx="4">
                  <c:v>37.171874999999986</c:v>
                </c:pt>
                <c:pt idx="5">
                  <c:v>37.115294117647068</c:v>
                </c:pt>
                <c:pt idx="6">
                  <c:v>37.138571428571424</c:v>
                </c:pt>
                <c:pt idx="7">
                  <c:v>37.094444444444456</c:v>
                </c:pt>
                <c:pt idx="8">
                  <c:v>36.969411764705875</c:v>
                </c:pt>
                <c:pt idx="9">
                  <c:v>36.918749999999989</c:v>
                </c:pt>
                <c:pt idx="10">
                  <c:v>37.04684210526316</c:v>
                </c:pt>
                <c:pt idx="11">
                  <c:v>37.237333333333332</c:v>
                </c:pt>
                <c:pt idx="12">
                  <c:v>37.349999999999987</c:v>
                </c:pt>
                <c:pt idx="13">
                  <c:v>37.44</c:v>
                </c:pt>
                <c:pt idx="14">
                  <c:v>37.400625000000005</c:v>
                </c:pt>
                <c:pt idx="15">
                  <c:v>37.125624999999999</c:v>
                </c:pt>
                <c:pt idx="16">
                  <c:v>36.853124999999999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95-42AE-B797-95C96CC587BE}"/>
            </c:ext>
          </c:extLst>
        </c:ser>
        <c:ser>
          <c:idx val="4"/>
          <c:order val="2"/>
          <c:tx>
            <c:strRef>
              <c:f>[1]Feuil1!$T$43</c:f>
              <c:strCache>
                <c:ptCount val="1"/>
                <c:pt idx="0">
                  <c:v>Bande max USD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[1]Feuil1!$O$44:$O$60</c:f>
              <c:numCache>
                <c:formatCode>General</c:formatCode>
                <c:ptCount val="17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</c:numCache>
            </c:numRef>
          </c:cat>
          <c:val>
            <c:numRef>
              <c:f>[1]Feuil1!$T$44:$T$60</c:f>
              <c:numCache>
                <c:formatCode>General</c:formatCode>
                <c:ptCount val="17"/>
                <c:pt idx="0">
                  <c:v>40.892000000000003</c:v>
                </c:pt>
                <c:pt idx="1">
                  <c:v>40.942777777777778</c:v>
                </c:pt>
                <c:pt idx="2">
                  <c:v>41.032941176470587</c:v>
                </c:pt>
                <c:pt idx="3">
                  <c:v>40.969374999999999</c:v>
                </c:pt>
                <c:pt idx="4">
                  <c:v>41.085625</c:v>
                </c:pt>
                <c:pt idx="5">
                  <c:v>41.018823529411769</c:v>
                </c:pt>
                <c:pt idx="6">
                  <c:v>41.048571428571428</c:v>
                </c:pt>
                <c:pt idx="7">
                  <c:v>40.995555555555555</c:v>
                </c:pt>
                <c:pt idx="8">
                  <c:v>40.860588235294124</c:v>
                </c:pt>
                <c:pt idx="9">
                  <c:v>40.801875000000003</c:v>
                </c:pt>
                <c:pt idx="10">
                  <c:v>40.944210526315786</c:v>
                </c:pt>
                <c:pt idx="11">
                  <c:v>41.155999999999992</c:v>
                </c:pt>
                <c:pt idx="12">
                  <c:v>41.279411764705891</c:v>
                </c:pt>
                <c:pt idx="13">
                  <c:v>41.381176470588244</c:v>
                </c:pt>
                <c:pt idx="14">
                  <c:v>41.339999999999996</c:v>
                </c:pt>
                <c:pt idx="15">
                  <c:v>41.031249999999986</c:v>
                </c:pt>
                <c:pt idx="16">
                  <c:v>40.73125000000001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95-42AE-B797-95C96CC58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217663"/>
        <c:axId val="1377229663"/>
      </c:lineChart>
      <c:catAx>
        <c:axId val="1377217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7229663"/>
        <c:crosses val="autoZero"/>
        <c:auto val="1"/>
        <c:lblAlgn val="ctr"/>
        <c:lblOffset val="100"/>
        <c:noMultiLvlLbl val="0"/>
      </c:catAx>
      <c:valAx>
        <c:axId val="137722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7217663"/>
        <c:crosses val="autoZero"/>
        <c:crossBetween val="between"/>
      </c:valAx>
      <c:valAx>
        <c:axId val="113561255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609679"/>
        <c:crosses val="max"/>
        <c:crossBetween val="between"/>
      </c:valAx>
      <c:catAx>
        <c:axId val="1135609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5612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Evolution </a:t>
            </a:r>
            <a:r>
              <a:rPr lang="fr-FR" b="1"/>
              <a:t>MRU</a:t>
            </a:r>
            <a:r>
              <a:rPr lang="fr-FR" baseline="0"/>
              <a:t> vs USD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[1]Feuil1!$D$28</c:f>
              <c:strCache>
                <c:ptCount val="1"/>
                <c:pt idx="0">
                  <c:v>Cours de Référence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[1]Feuil1!$C$29:$C$45</c:f>
              <c:numCache>
                <c:formatCode>General</c:formatCode>
                <c:ptCount val="17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</c:numCache>
            </c:numRef>
          </c:cat>
          <c:val>
            <c:numRef>
              <c:f>[1]Feuil1!$D$29:$D$45</c:f>
              <c:numCache>
                <c:formatCode>General</c:formatCode>
                <c:ptCount val="17"/>
                <c:pt idx="0">
                  <c:v>39.527999999999999</c:v>
                </c:pt>
                <c:pt idx="1">
                  <c:v>39.709444444444451</c:v>
                </c:pt>
                <c:pt idx="2">
                  <c:v>39.867647058823522</c:v>
                </c:pt>
                <c:pt idx="3">
                  <c:v>39.781874999999999</c:v>
                </c:pt>
                <c:pt idx="4">
                  <c:v>39.541250000000005</c:v>
                </c:pt>
                <c:pt idx="5">
                  <c:v>39.560588235294119</c:v>
                </c:pt>
                <c:pt idx="6">
                  <c:v>39.27428571428571</c:v>
                </c:pt>
                <c:pt idx="7">
                  <c:v>39.581666666666671</c:v>
                </c:pt>
                <c:pt idx="8">
                  <c:v>39.595882352941182</c:v>
                </c:pt>
                <c:pt idx="9">
                  <c:v>39.571250000000006</c:v>
                </c:pt>
                <c:pt idx="10">
                  <c:v>39.641578947368416</c:v>
                </c:pt>
                <c:pt idx="11">
                  <c:v>39.795333333333339</c:v>
                </c:pt>
                <c:pt idx="12">
                  <c:v>39.753529411764703</c:v>
                </c:pt>
                <c:pt idx="13">
                  <c:v>39.744705882352939</c:v>
                </c:pt>
                <c:pt idx="14">
                  <c:v>39.844374999999999</c:v>
                </c:pt>
                <c:pt idx="15">
                  <c:v>39.735624999999992</c:v>
                </c:pt>
                <c:pt idx="16">
                  <c:v>39.592500000000001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D-4610-8CBC-5BAFB935FC2F}"/>
            </c:ext>
          </c:extLst>
        </c:ser>
        <c:ser>
          <c:idx val="1"/>
          <c:order val="1"/>
          <c:tx>
            <c:strRef>
              <c:f>[1]Feuil1!$E$28</c:f>
              <c:strCache>
                <c:ptCount val="1"/>
                <c:pt idx="0">
                  <c:v>Cours Moyen Pondéré MIB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[1]Feuil1!$C$29:$C$45</c:f>
              <c:numCache>
                <c:formatCode>General</c:formatCode>
                <c:ptCount val="17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</c:numCache>
            </c:numRef>
          </c:cat>
          <c:val>
            <c:numRef>
              <c:f>[1]Feuil1!$E$29:$E$45</c:f>
              <c:numCache>
                <c:formatCode>General</c:formatCode>
                <c:ptCount val="17"/>
                <c:pt idx="0">
                  <c:v>39.498420000000003</c:v>
                </c:pt>
                <c:pt idx="1">
                  <c:v>39.691133333333333</c:v>
                </c:pt>
                <c:pt idx="2">
                  <c:v>39.857029411764707</c:v>
                </c:pt>
                <c:pt idx="3">
                  <c:v>39.811549999999997</c:v>
                </c:pt>
                <c:pt idx="4">
                  <c:v>39.615931250000003</c:v>
                </c:pt>
                <c:pt idx="5">
                  <c:v>39.714452941176475</c:v>
                </c:pt>
                <c:pt idx="6">
                  <c:v>39.342499999999994</c:v>
                </c:pt>
                <c:pt idx="7">
                  <c:v>39.669788888888888</c:v>
                </c:pt>
                <c:pt idx="8">
                  <c:v>39.651435294117661</c:v>
                </c:pt>
                <c:pt idx="9">
                  <c:v>39.617224999999998</c:v>
                </c:pt>
                <c:pt idx="10">
                  <c:v>39.729263157894742</c:v>
                </c:pt>
                <c:pt idx="11">
                  <c:v>39.901486666666663</c:v>
                </c:pt>
                <c:pt idx="12">
                  <c:v>39.81997647058823</c:v>
                </c:pt>
                <c:pt idx="13">
                  <c:v>39.803541176470588</c:v>
                </c:pt>
                <c:pt idx="14">
                  <c:v>39.873975000000009</c:v>
                </c:pt>
                <c:pt idx="15">
                  <c:v>39.774943749999998</c:v>
                </c:pt>
                <c:pt idx="16">
                  <c:v>39.639906249999996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D-4610-8CBC-5BAFB935FC2F}"/>
            </c:ext>
          </c:extLst>
        </c:ser>
        <c:ser>
          <c:idx val="2"/>
          <c:order val="2"/>
          <c:tx>
            <c:strRef>
              <c:f>[1]Feuil1!$F$28</c:f>
              <c:strCache>
                <c:ptCount val="1"/>
                <c:pt idx="0">
                  <c:v>Cours Moyen pondéré Clientèle</c:v>
                </c:pt>
              </c:strCache>
            </c:strRef>
          </c:tx>
          <c:spPr>
            <a:ln w="2222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[1]Feuil1!$C$29:$C$45</c:f>
              <c:numCache>
                <c:formatCode>General</c:formatCode>
                <c:ptCount val="17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</c:numCache>
            </c:numRef>
          </c:cat>
          <c:val>
            <c:numRef>
              <c:f>[1]Feuil1!$F$29:$F$45</c:f>
              <c:numCache>
                <c:formatCode>General</c:formatCode>
                <c:ptCount val="17"/>
                <c:pt idx="0">
                  <c:v>39.849201772147566</c:v>
                </c:pt>
                <c:pt idx="1">
                  <c:v>39.937208107284768</c:v>
                </c:pt>
                <c:pt idx="2">
                  <c:v>40.096742596249385</c:v>
                </c:pt>
                <c:pt idx="3">
                  <c:v>39.915648239518596</c:v>
                </c:pt>
                <c:pt idx="4">
                  <c:v>39.621268078294477</c:v>
                </c:pt>
                <c:pt idx="5">
                  <c:v>39.744051456232327</c:v>
                </c:pt>
                <c:pt idx="6">
                  <c:v>39.416707923576389</c:v>
                </c:pt>
                <c:pt idx="7">
                  <c:v>39.652857882779877</c:v>
                </c:pt>
                <c:pt idx="8">
                  <c:v>39.71262750110472</c:v>
                </c:pt>
                <c:pt idx="9">
                  <c:v>39.522200779848248</c:v>
                </c:pt>
                <c:pt idx="10">
                  <c:v>39.559567303883853</c:v>
                </c:pt>
                <c:pt idx="11">
                  <c:v>39.784329716918236</c:v>
                </c:pt>
                <c:pt idx="12">
                  <c:v>39.759420157894638</c:v>
                </c:pt>
                <c:pt idx="13">
                  <c:v>39.760218735728998</c:v>
                </c:pt>
                <c:pt idx="14">
                  <c:v>39.838599854956612</c:v>
                </c:pt>
                <c:pt idx="15">
                  <c:v>39.720256180591775</c:v>
                </c:pt>
                <c:pt idx="16">
                  <c:v>39.564029891946362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3D-4610-8CBC-5BAFB935FC2F}"/>
            </c:ext>
          </c:extLst>
        </c:ser>
        <c:ser>
          <c:idx val="3"/>
          <c:order val="3"/>
          <c:tx>
            <c:strRef>
              <c:f>[1]Feuil1!$G$28</c:f>
              <c:strCache>
                <c:ptCount val="1"/>
                <c:pt idx="0">
                  <c:v>Bande min USD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[1]Feuil1!$C$29:$C$45</c:f>
              <c:numCache>
                <c:formatCode>General</c:formatCode>
                <c:ptCount val="17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</c:numCache>
            </c:numRef>
          </c:cat>
          <c:val>
            <c:numRef>
              <c:f>[1]Feuil1!$G$29:$G$45</c:f>
              <c:numCache>
                <c:formatCode>General</c:formatCode>
                <c:ptCount val="17"/>
                <c:pt idx="0">
                  <c:v>36.99499999999999</c:v>
                </c:pt>
                <c:pt idx="1">
                  <c:v>37.042777777777786</c:v>
                </c:pt>
                <c:pt idx="2">
                  <c:v>37.129411764705885</c:v>
                </c:pt>
                <c:pt idx="3">
                  <c:v>37.069375000000001</c:v>
                </c:pt>
                <c:pt idx="4">
                  <c:v>37.171874999999986</c:v>
                </c:pt>
                <c:pt idx="5">
                  <c:v>37.115294117647068</c:v>
                </c:pt>
                <c:pt idx="6">
                  <c:v>37.138571428571424</c:v>
                </c:pt>
                <c:pt idx="7">
                  <c:v>37.094444444444456</c:v>
                </c:pt>
                <c:pt idx="8">
                  <c:v>36.969411764705875</c:v>
                </c:pt>
                <c:pt idx="9">
                  <c:v>36.918749999999989</c:v>
                </c:pt>
                <c:pt idx="10">
                  <c:v>37.04684210526316</c:v>
                </c:pt>
                <c:pt idx="11">
                  <c:v>37.237333333333332</c:v>
                </c:pt>
                <c:pt idx="12">
                  <c:v>37.349999999999987</c:v>
                </c:pt>
                <c:pt idx="13">
                  <c:v>37.44</c:v>
                </c:pt>
                <c:pt idx="14">
                  <c:v>37.400625000000005</c:v>
                </c:pt>
                <c:pt idx="15">
                  <c:v>37.125624999999999</c:v>
                </c:pt>
                <c:pt idx="16">
                  <c:v>36.853124999999999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3D-4610-8CBC-5BAFB935FC2F}"/>
            </c:ext>
          </c:extLst>
        </c:ser>
        <c:ser>
          <c:idx val="4"/>
          <c:order val="4"/>
          <c:tx>
            <c:strRef>
              <c:f>[1]Feuil1!$H$28</c:f>
              <c:strCache>
                <c:ptCount val="1"/>
                <c:pt idx="0">
                  <c:v>Bande max USD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[1]Feuil1!$C$29:$C$45</c:f>
              <c:numCache>
                <c:formatCode>General</c:formatCode>
                <c:ptCount val="17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</c:numCache>
            </c:numRef>
          </c:cat>
          <c:val>
            <c:numRef>
              <c:f>[1]Feuil1!$H$29:$H$45</c:f>
              <c:numCache>
                <c:formatCode>General</c:formatCode>
                <c:ptCount val="17"/>
                <c:pt idx="0">
                  <c:v>40.892000000000003</c:v>
                </c:pt>
                <c:pt idx="1">
                  <c:v>40.942777777777778</c:v>
                </c:pt>
                <c:pt idx="2">
                  <c:v>41.032941176470587</c:v>
                </c:pt>
                <c:pt idx="3">
                  <c:v>40.969374999999999</c:v>
                </c:pt>
                <c:pt idx="4">
                  <c:v>41.085625</c:v>
                </c:pt>
                <c:pt idx="5">
                  <c:v>41.018823529411769</c:v>
                </c:pt>
                <c:pt idx="6">
                  <c:v>41.048571428571428</c:v>
                </c:pt>
                <c:pt idx="7">
                  <c:v>40.995555555555555</c:v>
                </c:pt>
                <c:pt idx="8">
                  <c:v>40.860588235294124</c:v>
                </c:pt>
                <c:pt idx="9">
                  <c:v>40.801875000000003</c:v>
                </c:pt>
                <c:pt idx="10">
                  <c:v>40.944210526315786</c:v>
                </c:pt>
                <c:pt idx="11">
                  <c:v>41.155999999999992</c:v>
                </c:pt>
                <c:pt idx="12">
                  <c:v>41.279411764705891</c:v>
                </c:pt>
                <c:pt idx="13">
                  <c:v>41.381176470588244</c:v>
                </c:pt>
                <c:pt idx="14">
                  <c:v>41.339999999999996</c:v>
                </c:pt>
                <c:pt idx="15">
                  <c:v>41.031249999999986</c:v>
                </c:pt>
                <c:pt idx="16">
                  <c:v>40.73125000000001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3D-4610-8CBC-5BAFB935F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638879"/>
        <c:axId val="1101637439"/>
      </c:lineChart>
      <c:lineChart>
        <c:grouping val="standard"/>
        <c:varyColors val="0"/>
        <c:ser>
          <c:idx val="5"/>
          <c:order val="5"/>
          <c:tx>
            <c:strRef>
              <c:f>[1]Feuil1!$I$28</c:f>
              <c:strCache>
                <c:ptCount val="1"/>
                <c:pt idx="0">
                  <c:v>Ecart Cours de refernce vs CMP </c:v>
                </c:pt>
              </c:strCache>
            </c:strRef>
          </c:tx>
          <c:spPr>
            <a:ln w="2222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[1]Feuil1!$C$29:$C$45</c:f>
              <c:numCache>
                <c:formatCode>General</c:formatCode>
                <c:ptCount val="17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</c:numCache>
            </c:numRef>
          </c:cat>
          <c:val>
            <c:numRef>
              <c:f>[1]Feuil1!$I$29:$I$45</c:f>
              <c:numCache>
                <c:formatCode>General</c:formatCode>
                <c:ptCount val="17"/>
                <c:pt idx="0">
                  <c:v>0.32120177214756751</c:v>
                </c:pt>
                <c:pt idx="1">
                  <c:v>0.22776366284031724</c:v>
                </c:pt>
                <c:pt idx="2">
                  <c:v>0.22909553742586297</c:v>
                </c:pt>
                <c:pt idx="3">
                  <c:v>0.13377323951859665</c:v>
                </c:pt>
                <c:pt idx="4">
                  <c:v>8.0018078294472161E-2</c:v>
                </c:pt>
                <c:pt idx="5">
                  <c:v>0.18346322093820788</c:v>
                </c:pt>
                <c:pt idx="6">
                  <c:v>0.14242220929067884</c:v>
                </c:pt>
                <c:pt idx="7">
                  <c:v>7.1191216113206224E-2</c:v>
                </c:pt>
                <c:pt idx="8">
                  <c:v>0.1167451481635382</c:v>
                </c:pt>
                <c:pt idx="9">
                  <c:v>-4.9049220151758277E-2</c:v>
                </c:pt>
                <c:pt idx="10">
                  <c:v>-8.2011643484563024E-2</c:v>
                </c:pt>
                <c:pt idx="11">
                  <c:v>-1.1003616415102613E-2</c:v>
                </c:pt>
                <c:pt idx="12">
                  <c:v>5.8907461299355646E-3</c:v>
                </c:pt>
                <c:pt idx="13">
                  <c:v>1.5512853376058899E-2</c:v>
                </c:pt>
                <c:pt idx="14">
                  <c:v>-5.7751450433869422E-3</c:v>
                </c:pt>
                <c:pt idx="15">
                  <c:v>-1.5368819408216439E-2</c:v>
                </c:pt>
                <c:pt idx="16">
                  <c:v>-2.8470108053639365E-2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3D-4610-8CBC-5BAFB935F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625439"/>
        <c:axId val="1101640319"/>
      </c:lineChart>
      <c:catAx>
        <c:axId val="1101638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1637439"/>
        <c:crosses val="autoZero"/>
        <c:auto val="1"/>
        <c:lblAlgn val="ctr"/>
        <c:lblOffset val="100"/>
        <c:noMultiLvlLbl val="0"/>
      </c:catAx>
      <c:valAx>
        <c:axId val="110163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1638879"/>
        <c:crosses val="autoZero"/>
        <c:crossBetween val="between"/>
      </c:valAx>
      <c:valAx>
        <c:axId val="110164031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1625439"/>
        <c:crosses val="max"/>
        <c:crossBetween val="between"/>
      </c:valAx>
      <c:catAx>
        <c:axId val="1101625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1640319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 la liquidité bancaire 2022-2026 </a:t>
            </a:r>
          </a:p>
        </c:rich>
      </c:tx>
      <c:layout>
        <c:manualLayout>
          <c:xMode val="edge"/>
          <c:yMode val="edge"/>
          <c:x val="0.29734513274336283"/>
          <c:y val="1.05246670848909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4442298360624539E-2"/>
          <c:y val="7.3620046258812341E-2"/>
          <c:w val="0.91894273127753301"/>
          <c:h val="0.69150653841489673"/>
        </c:manualLayout>
      </c:layout>
      <c:areaChart>
        <c:grouping val="stacked"/>
        <c:varyColors val="0"/>
        <c:ser>
          <c:idx val="0"/>
          <c:order val="0"/>
          <c:tx>
            <c:v>Réserves Obligatoires</c:v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BASE!$A$2:$A$1497</c:f>
              <c:numCache>
                <c:formatCode>m/d/yyyy</c:formatCode>
                <c:ptCount val="1496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  <c:pt idx="1495">
                  <c:v>46057</c:v>
                </c:pt>
              </c:numCache>
            </c:numRef>
          </c:cat>
          <c:val>
            <c:numRef>
              <c:f>BASE!$P$2:$P$1497</c:f>
              <c:numCache>
                <c:formatCode>_-* #\ ##0_-;\-* #\ ##0_-;_-* "-"??_-;_-@_-</c:formatCode>
                <c:ptCount val="1496"/>
                <c:pt idx="0">
                  <c:v>4295.0082800500495</c:v>
                </c:pt>
                <c:pt idx="1">
                  <c:v>4295.0082800500495</c:v>
                </c:pt>
                <c:pt idx="2">
                  <c:v>4295.0082800500495</c:v>
                </c:pt>
                <c:pt idx="3">
                  <c:v>4295.0082800500495</c:v>
                </c:pt>
                <c:pt idx="4">
                  <c:v>4295.0082800500495</c:v>
                </c:pt>
                <c:pt idx="5">
                  <c:v>4295.0082800500495</c:v>
                </c:pt>
                <c:pt idx="6">
                  <c:v>4295.0082800500495</c:v>
                </c:pt>
                <c:pt idx="7">
                  <c:v>4295.0082800500495</c:v>
                </c:pt>
                <c:pt idx="8">
                  <c:v>4295.0082800500495</c:v>
                </c:pt>
                <c:pt idx="9">
                  <c:v>4295.0082800500495</c:v>
                </c:pt>
                <c:pt idx="10">
                  <c:v>4295.0082800500495</c:v>
                </c:pt>
                <c:pt idx="11">
                  <c:v>4295.0082800500495</c:v>
                </c:pt>
                <c:pt idx="12">
                  <c:v>4295.0082800500495</c:v>
                </c:pt>
                <c:pt idx="13">
                  <c:v>4295.0082800500495</c:v>
                </c:pt>
                <c:pt idx="14">
                  <c:v>4295.0082800500495</c:v>
                </c:pt>
                <c:pt idx="15">
                  <c:v>4295.0082800500495</c:v>
                </c:pt>
                <c:pt idx="16">
                  <c:v>4295.0082800500495</c:v>
                </c:pt>
                <c:pt idx="17">
                  <c:v>4295.0082800500495</c:v>
                </c:pt>
                <c:pt idx="18">
                  <c:v>4295.0082800500495</c:v>
                </c:pt>
                <c:pt idx="19">
                  <c:v>4295.0082800500495</c:v>
                </c:pt>
                <c:pt idx="20">
                  <c:v>4295.0082800500495</c:v>
                </c:pt>
                <c:pt idx="21">
                  <c:v>4295.0082800500495</c:v>
                </c:pt>
                <c:pt idx="22">
                  <c:v>4295.0082800500495</c:v>
                </c:pt>
                <c:pt idx="23">
                  <c:v>4485.7732165063499</c:v>
                </c:pt>
                <c:pt idx="24">
                  <c:v>4485.7732165063499</c:v>
                </c:pt>
                <c:pt idx="25">
                  <c:v>4485.7732165063499</c:v>
                </c:pt>
                <c:pt idx="26">
                  <c:v>4485.7732165063499</c:v>
                </c:pt>
                <c:pt idx="27">
                  <c:v>4485.7732165063499</c:v>
                </c:pt>
                <c:pt idx="28">
                  <c:v>4485.7732165063499</c:v>
                </c:pt>
                <c:pt idx="29">
                  <c:v>4485.7732165063499</c:v>
                </c:pt>
                <c:pt idx="30">
                  <c:v>4485.7732165063499</c:v>
                </c:pt>
                <c:pt idx="31">
                  <c:v>4485.7732165063499</c:v>
                </c:pt>
                <c:pt idx="32">
                  <c:v>4485.7732165063499</c:v>
                </c:pt>
                <c:pt idx="33">
                  <c:v>4485.7732165063499</c:v>
                </c:pt>
                <c:pt idx="34">
                  <c:v>4485.7732165063499</c:v>
                </c:pt>
                <c:pt idx="35">
                  <c:v>4485.7732165063499</c:v>
                </c:pt>
                <c:pt idx="36">
                  <c:v>4485.7732165063499</c:v>
                </c:pt>
                <c:pt idx="37">
                  <c:v>4485.7732165063499</c:v>
                </c:pt>
                <c:pt idx="38">
                  <c:v>4485.7732165063499</c:v>
                </c:pt>
                <c:pt idx="39">
                  <c:v>4485.7732165063499</c:v>
                </c:pt>
                <c:pt idx="40">
                  <c:v>4485.7732165063499</c:v>
                </c:pt>
                <c:pt idx="41">
                  <c:v>4485.7732165063499</c:v>
                </c:pt>
                <c:pt idx="42">
                  <c:v>4485.7732165063499</c:v>
                </c:pt>
                <c:pt idx="43">
                  <c:v>4485.7732165063499</c:v>
                </c:pt>
                <c:pt idx="44">
                  <c:v>4485.7732165063499</c:v>
                </c:pt>
                <c:pt idx="45">
                  <c:v>4485.7732165063499</c:v>
                </c:pt>
                <c:pt idx="46">
                  <c:v>4485.7732165063499</c:v>
                </c:pt>
                <c:pt idx="47">
                  <c:v>4485.7732165063499</c:v>
                </c:pt>
                <c:pt idx="48">
                  <c:v>4485.7732165063499</c:v>
                </c:pt>
                <c:pt idx="49">
                  <c:v>4485.7732165063499</c:v>
                </c:pt>
                <c:pt idx="50">
                  <c:v>4485.7732165063499</c:v>
                </c:pt>
                <c:pt idx="51">
                  <c:v>4456.9370432053493</c:v>
                </c:pt>
                <c:pt idx="52">
                  <c:v>4456.9370432053493</c:v>
                </c:pt>
                <c:pt idx="53">
                  <c:v>4456.9370432053493</c:v>
                </c:pt>
                <c:pt idx="54">
                  <c:v>4456.9370432053493</c:v>
                </c:pt>
                <c:pt idx="55">
                  <c:v>4456.9370432053493</c:v>
                </c:pt>
                <c:pt idx="56">
                  <c:v>4456.9370432053493</c:v>
                </c:pt>
                <c:pt idx="57">
                  <c:v>4456.9370432053493</c:v>
                </c:pt>
                <c:pt idx="58">
                  <c:v>4456.9370432053493</c:v>
                </c:pt>
                <c:pt idx="59">
                  <c:v>4456.9370432053493</c:v>
                </c:pt>
                <c:pt idx="60">
                  <c:v>4456.9370432053493</c:v>
                </c:pt>
                <c:pt idx="61">
                  <c:v>4456.9370432053493</c:v>
                </c:pt>
                <c:pt idx="62">
                  <c:v>4456.9370432053493</c:v>
                </c:pt>
                <c:pt idx="63">
                  <c:v>4456.9370432053493</c:v>
                </c:pt>
                <c:pt idx="64">
                  <c:v>4456.9370432053493</c:v>
                </c:pt>
                <c:pt idx="65">
                  <c:v>4456.9370432053493</c:v>
                </c:pt>
                <c:pt idx="66">
                  <c:v>4456.9370432053493</c:v>
                </c:pt>
                <c:pt idx="67">
                  <c:v>4456.9370432053493</c:v>
                </c:pt>
                <c:pt idx="68">
                  <c:v>4456.9370432053493</c:v>
                </c:pt>
                <c:pt idx="69">
                  <c:v>4456.9370432053493</c:v>
                </c:pt>
                <c:pt idx="70">
                  <c:v>4456.9370432053493</c:v>
                </c:pt>
                <c:pt idx="71">
                  <c:v>4456.9370432053493</c:v>
                </c:pt>
                <c:pt idx="72">
                  <c:v>4456.9370432053493</c:v>
                </c:pt>
                <c:pt idx="73">
                  <c:v>4456.9370432053493</c:v>
                </c:pt>
                <c:pt idx="74">
                  <c:v>4456.9370432053493</c:v>
                </c:pt>
                <c:pt idx="75">
                  <c:v>4456.9370432053493</c:v>
                </c:pt>
                <c:pt idx="76">
                  <c:v>4456.9370432053493</c:v>
                </c:pt>
                <c:pt idx="77">
                  <c:v>4456.9370432053493</c:v>
                </c:pt>
                <c:pt idx="78">
                  <c:v>4456.9370432053493</c:v>
                </c:pt>
                <c:pt idx="79">
                  <c:v>4473.8409049871998</c:v>
                </c:pt>
                <c:pt idx="80">
                  <c:v>4473.8409049871998</c:v>
                </c:pt>
                <c:pt idx="81">
                  <c:v>4473.8409049871998</c:v>
                </c:pt>
                <c:pt idx="82">
                  <c:v>4473.8409049871998</c:v>
                </c:pt>
                <c:pt idx="83">
                  <c:v>4473.8409049871998</c:v>
                </c:pt>
                <c:pt idx="84">
                  <c:v>4473.8409049871998</c:v>
                </c:pt>
                <c:pt idx="85">
                  <c:v>4473.8409049871998</c:v>
                </c:pt>
                <c:pt idx="86">
                  <c:v>4473.8409049871998</c:v>
                </c:pt>
                <c:pt idx="87">
                  <c:v>4473.8409049871998</c:v>
                </c:pt>
                <c:pt idx="88">
                  <c:v>4473.8409049871998</c:v>
                </c:pt>
                <c:pt idx="89">
                  <c:v>4473.8409049871998</c:v>
                </c:pt>
                <c:pt idx="90">
                  <c:v>4473.8409049871998</c:v>
                </c:pt>
                <c:pt idx="91">
                  <c:v>4473.8409049871998</c:v>
                </c:pt>
                <c:pt idx="92">
                  <c:v>4473.8409049871998</c:v>
                </c:pt>
                <c:pt idx="93">
                  <c:v>4473.8409049871998</c:v>
                </c:pt>
                <c:pt idx="94">
                  <c:v>4473.8409049871998</c:v>
                </c:pt>
                <c:pt idx="95">
                  <c:v>4473.8409049871998</c:v>
                </c:pt>
                <c:pt idx="96">
                  <c:v>4473.8409049871998</c:v>
                </c:pt>
                <c:pt idx="97">
                  <c:v>4473.8409049871998</c:v>
                </c:pt>
                <c:pt idx="98">
                  <c:v>4473.8409049871998</c:v>
                </c:pt>
                <c:pt idx="99">
                  <c:v>4473.8409049871998</c:v>
                </c:pt>
                <c:pt idx="100">
                  <c:v>4473.8409049871998</c:v>
                </c:pt>
                <c:pt idx="101">
                  <c:v>4473.8409049871998</c:v>
                </c:pt>
                <c:pt idx="102">
                  <c:v>4473.8409049871998</c:v>
                </c:pt>
                <c:pt idx="103">
                  <c:v>4473.8409049871998</c:v>
                </c:pt>
                <c:pt idx="104">
                  <c:v>4473.8409049871998</c:v>
                </c:pt>
                <c:pt idx="105">
                  <c:v>4473.8409049871998</c:v>
                </c:pt>
                <c:pt idx="106">
                  <c:v>4473.8409049871998</c:v>
                </c:pt>
                <c:pt idx="107">
                  <c:v>4423.4532930188998</c:v>
                </c:pt>
                <c:pt idx="108">
                  <c:v>4423.4532930188998</c:v>
                </c:pt>
                <c:pt idx="109">
                  <c:v>4423.4532930188998</c:v>
                </c:pt>
                <c:pt idx="110">
                  <c:v>4423.4532930188998</c:v>
                </c:pt>
                <c:pt idx="111">
                  <c:v>4423.4532930188998</c:v>
                </c:pt>
                <c:pt idx="112">
                  <c:v>4423.4532930188998</c:v>
                </c:pt>
                <c:pt idx="113">
                  <c:v>4423.4532930188998</c:v>
                </c:pt>
                <c:pt idx="114">
                  <c:v>4423.4532930188998</c:v>
                </c:pt>
                <c:pt idx="115">
                  <c:v>4423.4532930188998</c:v>
                </c:pt>
                <c:pt idx="116">
                  <c:v>4423.4532930188998</c:v>
                </c:pt>
                <c:pt idx="117">
                  <c:v>4423.4532930188998</c:v>
                </c:pt>
                <c:pt idx="118">
                  <c:v>4423.4532930188998</c:v>
                </c:pt>
                <c:pt idx="119">
                  <c:v>4423.4532930188998</c:v>
                </c:pt>
                <c:pt idx="120">
                  <c:v>4423.4532930188998</c:v>
                </c:pt>
                <c:pt idx="121">
                  <c:v>4423.4532930188998</c:v>
                </c:pt>
                <c:pt idx="122">
                  <c:v>4423.4532930188998</c:v>
                </c:pt>
                <c:pt idx="123">
                  <c:v>4423.4532930188998</c:v>
                </c:pt>
                <c:pt idx="124">
                  <c:v>4423.4532930188998</c:v>
                </c:pt>
                <c:pt idx="125">
                  <c:v>4423.4532930188998</c:v>
                </c:pt>
                <c:pt idx="126">
                  <c:v>4423.4532930188998</c:v>
                </c:pt>
                <c:pt idx="127">
                  <c:v>4423.4532930188998</c:v>
                </c:pt>
                <c:pt idx="128">
                  <c:v>4423.4532930188998</c:v>
                </c:pt>
                <c:pt idx="129">
                  <c:v>4423.4532930188998</c:v>
                </c:pt>
                <c:pt idx="130">
                  <c:v>4423.4532930188998</c:v>
                </c:pt>
                <c:pt idx="131">
                  <c:v>4423.4532930188998</c:v>
                </c:pt>
                <c:pt idx="132">
                  <c:v>4423.4532930188998</c:v>
                </c:pt>
                <c:pt idx="133">
                  <c:v>4423.4532930188998</c:v>
                </c:pt>
                <c:pt idx="134">
                  <c:v>4423.4532930188998</c:v>
                </c:pt>
                <c:pt idx="135">
                  <c:v>4379.6979507747001</c:v>
                </c:pt>
                <c:pt idx="136">
                  <c:v>4379.6979507747001</c:v>
                </c:pt>
                <c:pt idx="137">
                  <c:v>4379.6979507747001</c:v>
                </c:pt>
                <c:pt idx="138">
                  <c:v>4379.6979507747001</c:v>
                </c:pt>
                <c:pt idx="139">
                  <c:v>4379.6979507747001</c:v>
                </c:pt>
                <c:pt idx="140">
                  <c:v>4379.6979507747001</c:v>
                </c:pt>
                <c:pt idx="141">
                  <c:v>4379.6979507747001</c:v>
                </c:pt>
                <c:pt idx="142">
                  <c:v>4379.6979507747001</c:v>
                </c:pt>
                <c:pt idx="143">
                  <c:v>4379.6979507747001</c:v>
                </c:pt>
                <c:pt idx="144">
                  <c:v>4379.6979507747001</c:v>
                </c:pt>
                <c:pt idx="145">
                  <c:v>4379.6979507747001</c:v>
                </c:pt>
                <c:pt idx="146">
                  <c:v>4379.6979507747001</c:v>
                </c:pt>
                <c:pt idx="147">
                  <c:v>4379.6979507747001</c:v>
                </c:pt>
                <c:pt idx="148">
                  <c:v>4379.6979507747001</c:v>
                </c:pt>
                <c:pt idx="149">
                  <c:v>4379.6979507747001</c:v>
                </c:pt>
                <c:pt idx="150">
                  <c:v>4379.6979507747001</c:v>
                </c:pt>
                <c:pt idx="151">
                  <c:v>4379.6979507747001</c:v>
                </c:pt>
                <c:pt idx="152">
                  <c:v>4379.6979507747001</c:v>
                </c:pt>
                <c:pt idx="153">
                  <c:v>4379.6979507747001</c:v>
                </c:pt>
                <c:pt idx="154">
                  <c:v>4379.6979507747001</c:v>
                </c:pt>
                <c:pt idx="155">
                  <c:v>4379.6979507747001</c:v>
                </c:pt>
                <c:pt idx="156">
                  <c:v>4379.6979507747001</c:v>
                </c:pt>
                <c:pt idx="157">
                  <c:v>4379.6979507747001</c:v>
                </c:pt>
                <c:pt idx="158">
                  <c:v>4379.6979507747001</c:v>
                </c:pt>
                <c:pt idx="159">
                  <c:v>4379.6979507747001</c:v>
                </c:pt>
                <c:pt idx="160">
                  <c:v>4379.6979507747001</c:v>
                </c:pt>
                <c:pt idx="161">
                  <c:v>4379.6979507747001</c:v>
                </c:pt>
                <c:pt idx="162">
                  <c:v>4379.6979507747001</c:v>
                </c:pt>
                <c:pt idx="163">
                  <c:v>4382.9351079973494</c:v>
                </c:pt>
                <c:pt idx="164">
                  <c:v>4382.9351079973494</c:v>
                </c:pt>
                <c:pt idx="165">
                  <c:v>4382.9351079973494</c:v>
                </c:pt>
                <c:pt idx="166">
                  <c:v>4382.9351079973494</c:v>
                </c:pt>
                <c:pt idx="167">
                  <c:v>4382.9351079973494</c:v>
                </c:pt>
                <c:pt idx="168">
                  <c:v>4382.9351079973494</c:v>
                </c:pt>
                <c:pt idx="169">
                  <c:v>4382.9351079973494</c:v>
                </c:pt>
                <c:pt idx="170">
                  <c:v>4382.9351079973494</c:v>
                </c:pt>
                <c:pt idx="171">
                  <c:v>4382.9351079973494</c:v>
                </c:pt>
                <c:pt idx="172">
                  <c:v>4382.9351079973494</c:v>
                </c:pt>
                <c:pt idx="173">
                  <c:v>4382.9351079973494</c:v>
                </c:pt>
                <c:pt idx="174">
                  <c:v>4382.9351079973494</c:v>
                </c:pt>
                <c:pt idx="175">
                  <c:v>4382.9351079973494</c:v>
                </c:pt>
                <c:pt idx="176">
                  <c:v>4382.9351079973494</c:v>
                </c:pt>
                <c:pt idx="177">
                  <c:v>4382.9351079973494</c:v>
                </c:pt>
                <c:pt idx="178">
                  <c:v>4382.9351079973494</c:v>
                </c:pt>
                <c:pt idx="179">
                  <c:v>4382.9351079973494</c:v>
                </c:pt>
                <c:pt idx="180">
                  <c:v>4382.9351079973494</c:v>
                </c:pt>
                <c:pt idx="181">
                  <c:v>4382.9351079973494</c:v>
                </c:pt>
                <c:pt idx="182">
                  <c:v>4382.9351079973494</c:v>
                </c:pt>
                <c:pt idx="183">
                  <c:v>4382.9351079973494</c:v>
                </c:pt>
                <c:pt idx="184">
                  <c:v>4382.9351079973494</c:v>
                </c:pt>
                <c:pt idx="185">
                  <c:v>4382.9351079973494</c:v>
                </c:pt>
                <c:pt idx="186">
                  <c:v>4382.9351079973494</c:v>
                </c:pt>
                <c:pt idx="187">
                  <c:v>4382.9351079973494</c:v>
                </c:pt>
                <c:pt idx="188">
                  <c:v>4382.9351079973494</c:v>
                </c:pt>
                <c:pt idx="189">
                  <c:v>4382.9351079973494</c:v>
                </c:pt>
                <c:pt idx="190">
                  <c:v>4382.9351079973494</c:v>
                </c:pt>
                <c:pt idx="191">
                  <c:v>4304.1914768826</c:v>
                </c:pt>
                <c:pt idx="192">
                  <c:v>4304.1914768826</c:v>
                </c:pt>
                <c:pt idx="193">
                  <c:v>4304.1914768826</c:v>
                </c:pt>
                <c:pt idx="194">
                  <c:v>4304.1914768826</c:v>
                </c:pt>
                <c:pt idx="195">
                  <c:v>4304.1914768826</c:v>
                </c:pt>
                <c:pt idx="196">
                  <c:v>4304.1914768826</c:v>
                </c:pt>
                <c:pt idx="197">
                  <c:v>4304.1914768826</c:v>
                </c:pt>
                <c:pt idx="198">
                  <c:v>4304.1914768826</c:v>
                </c:pt>
                <c:pt idx="199">
                  <c:v>4304.1914768826</c:v>
                </c:pt>
                <c:pt idx="200">
                  <c:v>4304.1914768826</c:v>
                </c:pt>
                <c:pt idx="201">
                  <c:v>4304.1914768826</c:v>
                </c:pt>
                <c:pt idx="202">
                  <c:v>4304.1914768826</c:v>
                </c:pt>
                <c:pt idx="203">
                  <c:v>4304.1914768826</c:v>
                </c:pt>
                <c:pt idx="204">
                  <c:v>4304.1914768826</c:v>
                </c:pt>
                <c:pt idx="205">
                  <c:v>4304.1914768826</c:v>
                </c:pt>
                <c:pt idx="206">
                  <c:v>4304.1914768826</c:v>
                </c:pt>
                <c:pt idx="207">
                  <c:v>4304.1914768826</c:v>
                </c:pt>
                <c:pt idx="208">
                  <c:v>4304.1914768826</c:v>
                </c:pt>
                <c:pt idx="209">
                  <c:v>4304.1914768826</c:v>
                </c:pt>
                <c:pt idx="210">
                  <c:v>4304.1914768826</c:v>
                </c:pt>
                <c:pt idx="211">
                  <c:v>4304.1914768826</c:v>
                </c:pt>
                <c:pt idx="212">
                  <c:v>4304.1914768826</c:v>
                </c:pt>
                <c:pt idx="213">
                  <c:v>4304.1914768826</c:v>
                </c:pt>
                <c:pt idx="214">
                  <c:v>4304.1914768826</c:v>
                </c:pt>
                <c:pt idx="215">
                  <c:v>4304.1914768826</c:v>
                </c:pt>
                <c:pt idx="216">
                  <c:v>4304.1914768826</c:v>
                </c:pt>
                <c:pt idx="217">
                  <c:v>4304.1914768826</c:v>
                </c:pt>
                <c:pt idx="218">
                  <c:v>4304.1914768826</c:v>
                </c:pt>
                <c:pt idx="219">
                  <c:v>4264.2956846608622</c:v>
                </c:pt>
                <c:pt idx="220">
                  <c:v>4264.2956846608622</c:v>
                </c:pt>
                <c:pt idx="221">
                  <c:v>4264.2956846608622</c:v>
                </c:pt>
                <c:pt idx="222">
                  <c:v>4264.2956846608622</c:v>
                </c:pt>
                <c:pt idx="223">
                  <c:v>4264.2956846608622</c:v>
                </c:pt>
                <c:pt idx="224">
                  <c:v>4264.2956846608622</c:v>
                </c:pt>
                <c:pt idx="225">
                  <c:v>4264.2956846608622</c:v>
                </c:pt>
                <c:pt idx="226">
                  <c:v>4264.2956846608622</c:v>
                </c:pt>
                <c:pt idx="227">
                  <c:v>4264.2956846608622</c:v>
                </c:pt>
                <c:pt idx="228">
                  <c:v>4264.2956846608622</c:v>
                </c:pt>
                <c:pt idx="229">
                  <c:v>4264.2956846608622</c:v>
                </c:pt>
                <c:pt idx="230">
                  <c:v>4264.2956846608622</c:v>
                </c:pt>
                <c:pt idx="231">
                  <c:v>4264.2956846608622</c:v>
                </c:pt>
                <c:pt idx="232">
                  <c:v>4264.2956846608622</c:v>
                </c:pt>
                <c:pt idx="233">
                  <c:v>4264.2956846608622</c:v>
                </c:pt>
                <c:pt idx="234">
                  <c:v>4264.2956846608622</c:v>
                </c:pt>
                <c:pt idx="235">
                  <c:v>4264.2956846608622</c:v>
                </c:pt>
                <c:pt idx="236">
                  <c:v>4264.2956846608622</c:v>
                </c:pt>
                <c:pt idx="237">
                  <c:v>4264.2956846608622</c:v>
                </c:pt>
                <c:pt idx="238">
                  <c:v>4264.2956846608622</c:v>
                </c:pt>
                <c:pt idx="239">
                  <c:v>4264.2956846608622</c:v>
                </c:pt>
                <c:pt idx="240">
                  <c:v>4264.2956846608622</c:v>
                </c:pt>
                <c:pt idx="241">
                  <c:v>4264.2956846608622</c:v>
                </c:pt>
                <c:pt idx="242">
                  <c:v>4264.2956846608622</c:v>
                </c:pt>
                <c:pt idx="243">
                  <c:v>4264.2956846608622</c:v>
                </c:pt>
                <c:pt idx="244">
                  <c:v>4264.2956846608622</c:v>
                </c:pt>
                <c:pt idx="245">
                  <c:v>4264.2956846608622</c:v>
                </c:pt>
                <c:pt idx="246">
                  <c:v>4264.2956846608622</c:v>
                </c:pt>
                <c:pt idx="247">
                  <c:v>4272.9214019600477</c:v>
                </c:pt>
                <c:pt idx="248">
                  <c:v>4272.9214019600477</c:v>
                </c:pt>
                <c:pt idx="249">
                  <c:v>4272.9214019600477</c:v>
                </c:pt>
                <c:pt idx="250">
                  <c:v>4272.9214019600477</c:v>
                </c:pt>
                <c:pt idx="251">
                  <c:v>4272.9214019600477</c:v>
                </c:pt>
                <c:pt idx="252">
                  <c:v>4272.9214019600477</c:v>
                </c:pt>
                <c:pt idx="253">
                  <c:v>4272.9214019600477</c:v>
                </c:pt>
                <c:pt idx="254">
                  <c:v>4272.9214019600477</c:v>
                </c:pt>
                <c:pt idx="255">
                  <c:v>4272.9214019600477</c:v>
                </c:pt>
                <c:pt idx="256">
                  <c:v>4272.9214019600477</c:v>
                </c:pt>
                <c:pt idx="257">
                  <c:v>4272.9214019600477</c:v>
                </c:pt>
                <c:pt idx="258">
                  <c:v>4272.9214019600477</c:v>
                </c:pt>
                <c:pt idx="259">
                  <c:v>4272.9214019600477</c:v>
                </c:pt>
                <c:pt idx="260">
                  <c:v>4272.9214019600477</c:v>
                </c:pt>
                <c:pt idx="261">
                  <c:v>4272.9214019600477</c:v>
                </c:pt>
                <c:pt idx="262">
                  <c:v>4272.9214019600477</c:v>
                </c:pt>
                <c:pt idx="263">
                  <c:v>4272.9214019600477</c:v>
                </c:pt>
                <c:pt idx="264">
                  <c:v>4272.9214019600477</c:v>
                </c:pt>
                <c:pt idx="265">
                  <c:v>4272.9214019600477</c:v>
                </c:pt>
                <c:pt idx="266">
                  <c:v>4272.9214019600477</c:v>
                </c:pt>
                <c:pt idx="267">
                  <c:v>4272.9214019600477</c:v>
                </c:pt>
                <c:pt idx="268">
                  <c:v>4272.9214019600477</c:v>
                </c:pt>
                <c:pt idx="269">
                  <c:v>4272.9214019600477</c:v>
                </c:pt>
                <c:pt idx="270">
                  <c:v>4272.9214019600477</c:v>
                </c:pt>
                <c:pt idx="271">
                  <c:v>4272.9214019600477</c:v>
                </c:pt>
                <c:pt idx="272">
                  <c:v>4272.9214019600477</c:v>
                </c:pt>
                <c:pt idx="273">
                  <c:v>4272.9214019600477</c:v>
                </c:pt>
                <c:pt idx="274">
                  <c:v>4272.9214019600477</c:v>
                </c:pt>
                <c:pt idx="275">
                  <c:v>4316.7849218808569</c:v>
                </c:pt>
                <c:pt idx="276">
                  <c:v>4316.7849218808569</c:v>
                </c:pt>
                <c:pt idx="277">
                  <c:v>4316.7849218808569</c:v>
                </c:pt>
                <c:pt idx="278">
                  <c:v>4316.7849218808569</c:v>
                </c:pt>
                <c:pt idx="279">
                  <c:v>4316.7849218808569</c:v>
                </c:pt>
                <c:pt idx="280">
                  <c:v>4316.7849218808569</c:v>
                </c:pt>
                <c:pt idx="281">
                  <c:v>4316.7849218808569</c:v>
                </c:pt>
                <c:pt idx="282">
                  <c:v>4316.7849218808569</c:v>
                </c:pt>
                <c:pt idx="283">
                  <c:v>4316.7849218808569</c:v>
                </c:pt>
                <c:pt idx="284">
                  <c:v>4316.7849218808569</c:v>
                </c:pt>
                <c:pt idx="285">
                  <c:v>4316.7849218808569</c:v>
                </c:pt>
                <c:pt idx="286">
                  <c:v>4316.7849218808569</c:v>
                </c:pt>
                <c:pt idx="287">
                  <c:v>4316.7849218808569</c:v>
                </c:pt>
                <c:pt idx="288">
                  <c:v>4316.7849218808569</c:v>
                </c:pt>
                <c:pt idx="289">
                  <c:v>4316.7849218808569</c:v>
                </c:pt>
                <c:pt idx="290">
                  <c:v>4316.7849218808569</c:v>
                </c:pt>
                <c:pt idx="291">
                  <c:v>4316.7849218808569</c:v>
                </c:pt>
                <c:pt idx="292">
                  <c:v>4316.7849218808569</c:v>
                </c:pt>
                <c:pt idx="293">
                  <c:v>4316.7849218808569</c:v>
                </c:pt>
                <c:pt idx="294">
                  <c:v>4316.7849218808569</c:v>
                </c:pt>
                <c:pt idx="295">
                  <c:v>4316.7849218808569</c:v>
                </c:pt>
                <c:pt idx="296">
                  <c:v>4316.7849218808569</c:v>
                </c:pt>
                <c:pt idx="297">
                  <c:v>4316.7849218808569</c:v>
                </c:pt>
                <c:pt idx="298">
                  <c:v>4316.7849218808569</c:v>
                </c:pt>
                <c:pt idx="299">
                  <c:v>4316.7849218808569</c:v>
                </c:pt>
                <c:pt idx="300">
                  <c:v>4316.7849218808569</c:v>
                </c:pt>
                <c:pt idx="301">
                  <c:v>4316.7849218808569</c:v>
                </c:pt>
                <c:pt idx="302">
                  <c:v>4316.7849218808569</c:v>
                </c:pt>
                <c:pt idx="303">
                  <c:v>4289.8474997557469</c:v>
                </c:pt>
                <c:pt idx="304">
                  <c:v>4289.8474997557469</c:v>
                </c:pt>
                <c:pt idx="305">
                  <c:v>4289.8474997557469</c:v>
                </c:pt>
                <c:pt idx="306">
                  <c:v>4289.8474997557469</c:v>
                </c:pt>
                <c:pt idx="307">
                  <c:v>4289.8474997557469</c:v>
                </c:pt>
                <c:pt idx="308">
                  <c:v>4289.8474997557469</c:v>
                </c:pt>
                <c:pt idx="309">
                  <c:v>4289.8474997557469</c:v>
                </c:pt>
                <c:pt idx="310">
                  <c:v>4289.8474997557469</c:v>
                </c:pt>
                <c:pt idx="311">
                  <c:v>4289.8474997557469</c:v>
                </c:pt>
                <c:pt idx="312">
                  <c:v>4289.8474997557469</c:v>
                </c:pt>
                <c:pt idx="313">
                  <c:v>4289.8474997557469</c:v>
                </c:pt>
                <c:pt idx="314">
                  <c:v>4289.8474997557469</c:v>
                </c:pt>
                <c:pt idx="315">
                  <c:v>4289.8474997557469</c:v>
                </c:pt>
                <c:pt idx="316">
                  <c:v>4289.8474997557469</c:v>
                </c:pt>
                <c:pt idx="317">
                  <c:v>4289.8474997557469</c:v>
                </c:pt>
                <c:pt idx="318">
                  <c:v>4289.8474997557469</c:v>
                </c:pt>
                <c:pt idx="319">
                  <c:v>4289.8474997557469</c:v>
                </c:pt>
                <c:pt idx="320">
                  <c:v>4289.8474997557469</c:v>
                </c:pt>
                <c:pt idx="321">
                  <c:v>4289.8474997557469</c:v>
                </c:pt>
                <c:pt idx="322">
                  <c:v>4289.8474997557469</c:v>
                </c:pt>
                <c:pt idx="323">
                  <c:v>4289.8474997557469</c:v>
                </c:pt>
                <c:pt idx="324">
                  <c:v>4289.8474997557469</c:v>
                </c:pt>
                <c:pt idx="325">
                  <c:v>4289.8474997557469</c:v>
                </c:pt>
                <c:pt idx="326">
                  <c:v>4289.8474997557469</c:v>
                </c:pt>
                <c:pt idx="327">
                  <c:v>4289.8474997557469</c:v>
                </c:pt>
                <c:pt idx="328">
                  <c:v>4289.8474997557469</c:v>
                </c:pt>
                <c:pt idx="329">
                  <c:v>4289.8474997557469</c:v>
                </c:pt>
                <c:pt idx="330">
                  <c:v>4289.8474997557469</c:v>
                </c:pt>
                <c:pt idx="331">
                  <c:v>4391.6376002729121</c:v>
                </c:pt>
                <c:pt idx="332">
                  <c:v>4391.6376002729121</c:v>
                </c:pt>
                <c:pt idx="333">
                  <c:v>4391.6376002729121</c:v>
                </c:pt>
                <c:pt idx="334">
                  <c:v>4391.6376002729121</c:v>
                </c:pt>
                <c:pt idx="335">
                  <c:v>4391.6376002729121</c:v>
                </c:pt>
                <c:pt idx="336">
                  <c:v>4391.6376002729121</c:v>
                </c:pt>
                <c:pt idx="337">
                  <c:v>4391.6376002729121</c:v>
                </c:pt>
                <c:pt idx="338">
                  <c:v>4391.6376002729121</c:v>
                </c:pt>
                <c:pt idx="339">
                  <c:v>4391.6376002729121</c:v>
                </c:pt>
                <c:pt idx="340">
                  <c:v>4391.6376002729121</c:v>
                </c:pt>
                <c:pt idx="341">
                  <c:v>4391.6376002729121</c:v>
                </c:pt>
                <c:pt idx="342">
                  <c:v>4391.6376002729121</c:v>
                </c:pt>
                <c:pt idx="343">
                  <c:v>4391.6376002729121</c:v>
                </c:pt>
                <c:pt idx="344">
                  <c:v>4391.6376002729121</c:v>
                </c:pt>
                <c:pt idx="345">
                  <c:v>4391.6376002729121</c:v>
                </c:pt>
                <c:pt idx="346">
                  <c:v>4391.6376002729121</c:v>
                </c:pt>
                <c:pt idx="347">
                  <c:v>4391.6376002729121</c:v>
                </c:pt>
                <c:pt idx="348">
                  <c:v>4391.6376002729121</c:v>
                </c:pt>
                <c:pt idx="349">
                  <c:v>4391.6376002729121</c:v>
                </c:pt>
                <c:pt idx="350">
                  <c:v>4391.6376002729121</c:v>
                </c:pt>
                <c:pt idx="351">
                  <c:v>4391.6376002729121</c:v>
                </c:pt>
                <c:pt idx="352">
                  <c:v>4391.6376002729121</c:v>
                </c:pt>
                <c:pt idx="353">
                  <c:v>4391.6376002729121</c:v>
                </c:pt>
                <c:pt idx="354">
                  <c:v>4391.6376002729121</c:v>
                </c:pt>
                <c:pt idx="355">
                  <c:v>4391.6376002729121</c:v>
                </c:pt>
                <c:pt idx="356">
                  <c:v>4391.6376002729121</c:v>
                </c:pt>
                <c:pt idx="357">
                  <c:v>4391.6376002729121</c:v>
                </c:pt>
                <c:pt idx="358">
                  <c:v>4391.6376002729121</c:v>
                </c:pt>
                <c:pt idx="359">
                  <c:v>4501.066488096707</c:v>
                </c:pt>
                <c:pt idx="360">
                  <c:v>4501.066488096707</c:v>
                </c:pt>
                <c:pt idx="361">
                  <c:v>4501.066488096707</c:v>
                </c:pt>
                <c:pt idx="362">
                  <c:v>4501.066488096707</c:v>
                </c:pt>
                <c:pt idx="363">
                  <c:v>4501.066488096707</c:v>
                </c:pt>
                <c:pt idx="364">
                  <c:v>4501.066488096707</c:v>
                </c:pt>
                <c:pt idx="365">
                  <c:v>4501.066488096707</c:v>
                </c:pt>
                <c:pt idx="366">
                  <c:v>4501.066488096707</c:v>
                </c:pt>
                <c:pt idx="367">
                  <c:v>4501.066488096707</c:v>
                </c:pt>
                <c:pt idx="368">
                  <c:v>4501.066488096707</c:v>
                </c:pt>
                <c:pt idx="369">
                  <c:v>4501.066488096707</c:v>
                </c:pt>
                <c:pt idx="370">
                  <c:v>4501.066488096707</c:v>
                </c:pt>
                <c:pt idx="371">
                  <c:v>4501.066488096707</c:v>
                </c:pt>
                <c:pt idx="372">
                  <c:v>4501.066488096707</c:v>
                </c:pt>
                <c:pt idx="373">
                  <c:v>4501.066488096707</c:v>
                </c:pt>
                <c:pt idx="374">
                  <c:v>4501.066488096707</c:v>
                </c:pt>
                <c:pt idx="375">
                  <c:v>4501.066488096707</c:v>
                </c:pt>
                <c:pt idx="376">
                  <c:v>4501.066488096707</c:v>
                </c:pt>
                <c:pt idx="377">
                  <c:v>4501.066488096707</c:v>
                </c:pt>
                <c:pt idx="378">
                  <c:v>4501.066488096707</c:v>
                </c:pt>
                <c:pt idx="379">
                  <c:v>4501.066488096707</c:v>
                </c:pt>
                <c:pt idx="380">
                  <c:v>4501.066488096707</c:v>
                </c:pt>
                <c:pt idx="381">
                  <c:v>4501.066488096707</c:v>
                </c:pt>
                <c:pt idx="382">
                  <c:v>4501.066488096707</c:v>
                </c:pt>
                <c:pt idx="383">
                  <c:v>4501.066488096707</c:v>
                </c:pt>
                <c:pt idx="384">
                  <c:v>4501.066488096707</c:v>
                </c:pt>
                <c:pt idx="385">
                  <c:v>4501.066488096707</c:v>
                </c:pt>
                <c:pt idx="386">
                  <c:v>4501.066488096707</c:v>
                </c:pt>
                <c:pt idx="387">
                  <c:v>4731.8898983707877</c:v>
                </c:pt>
                <c:pt idx="388">
                  <c:v>4731.8898983707877</c:v>
                </c:pt>
                <c:pt idx="389">
                  <c:v>4731.8898983707877</c:v>
                </c:pt>
                <c:pt idx="390">
                  <c:v>4731.8898983707877</c:v>
                </c:pt>
                <c:pt idx="391">
                  <c:v>4731.8898983707877</c:v>
                </c:pt>
                <c:pt idx="392">
                  <c:v>4731.8898983707877</c:v>
                </c:pt>
                <c:pt idx="393">
                  <c:v>4731.8898983707877</c:v>
                </c:pt>
                <c:pt idx="394">
                  <c:v>4731.8898983707877</c:v>
                </c:pt>
                <c:pt idx="395">
                  <c:v>4731.8898983707877</c:v>
                </c:pt>
                <c:pt idx="396">
                  <c:v>4731.8898983707877</c:v>
                </c:pt>
                <c:pt idx="397">
                  <c:v>4731.8898983707877</c:v>
                </c:pt>
                <c:pt idx="398">
                  <c:v>4731.8898983707877</c:v>
                </c:pt>
                <c:pt idx="399">
                  <c:v>4731.8898983707877</c:v>
                </c:pt>
                <c:pt idx="400">
                  <c:v>4731.8898983707877</c:v>
                </c:pt>
                <c:pt idx="401">
                  <c:v>4731.8898983707877</c:v>
                </c:pt>
                <c:pt idx="402">
                  <c:v>4731.8898983707877</c:v>
                </c:pt>
                <c:pt idx="403">
                  <c:v>4731.8898983707877</c:v>
                </c:pt>
                <c:pt idx="404">
                  <c:v>4731.8898983707877</c:v>
                </c:pt>
                <c:pt idx="405">
                  <c:v>4731.8898983707877</c:v>
                </c:pt>
                <c:pt idx="406">
                  <c:v>4731.8898983707877</c:v>
                </c:pt>
                <c:pt idx="407">
                  <c:v>4731.8898983707877</c:v>
                </c:pt>
                <c:pt idx="408">
                  <c:v>4731.8898983707877</c:v>
                </c:pt>
                <c:pt idx="409">
                  <c:v>4731.8898983707877</c:v>
                </c:pt>
                <c:pt idx="410">
                  <c:v>4731.8898983707877</c:v>
                </c:pt>
                <c:pt idx="411">
                  <c:v>4731.8898983707877</c:v>
                </c:pt>
                <c:pt idx="412">
                  <c:v>4731.8898983707877</c:v>
                </c:pt>
                <c:pt idx="413">
                  <c:v>4731.8898983707877</c:v>
                </c:pt>
                <c:pt idx="414">
                  <c:v>4731.8898983707877</c:v>
                </c:pt>
                <c:pt idx="415">
                  <c:v>4755.3615697063315</c:v>
                </c:pt>
                <c:pt idx="416">
                  <c:v>4755.3615697063315</c:v>
                </c:pt>
                <c:pt idx="417">
                  <c:v>4755.3615697063315</c:v>
                </c:pt>
                <c:pt idx="418">
                  <c:v>4755.3615697063315</c:v>
                </c:pt>
                <c:pt idx="419">
                  <c:v>4755.3615697063315</c:v>
                </c:pt>
                <c:pt idx="420">
                  <c:v>4755.3615697063315</c:v>
                </c:pt>
                <c:pt idx="421">
                  <c:v>4755.3615697063315</c:v>
                </c:pt>
                <c:pt idx="422">
                  <c:v>4755.3615697063315</c:v>
                </c:pt>
                <c:pt idx="423">
                  <c:v>4755.3615697063315</c:v>
                </c:pt>
                <c:pt idx="424">
                  <c:v>4755.3615697063315</c:v>
                </c:pt>
                <c:pt idx="425">
                  <c:v>4755.3615697063315</c:v>
                </c:pt>
                <c:pt idx="426">
                  <c:v>4755.3615697063315</c:v>
                </c:pt>
                <c:pt idx="427">
                  <c:v>4755.3615697063315</c:v>
                </c:pt>
                <c:pt idx="428">
                  <c:v>4755.3615697063315</c:v>
                </c:pt>
                <c:pt idx="429">
                  <c:v>4755.3615697063315</c:v>
                </c:pt>
                <c:pt idx="430">
                  <c:v>4755.3615697063315</c:v>
                </c:pt>
                <c:pt idx="431">
                  <c:v>4755.3615697063315</c:v>
                </c:pt>
                <c:pt idx="432">
                  <c:v>4755.3615697063315</c:v>
                </c:pt>
                <c:pt idx="433">
                  <c:v>4755.3615697063315</c:v>
                </c:pt>
                <c:pt idx="434">
                  <c:v>4755.3615697063315</c:v>
                </c:pt>
                <c:pt idx="435">
                  <c:v>4755.3615697063315</c:v>
                </c:pt>
                <c:pt idx="436">
                  <c:v>4755.3615697063315</c:v>
                </c:pt>
                <c:pt idx="437">
                  <c:v>4755.3615697063315</c:v>
                </c:pt>
                <c:pt idx="438">
                  <c:v>4755.3615697063315</c:v>
                </c:pt>
                <c:pt idx="439">
                  <c:v>4755.3615697063315</c:v>
                </c:pt>
                <c:pt idx="440">
                  <c:v>4755.3615697063315</c:v>
                </c:pt>
                <c:pt idx="441">
                  <c:v>4755.3615697063315</c:v>
                </c:pt>
                <c:pt idx="442">
                  <c:v>4755.3615697063315</c:v>
                </c:pt>
                <c:pt idx="443">
                  <c:v>4727.0366922846788</c:v>
                </c:pt>
                <c:pt idx="444">
                  <c:v>4727.0366922846788</c:v>
                </c:pt>
                <c:pt idx="445">
                  <c:v>4727.0366922846788</c:v>
                </c:pt>
                <c:pt idx="446">
                  <c:v>4727.0366922846788</c:v>
                </c:pt>
                <c:pt idx="447">
                  <c:v>4727.0366922846788</c:v>
                </c:pt>
                <c:pt idx="448">
                  <c:v>4727.0366922846788</c:v>
                </c:pt>
                <c:pt idx="449">
                  <c:v>4727.0366922846788</c:v>
                </c:pt>
                <c:pt idx="450">
                  <c:v>4727.0366922846788</c:v>
                </c:pt>
                <c:pt idx="451">
                  <c:v>4727.0366922846788</c:v>
                </c:pt>
                <c:pt idx="452">
                  <c:v>4727.0366922846788</c:v>
                </c:pt>
                <c:pt idx="453">
                  <c:v>4727.0366922846788</c:v>
                </c:pt>
                <c:pt idx="454">
                  <c:v>4727.0366922846788</c:v>
                </c:pt>
                <c:pt idx="455">
                  <c:v>4727.0366922846788</c:v>
                </c:pt>
                <c:pt idx="456">
                  <c:v>4727.0366922846788</c:v>
                </c:pt>
                <c:pt idx="457">
                  <c:v>4727.0366922846788</c:v>
                </c:pt>
                <c:pt idx="458">
                  <c:v>4727.0366922846788</c:v>
                </c:pt>
                <c:pt idx="459">
                  <c:v>4727.0366922846788</c:v>
                </c:pt>
                <c:pt idx="460">
                  <c:v>4727.0366922846788</c:v>
                </c:pt>
                <c:pt idx="461">
                  <c:v>4727.0366922846788</c:v>
                </c:pt>
                <c:pt idx="462">
                  <c:v>4727.0366922846788</c:v>
                </c:pt>
                <c:pt idx="463">
                  <c:v>4727.0366922846788</c:v>
                </c:pt>
                <c:pt idx="464">
                  <c:v>4727.0366922846788</c:v>
                </c:pt>
                <c:pt idx="465">
                  <c:v>4727.0366922846788</c:v>
                </c:pt>
                <c:pt idx="466">
                  <c:v>4727.0366922846788</c:v>
                </c:pt>
                <c:pt idx="467">
                  <c:v>4727.0366922846788</c:v>
                </c:pt>
                <c:pt idx="468">
                  <c:v>4727.0366922846788</c:v>
                </c:pt>
                <c:pt idx="469">
                  <c:v>4727.0366922846788</c:v>
                </c:pt>
                <c:pt idx="470">
                  <c:v>4727.0366922846788</c:v>
                </c:pt>
                <c:pt idx="471">
                  <c:v>4786.9734609894904</c:v>
                </c:pt>
                <c:pt idx="472">
                  <c:v>4786.9734609894904</c:v>
                </c:pt>
                <c:pt idx="473">
                  <c:v>4786.9734609894904</c:v>
                </c:pt>
                <c:pt idx="474">
                  <c:v>4786.9734609894904</c:v>
                </c:pt>
                <c:pt idx="475">
                  <c:v>4786.9734609894904</c:v>
                </c:pt>
                <c:pt idx="476">
                  <c:v>4786.9734609894904</c:v>
                </c:pt>
                <c:pt idx="477">
                  <c:v>4786.9734609894904</c:v>
                </c:pt>
                <c:pt idx="478">
                  <c:v>4786.9734609894904</c:v>
                </c:pt>
                <c:pt idx="479">
                  <c:v>4786.9734609894904</c:v>
                </c:pt>
                <c:pt idx="480">
                  <c:v>4786.9734609894904</c:v>
                </c:pt>
                <c:pt idx="481">
                  <c:v>4786.9734609894904</c:v>
                </c:pt>
                <c:pt idx="482">
                  <c:v>4786.9734609894904</c:v>
                </c:pt>
                <c:pt idx="483">
                  <c:v>4786.9734609894904</c:v>
                </c:pt>
                <c:pt idx="484">
                  <c:v>4786.9734609894904</c:v>
                </c:pt>
                <c:pt idx="485">
                  <c:v>4786.9734609894904</c:v>
                </c:pt>
                <c:pt idx="486">
                  <c:v>4786.9734609894904</c:v>
                </c:pt>
                <c:pt idx="487">
                  <c:v>4786.9734609894904</c:v>
                </c:pt>
                <c:pt idx="488">
                  <c:v>4786.9734609894904</c:v>
                </c:pt>
                <c:pt idx="489">
                  <c:v>4786.9734609894904</c:v>
                </c:pt>
                <c:pt idx="490">
                  <c:v>4786.9734609894904</c:v>
                </c:pt>
                <c:pt idx="491">
                  <c:v>4786.9734609894904</c:v>
                </c:pt>
                <c:pt idx="492">
                  <c:v>4786.9734609894904</c:v>
                </c:pt>
                <c:pt idx="493">
                  <c:v>4786.9734609894904</c:v>
                </c:pt>
                <c:pt idx="494">
                  <c:v>4786.9734609894904</c:v>
                </c:pt>
                <c:pt idx="495">
                  <c:v>4786.9734609894904</c:v>
                </c:pt>
                <c:pt idx="496">
                  <c:v>4786.9734609894904</c:v>
                </c:pt>
                <c:pt idx="497">
                  <c:v>4786.9734609894904</c:v>
                </c:pt>
                <c:pt idx="498">
                  <c:v>4786.9734609894904</c:v>
                </c:pt>
                <c:pt idx="499">
                  <c:v>4872.8669744430754</c:v>
                </c:pt>
                <c:pt idx="500">
                  <c:v>4872.8669744430754</c:v>
                </c:pt>
                <c:pt idx="501">
                  <c:v>4872.8669744430754</c:v>
                </c:pt>
                <c:pt idx="502">
                  <c:v>4872.8669744430754</c:v>
                </c:pt>
                <c:pt idx="503">
                  <c:v>4872.8669744430754</c:v>
                </c:pt>
                <c:pt idx="504">
                  <c:v>4872.8669744430754</c:v>
                </c:pt>
                <c:pt idx="505">
                  <c:v>4872.8669744430754</c:v>
                </c:pt>
                <c:pt idx="506">
                  <c:v>4872.8669744430754</c:v>
                </c:pt>
                <c:pt idx="507">
                  <c:v>4872.8669744430754</c:v>
                </c:pt>
                <c:pt idx="508">
                  <c:v>4872.8669744430754</c:v>
                </c:pt>
                <c:pt idx="509">
                  <c:v>4872.8669744430754</c:v>
                </c:pt>
                <c:pt idx="510">
                  <c:v>4872.8669744430754</c:v>
                </c:pt>
                <c:pt idx="511">
                  <c:v>4872.8669744430754</c:v>
                </c:pt>
                <c:pt idx="512">
                  <c:v>4872.8669744430754</c:v>
                </c:pt>
                <c:pt idx="513">
                  <c:v>4872.8669744430754</c:v>
                </c:pt>
                <c:pt idx="514">
                  <c:v>4872.8669744430754</c:v>
                </c:pt>
                <c:pt idx="515">
                  <c:v>4872.8669744430754</c:v>
                </c:pt>
                <c:pt idx="516">
                  <c:v>4872.8669744430754</c:v>
                </c:pt>
                <c:pt idx="517">
                  <c:v>4872.8669744430754</c:v>
                </c:pt>
                <c:pt idx="518">
                  <c:v>4872.8669744430754</c:v>
                </c:pt>
                <c:pt idx="519">
                  <c:v>4872.8669744430754</c:v>
                </c:pt>
                <c:pt idx="520">
                  <c:v>4872.8669744430754</c:v>
                </c:pt>
                <c:pt idx="521">
                  <c:v>4872.8669744430754</c:v>
                </c:pt>
                <c:pt idx="522">
                  <c:v>4872.8669744430754</c:v>
                </c:pt>
                <c:pt idx="523">
                  <c:v>4872.8669744430754</c:v>
                </c:pt>
                <c:pt idx="524">
                  <c:v>4872.8669744430754</c:v>
                </c:pt>
                <c:pt idx="525">
                  <c:v>4872.8669744430754</c:v>
                </c:pt>
                <c:pt idx="526">
                  <c:v>4872.8669744430754</c:v>
                </c:pt>
                <c:pt idx="527">
                  <c:v>4906.1363947620284</c:v>
                </c:pt>
                <c:pt idx="528">
                  <c:v>4906.1363947620284</c:v>
                </c:pt>
                <c:pt idx="529">
                  <c:v>4906.1363947620284</c:v>
                </c:pt>
                <c:pt idx="530">
                  <c:v>4906.1363947620284</c:v>
                </c:pt>
                <c:pt idx="531">
                  <c:v>4906.1363947620284</c:v>
                </c:pt>
                <c:pt idx="532">
                  <c:v>4906.1363947620284</c:v>
                </c:pt>
                <c:pt idx="533">
                  <c:v>4906.1363947620284</c:v>
                </c:pt>
                <c:pt idx="534">
                  <c:v>4906.1363947620284</c:v>
                </c:pt>
                <c:pt idx="535">
                  <c:v>4906.1363947620284</c:v>
                </c:pt>
                <c:pt idx="536">
                  <c:v>4906.1363947620284</c:v>
                </c:pt>
                <c:pt idx="537">
                  <c:v>4906.1363947620284</c:v>
                </c:pt>
                <c:pt idx="538">
                  <c:v>4906.1363947620284</c:v>
                </c:pt>
                <c:pt idx="539">
                  <c:v>4906.1363947620284</c:v>
                </c:pt>
                <c:pt idx="540">
                  <c:v>4906.1363947620284</c:v>
                </c:pt>
                <c:pt idx="541">
                  <c:v>4906.1363947620284</c:v>
                </c:pt>
                <c:pt idx="542">
                  <c:v>4906.1363947620284</c:v>
                </c:pt>
                <c:pt idx="543">
                  <c:v>4906.1363947620284</c:v>
                </c:pt>
                <c:pt idx="544">
                  <c:v>4906.1363947620284</c:v>
                </c:pt>
                <c:pt idx="545">
                  <c:v>4906.1363947620284</c:v>
                </c:pt>
                <c:pt idx="546">
                  <c:v>4906.1363947620284</c:v>
                </c:pt>
                <c:pt idx="547">
                  <c:v>4906.1363947620284</c:v>
                </c:pt>
                <c:pt idx="548">
                  <c:v>4906.1363947620284</c:v>
                </c:pt>
                <c:pt idx="549">
                  <c:v>4906.1363947620284</c:v>
                </c:pt>
                <c:pt idx="550">
                  <c:v>4906.1363947620284</c:v>
                </c:pt>
                <c:pt idx="551">
                  <c:v>4906.1363947620284</c:v>
                </c:pt>
                <c:pt idx="552">
                  <c:v>4906.1363947620284</c:v>
                </c:pt>
                <c:pt idx="553">
                  <c:v>4906.1363947620284</c:v>
                </c:pt>
                <c:pt idx="554">
                  <c:v>4906.1363947620284</c:v>
                </c:pt>
                <c:pt idx="555">
                  <c:v>5016.7333110486397</c:v>
                </c:pt>
                <c:pt idx="556">
                  <c:v>5016.7333110486397</c:v>
                </c:pt>
                <c:pt idx="557">
                  <c:v>5016.7333110486397</c:v>
                </c:pt>
                <c:pt idx="558">
                  <c:v>5016.7333110486397</c:v>
                </c:pt>
                <c:pt idx="559">
                  <c:v>5016.7333110486397</c:v>
                </c:pt>
                <c:pt idx="560">
                  <c:v>5016.7333110486397</c:v>
                </c:pt>
                <c:pt idx="561">
                  <c:v>5016.7333110486397</c:v>
                </c:pt>
                <c:pt idx="562">
                  <c:v>5016.7333110486397</c:v>
                </c:pt>
                <c:pt idx="563">
                  <c:v>5016.7333110486397</c:v>
                </c:pt>
                <c:pt idx="564">
                  <c:v>5016.7333110486397</c:v>
                </c:pt>
                <c:pt idx="565">
                  <c:v>5016.7333110486397</c:v>
                </c:pt>
                <c:pt idx="566">
                  <c:v>5016.7333110486397</c:v>
                </c:pt>
                <c:pt idx="567">
                  <c:v>5016.7333110486397</c:v>
                </c:pt>
                <c:pt idx="568">
                  <c:v>5016.7333110486397</c:v>
                </c:pt>
                <c:pt idx="569">
                  <c:v>5016.7333110486397</c:v>
                </c:pt>
                <c:pt idx="570">
                  <c:v>5016.7333110486397</c:v>
                </c:pt>
                <c:pt idx="571">
                  <c:v>5016.7333110486397</c:v>
                </c:pt>
                <c:pt idx="572">
                  <c:v>5016.7333110486397</c:v>
                </c:pt>
                <c:pt idx="573">
                  <c:v>5016.7333110486397</c:v>
                </c:pt>
                <c:pt idx="574">
                  <c:v>5016.7333110486397</c:v>
                </c:pt>
                <c:pt idx="575">
                  <c:v>5016.7333110486397</c:v>
                </c:pt>
                <c:pt idx="576">
                  <c:v>5016.7333110486397</c:v>
                </c:pt>
                <c:pt idx="577">
                  <c:v>6839.2101204415922</c:v>
                </c:pt>
                <c:pt idx="578">
                  <c:v>6839.2101204415922</c:v>
                </c:pt>
                <c:pt idx="579">
                  <c:v>6839.2101204415922</c:v>
                </c:pt>
                <c:pt idx="580">
                  <c:v>6839.2101204415922</c:v>
                </c:pt>
                <c:pt idx="581">
                  <c:v>6839.2101204415922</c:v>
                </c:pt>
                <c:pt idx="582">
                  <c:v>6839.2101204415922</c:v>
                </c:pt>
                <c:pt idx="583">
                  <c:v>6839.2101204415922</c:v>
                </c:pt>
                <c:pt idx="584">
                  <c:v>6839.2101204415922</c:v>
                </c:pt>
                <c:pt idx="585">
                  <c:v>6839.2101204415922</c:v>
                </c:pt>
                <c:pt idx="586">
                  <c:v>6839.2101204415922</c:v>
                </c:pt>
                <c:pt idx="587">
                  <c:v>6839.2101204415922</c:v>
                </c:pt>
                <c:pt idx="588">
                  <c:v>6839.2101204415922</c:v>
                </c:pt>
                <c:pt idx="589">
                  <c:v>6839.2101204415922</c:v>
                </c:pt>
                <c:pt idx="590">
                  <c:v>6839.2101204415922</c:v>
                </c:pt>
                <c:pt idx="591">
                  <c:v>6839.2101204415922</c:v>
                </c:pt>
                <c:pt idx="592">
                  <c:v>6839.2101204415922</c:v>
                </c:pt>
                <c:pt idx="593">
                  <c:v>6839.2101204415922</c:v>
                </c:pt>
                <c:pt idx="594">
                  <c:v>6839.2101204415922</c:v>
                </c:pt>
                <c:pt idx="595">
                  <c:v>6839.2101204415922</c:v>
                </c:pt>
                <c:pt idx="596">
                  <c:v>6839.2101204415922</c:v>
                </c:pt>
                <c:pt idx="597">
                  <c:v>6839.2101204415922</c:v>
                </c:pt>
                <c:pt idx="598">
                  <c:v>6839.2101204415922</c:v>
                </c:pt>
                <c:pt idx="599">
                  <c:v>6839.2101204415922</c:v>
                </c:pt>
                <c:pt idx="600">
                  <c:v>6839.2101204415922</c:v>
                </c:pt>
                <c:pt idx="601">
                  <c:v>6839.2101204415922</c:v>
                </c:pt>
                <c:pt idx="602">
                  <c:v>6839.2101204415922</c:v>
                </c:pt>
                <c:pt idx="603">
                  <c:v>6839.2101204415922</c:v>
                </c:pt>
                <c:pt idx="604">
                  <c:v>6839.2101204415922</c:v>
                </c:pt>
                <c:pt idx="605">
                  <c:v>6839.2101204415922</c:v>
                </c:pt>
                <c:pt idx="606">
                  <c:v>6839.2101204415885</c:v>
                </c:pt>
                <c:pt idx="607">
                  <c:v>6839.2101204415885</c:v>
                </c:pt>
                <c:pt idx="608">
                  <c:v>6839.2101204415885</c:v>
                </c:pt>
                <c:pt idx="609">
                  <c:v>6839.2101204415885</c:v>
                </c:pt>
                <c:pt idx="610">
                  <c:v>6839.2101204415885</c:v>
                </c:pt>
                <c:pt idx="611">
                  <c:v>6783.7792497586524</c:v>
                </c:pt>
                <c:pt idx="612">
                  <c:v>6783.7792497586524</c:v>
                </c:pt>
                <c:pt idx="613">
                  <c:v>6783.7792497586524</c:v>
                </c:pt>
                <c:pt idx="614">
                  <c:v>6783.7792497586524</c:v>
                </c:pt>
                <c:pt idx="615">
                  <c:v>6783.7792497586524</c:v>
                </c:pt>
                <c:pt idx="616">
                  <c:v>6783.7792497586524</c:v>
                </c:pt>
                <c:pt idx="617">
                  <c:v>6783.7792497586524</c:v>
                </c:pt>
                <c:pt idx="618">
                  <c:v>6783.7792497586524</c:v>
                </c:pt>
                <c:pt idx="619">
                  <c:v>6783.7792497586524</c:v>
                </c:pt>
                <c:pt idx="620">
                  <c:v>6783.7792497586524</c:v>
                </c:pt>
                <c:pt idx="621">
                  <c:v>6783.7792497586524</c:v>
                </c:pt>
                <c:pt idx="622">
                  <c:v>6783.7792497586524</c:v>
                </c:pt>
                <c:pt idx="623">
                  <c:v>6783.7792497586524</c:v>
                </c:pt>
                <c:pt idx="624">
                  <c:v>6783.7792497586524</c:v>
                </c:pt>
                <c:pt idx="625">
                  <c:v>6783.7792497586524</c:v>
                </c:pt>
                <c:pt idx="626">
                  <c:v>6783.7792497586524</c:v>
                </c:pt>
                <c:pt idx="627">
                  <c:v>6783.7792497586524</c:v>
                </c:pt>
                <c:pt idx="628">
                  <c:v>6783.7792497586524</c:v>
                </c:pt>
                <c:pt idx="629">
                  <c:v>6783.7792497586524</c:v>
                </c:pt>
                <c:pt idx="630">
                  <c:v>6783.7792497586524</c:v>
                </c:pt>
                <c:pt idx="631">
                  <c:v>6783.7792497586524</c:v>
                </c:pt>
                <c:pt idx="632">
                  <c:v>6783.7792497586524</c:v>
                </c:pt>
                <c:pt idx="633">
                  <c:v>6783.7792497586524</c:v>
                </c:pt>
                <c:pt idx="634">
                  <c:v>6783.7792497586524</c:v>
                </c:pt>
                <c:pt idx="635">
                  <c:v>6783.7792497586524</c:v>
                </c:pt>
                <c:pt idx="636">
                  <c:v>6783.7792497586524</c:v>
                </c:pt>
                <c:pt idx="637">
                  <c:v>6783.7792497586524</c:v>
                </c:pt>
                <c:pt idx="638">
                  <c:v>6783.7792497586524</c:v>
                </c:pt>
                <c:pt idx="639">
                  <c:v>6931.7498454163278</c:v>
                </c:pt>
                <c:pt idx="640">
                  <c:v>6931.7498454163278</c:v>
                </c:pt>
                <c:pt idx="641">
                  <c:v>6931.7498454163278</c:v>
                </c:pt>
                <c:pt idx="642">
                  <c:v>6931.7498454163278</c:v>
                </c:pt>
                <c:pt idx="643">
                  <c:v>6931.7498454163278</c:v>
                </c:pt>
                <c:pt idx="644">
                  <c:v>6931.7498454163278</c:v>
                </c:pt>
                <c:pt idx="645">
                  <c:v>6931.7498454163278</c:v>
                </c:pt>
                <c:pt idx="646">
                  <c:v>6931.7498454163278</c:v>
                </c:pt>
                <c:pt idx="647">
                  <c:v>6931.7498454163278</c:v>
                </c:pt>
                <c:pt idx="648">
                  <c:v>6931.7498454163278</c:v>
                </c:pt>
                <c:pt idx="649">
                  <c:v>6931.7498454163278</c:v>
                </c:pt>
                <c:pt idx="650">
                  <c:v>6931.7498454163278</c:v>
                </c:pt>
                <c:pt idx="651">
                  <c:v>6931.7498454163278</c:v>
                </c:pt>
                <c:pt idx="652">
                  <c:v>6931.7498454163278</c:v>
                </c:pt>
                <c:pt idx="653">
                  <c:v>6931.7498454163278</c:v>
                </c:pt>
                <c:pt idx="654">
                  <c:v>6931.7498454163278</c:v>
                </c:pt>
                <c:pt idx="655">
                  <c:v>6931.7498454163278</c:v>
                </c:pt>
                <c:pt idx="656">
                  <c:v>6931.7498454163278</c:v>
                </c:pt>
                <c:pt idx="657">
                  <c:v>6931.7498454163278</c:v>
                </c:pt>
                <c:pt idx="658">
                  <c:v>6931.7498454163278</c:v>
                </c:pt>
                <c:pt idx="659">
                  <c:v>6931.7498454163278</c:v>
                </c:pt>
                <c:pt idx="660">
                  <c:v>6931.7498454163278</c:v>
                </c:pt>
                <c:pt idx="661">
                  <c:v>6931.7498454163278</c:v>
                </c:pt>
                <c:pt idx="662">
                  <c:v>6931.7498454163278</c:v>
                </c:pt>
                <c:pt idx="663">
                  <c:v>6931.7498454163278</c:v>
                </c:pt>
                <c:pt idx="664">
                  <c:v>6931.7498454163278</c:v>
                </c:pt>
                <c:pt idx="665">
                  <c:v>6931.7498454163278</c:v>
                </c:pt>
                <c:pt idx="666">
                  <c:v>6931.7498454163278</c:v>
                </c:pt>
                <c:pt idx="667">
                  <c:v>7050.7700009360315</c:v>
                </c:pt>
                <c:pt idx="668">
                  <c:v>7050.7700009360315</c:v>
                </c:pt>
                <c:pt idx="669">
                  <c:v>7050.7700009360315</c:v>
                </c:pt>
                <c:pt idx="670">
                  <c:v>7050.7700009360315</c:v>
                </c:pt>
                <c:pt idx="671">
                  <c:v>7050.7700009360315</c:v>
                </c:pt>
                <c:pt idx="672">
                  <c:v>7050.7700009360315</c:v>
                </c:pt>
                <c:pt idx="673">
                  <c:v>7050.7700009360315</c:v>
                </c:pt>
                <c:pt idx="674">
                  <c:v>7050.7700009360315</c:v>
                </c:pt>
                <c:pt idx="675">
                  <c:v>7050.7700009360315</c:v>
                </c:pt>
                <c:pt idx="676">
                  <c:v>7050.7700009360315</c:v>
                </c:pt>
                <c:pt idx="677">
                  <c:v>7050.7700009360315</c:v>
                </c:pt>
                <c:pt idx="678">
                  <c:v>7050.7700009360315</c:v>
                </c:pt>
                <c:pt idx="679">
                  <c:v>7050.7700009360315</c:v>
                </c:pt>
                <c:pt idx="680">
                  <c:v>7050.7700009360315</c:v>
                </c:pt>
                <c:pt idx="681">
                  <c:v>7050.7700009360315</c:v>
                </c:pt>
                <c:pt idx="682">
                  <c:v>7050.7700009360315</c:v>
                </c:pt>
                <c:pt idx="683">
                  <c:v>7050.7700009360315</c:v>
                </c:pt>
                <c:pt idx="684">
                  <c:v>7050.7700009360315</c:v>
                </c:pt>
                <c:pt idx="685">
                  <c:v>7050.7700009360315</c:v>
                </c:pt>
                <c:pt idx="686">
                  <c:v>7050.7700009360315</c:v>
                </c:pt>
                <c:pt idx="687">
                  <c:v>7050.7700009360315</c:v>
                </c:pt>
                <c:pt idx="688">
                  <c:v>7050.7700009360315</c:v>
                </c:pt>
                <c:pt idx="689">
                  <c:v>7050.7700009360315</c:v>
                </c:pt>
                <c:pt idx="690">
                  <c:v>7050.7700009360315</c:v>
                </c:pt>
                <c:pt idx="691">
                  <c:v>7050.7700009360315</c:v>
                </c:pt>
                <c:pt idx="692">
                  <c:v>7050.7700009360315</c:v>
                </c:pt>
                <c:pt idx="693">
                  <c:v>7050.7700009360315</c:v>
                </c:pt>
                <c:pt idx="694">
                  <c:v>7050.7700009360315</c:v>
                </c:pt>
                <c:pt idx="695">
                  <c:v>7140.7800000000007</c:v>
                </c:pt>
                <c:pt idx="696">
                  <c:v>7140.7800000000007</c:v>
                </c:pt>
                <c:pt idx="697">
                  <c:v>7140.7800000000007</c:v>
                </c:pt>
                <c:pt idx="698">
                  <c:v>7140.7800000000007</c:v>
                </c:pt>
                <c:pt idx="699">
                  <c:v>7140.7800000000007</c:v>
                </c:pt>
                <c:pt idx="700">
                  <c:v>7140.7800000000007</c:v>
                </c:pt>
                <c:pt idx="701">
                  <c:v>7140.7800000000007</c:v>
                </c:pt>
                <c:pt idx="702">
                  <c:v>7140.7800000000007</c:v>
                </c:pt>
                <c:pt idx="703">
                  <c:v>7140.7800000000007</c:v>
                </c:pt>
                <c:pt idx="704">
                  <c:v>7140.7800000000007</c:v>
                </c:pt>
                <c:pt idx="705">
                  <c:v>7140.7800000000007</c:v>
                </c:pt>
                <c:pt idx="706">
                  <c:v>7140.7800000000007</c:v>
                </c:pt>
                <c:pt idx="707">
                  <c:v>7140.7800000000007</c:v>
                </c:pt>
                <c:pt idx="708">
                  <c:v>7140.7800000000007</c:v>
                </c:pt>
                <c:pt idx="709">
                  <c:v>7140.7800000000007</c:v>
                </c:pt>
                <c:pt idx="710">
                  <c:v>7140.7800000000007</c:v>
                </c:pt>
                <c:pt idx="711">
                  <c:v>7140.7800000000007</c:v>
                </c:pt>
                <c:pt idx="712">
                  <c:v>7140.7800000000007</c:v>
                </c:pt>
                <c:pt idx="713">
                  <c:v>7140.7800000000007</c:v>
                </c:pt>
                <c:pt idx="714">
                  <c:v>7140.7800000000007</c:v>
                </c:pt>
                <c:pt idx="715">
                  <c:v>7140.7800000000007</c:v>
                </c:pt>
                <c:pt idx="716">
                  <c:v>7140.7800000000007</c:v>
                </c:pt>
                <c:pt idx="717">
                  <c:v>7140.7800000000007</c:v>
                </c:pt>
                <c:pt idx="718">
                  <c:v>7140.7800000000007</c:v>
                </c:pt>
                <c:pt idx="719">
                  <c:v>7140.7800000000007</c:v>
                </c:pt>
                <c:pt idx="720">
                  <c:v>7140.7800000000007</c:v>
                </c:pt>
                <c:pt idx="721">
                  <c:v>7140.7800000000007</c:v>
                </c:pt>
                <c:pt idx="722">
                  <c:v>7140.7800000000007</c:v>
                </c:pt>
                <c:pt idx="723">
                  <c:v>7150.59</c:v>
                </c:pt>
                <c:pt idx="724">
                  <c:v>7150.59</c:v>
                </c:pt>
                <c:pt idx="725">
                  <c:v>7150.59</c:v>
                </c:pt>
                <c:pt idx="726">
                  <c:v>7150.59</c:v>
                </c:pt>
                <c:pt idx="727">
                  <c:v>7150.59</c:v>
                </c:pt>
                <c:pt idx="728">
                  <c:v>7150.59</c:v>
                </c:pt>
                <c:pt idx="729">
                  <c:v>7150.59</c:v>
                </c:pt>
                <c:pt idx="730">
                  <c:v>7150.59</c:v>
                </c:pt>
                <c:pt idx="731">
                  <c:v>7150.59</c:v>
                </c:pt>
                <c:pt idx="732">
                  <c:v>7150.59</c:v>
                </c:pt>
                <c:pt idx="733">
                  <c:v>7150.59</c:v>
                </c:pt>
                <c:pt idx="734">
                  <c:v>7150.59</c:v>
                </c:pt>
                <c:pt idx="735">
                  <c:v>7150.59</c:v>
                </c:pt>
                <c:pt idx="736">
                  <c:v>7150.59</c:v>
                </c:pt>
                <c:pt idx="737">
                  <c:v>7150.59</c:v>
                </c:pt>
                <c:pt idx="738">
                  <c:v>7150.59</c:v>
                </c:pt>
                <c:pt idx="739">
                  <c:v>7150.59</c:v>
                </c:pt>
                <c:pt idx="740">
                  <c:v>7150.59</c:v>
                </c:pt>
                <c:pt idx="741">
                  <c:v>7150.59</c:v>
                </c:pt>
                <c:pt idx="742">
                  <c:v>7150.59</c:v>
                </c:pt>
                <c:pt idx="743">
                  <c:v>7150.59</c:v>
                </c:pt>
                <c:pt idx="744">
                  <c:v>7150.59</c:v>
                </c:pt>
                <c:pt idx="745">
                  <c:v>7150.59</c:v>
                </c:pt>
                <c:pt idx="746">
                  <c:v>7150.59</c:v>
                </c:pt>
                <c:pt idx="747">
                  <c:v>7150.59</c:v>
                </c:pt>
                <c:pt idx="748">
                  <c:v>7150.59</c:v>
                </c:pt>
                <c:pt idx="749">
                  <c:v>7150.59</c:v>
                </c:pt>
                <c:pt idx="750">
                  <c:v>7150.59</c:v>
                </c:pt>
                <c:pt idx="751">
                  <c:v>7291.0826792044718</c:v>
                </c:pt>
                <c:pt idx="752">
                  <c:v>7291.0826792044718</c:v>
                </c:pt>
                <c:pt idx="753">
                  <c:v>7291.0826792044718</c:v>
                </c:pt>
                <c:pt idx="754">
                  <c:v>7291.0826792044718</c:v>
                </c:pt>
                <c:pt idx="755">
                  <c:v>7291.0826792044718</c:v>
                </c:pt>
                <c:pt idx="756">
                  <c:v>7291.0826792044718</c:v>
                </c:pt>
                <c:pt idx="757">
                  <c:v>7291.0826792044718</c:v>
                </c:pt>
                <c:pt idx="758">
                  <c:v>7291.0826792044718</c:v>
                </c:pt>
                <c:pt idx="759">
                  <c:v>7291.0826792044718</c:v>
                </c:pt>
                <c:pt idx="760">
                  <c:v>7291.0826792044718</c:v>
                </c:pt>
                <c:pt idx="761">
                  <c:v>7291.0826792044718</c:v>
                </c:pt>
                <c:pt idx="762">
                  <c:v>7291.0826792044718</c:v>
                </c:pt>
                <c:pt idx="763">
                  <c:v>7291.0826792044718</c:v>
                </c:pt>
                <c:pt idx="764">
                  <c:v>7291.0826792044718</c:v>
                </c:pt>
                <c:pt idx="765">
                  <c:v>7291.0826792044718</c:v>
                </c:pt>
                <c:pt idx="766">
                  <c:v>7291.0826792044718</c:v>
                </c:pt>
                <c:pt idx="767">
                  <c:v>7291.0826792044718</c:v>
                </c:pt>
                <c:pt idx="768">
                  <c:v>7291.0826792044718</c:v>
                </c:pt>
                <c:pt idx="769">
                  <c:v>7291.0826792044718</c:v>
                </c:pt>
                <c:pt idx="770">
                  <c:v>7291.0826792044718</c:v>
                </c:pt>
                <c:pt idx="771">
                  <c:v>7291.0826792044718</c:v>
                </c:pt>
                <c:pt idx="772">
                  <c:v>7291.0826792044718</c:v>
                </c:pt>
                <c:pt idx="773">
                  <c:v>7291.0826792044718</c:v>
                </c:pt>
                <c:pt idx="774">
                  <c:v>7291.0826792044718</c:v>
                </c:pt>
                <c:pt idx="775">
                  <c:v>7291.0826792044718</c:v>
                </c:pt>
                <c:pt idx="776">
                  <c:v>7291.0826792044718</c:v>
                </c:pt>
                <c:pt idx="777">
                  <c:v>7291.0826792044718</c:v>
                </c:pt>
                <c:pt idx="778">
                  <c:v>7291.0826792044718</c:v>
                </c:pt>
                <c:pt idx="779">
                  <c:v>7499.8643890666535</c:v>
                </c:pt>
                <c:pt idx="780">
                  <c:v>7499.8643890666535</c:v>
                </c:pt>
                <c:pt idx="781">
                  <c:v>7499.8643890666535</c:v>
                </c:pt>
                <c:pt idx="782">
                  <c:v>7499.8643890666535</c:v>
                </c:pt>
                <c:pt idx="783">
                  <c:v>7499.8643890666535</c:v>
                </c:pt>
                <c:pt idx="784">
                  <c:v>7499.8643890666535</c:v>
                </c:pt>
                <c:pt idx="785">
                  <c:v>7499.8643890666535</c:v>
                </c:pt>
                <c:pt idx="786">
                  <c:v>7499.8643890666544</c:v>
                </c:pt>
                <c:pt idx="787">
                  <c:v>7499.8643890666544</c:v>
                </c:pt>
                <c:pt idx="788">
                  <c:v>7499.8643890666544</c:v>
                </c:pt>
                <c:pt idx="789">
                  <c:v>7499.8643890666544</c:v>
                </c:pt>
                <c:pt idx="790">
                  <c:v>7499.8643890666544</c:v>
                </c:pt>
                <c:pt idx="791">
                  <c:v>7499.8643890666544</c:v>
                </c:pt>
                <c:pt idx="792">
                  <c:v>7499.8643890666544</c:v>
                </c:pt>
                <c:pt idx="793">
                  <c:v>7499.8643890666544</c:v>
                </c:pt>
                <c:pt idx="794">
                  <c:v>7499.8643890666544</c:v>
                </c:pt>
                <c:pt idx="795">
                  <c:v>7499.8643890666544</c:v>
                </c:pt>
                <c:pt idx="796">
                  <c:v>7499.8643890666544</c:v>
                </c:pt>
                <c:pt idx="797">
                  <c:v>7499.8643890666544</c:v>
                </c:pt>
                <c:pt idx="798">
                  <c:v>7499.8643890666544</c:v>
                </c:pt>
                <c:pt idx="799">
                  <c:v>7499.8643890666544</c:v>
                </c:pt>
                <c:pt idx="800">
                  <c:v>7499.8643890666544</c:v>
                </c:pt>
                <c:pt idx="801">
                  <c:v>7499.8643890666544</c:v>
                </c:pt>
                <c:pt idx="802">
                  <c:v>7499.8643890666544</c:v>
                </c:pt>
                <c:pt idx="803">
                  <c:v>7499.8643890666544</c:v>
                </c:pt>
                <c:pt idx="804">
                  <c:v>7499.8643890666544</c:v>
                </c:pt>
                <c:pt idx="805">
                  <c:v>7499.8643890666544</c:v>
                </c:pt>
                <c:pt idx="806">
                  <c:v>7499.8643890666544</c:v>
                </c:pt>
                <c:pt idx="807">
                  <c:v>7559.081330668896</c:v>
                </c:pt>
                <c:pt idx="808">
                  <c:v>7559.081330668896</c:v>
                </c:pt>
                <c:pt idx="809">
                  <c:v>7559.081330668896</c:v>
                </c:pt>
                <c:pt idx="810">
                  <c:v>7559.081330668896</c:v>
                </c:pt>
                <c:pt idx="811">
                  <c:v>7559.081330668896</c:v>
                </c:pt>
                <c:pt idx="812">
                  <c:v>7559.081330668896</c:v>
                </c:pt>
                <c:pt idx="813">
                  <c:v>7559.081330668896</c:v>
                </c:pt>
                <c:pt idx="814">
                  <c:v>7559.081330668896</c:v>
                </c:pt>
                <c:pt idx="815">
                  <c:v>7559.081330668896</c:v>
                </c:pt>
                <c:pt idx="816">
                  <c:v>7559.081330668896</c:v>
                </c:pt>
                <c:pt idx="817">
                  <c:v>7559.081330668896</c:v>
                </c:pt>
                <c:pt idx="818">
                  <c:v>7559.081330668896</c:v>
                </c:pt>
                <c:pt idx="819">
                  <c:v>7559.081330668896</c:v>
                </c:pt>
                <c:pt idx="820">
                  <c:v>7559.081330668896</c:v>
                </c:pt>
                <c:pt idx="821">
                  <c:v>7559.081330668896</c:v>
                </c:pt>
                <c:pt idx="822">
                  <c:v>7559.081330668896</c:v>
                </c:pt>
                <c:pt idx="823">
                  <c:v>7559.081330668896</c:v>
                </c:pt>
                <c:pt idx="824">
                  <c:v>7559.081330668896</c:v>
                </c:pt>
                <c:pt idx="825">
                  <c:v>7559.081330668896</c:v>
                </c:pt>
                <c:pt idx="826">
                  <c:v>7559.081330668896</c:v>
                </c:pt>
                <c:pt idx="827">
                  <c:v>7559.081330668896</c:v>
                </c:pt>
                <c:pt idx="828">
                  <c:v>7559.081330668896</c:v>
                </c:pt>
                <c:pt idx="829">
                  <c:v>7559.081330668896</c:v>
                </c:pt>
                <c:pt idx="830">
                  <c:v>7559.081330668896</c:v>
                </c:pt>
                <c:pt idx="831">
                  <c:v>7559.081330668896</c:v>
                </c:pt>
                <c:pt idx="832">
                  <c:v>7559.081330668896</c:v>
                </c:pt>
                <c:pt idx="833">
                  <c:v>7559.081330668896</c:v>
                </c:pt>
                <c:pt idx="834">
                  <c:v>7559.081330668896</c:v>
                </c:pt>
                <c:pt idx="835">
                  <c:v>7684.6328851466496</c:v>
                </c:pt>
                <c:pt idx="836">
                  <c:v>7684.6328851466496</c:v>
                </c:pt>
                <c:pt idx="837">
                  <c:v>7684.6328851466496</c:v>
                </c:pt>
                <c:pt idx="838">
                  <c:v>7684.6328851466496</c:v>
                </c:pt>
                <c:pt idx="839">
                  <c:v>7684.6328851466496</c:v>
                </c:pt>
                <c:pt idx="840">
                  <c:v>7684.6328851466496</c:v>
                </c:pt>
                <c:pt idx="841">
                  <c:v>7684.6328851466496</c:v>
                </c:pt>
                <c:pt idx="842">
                  <c:v>7684.6328851466496</c:v>
                </c:pt>
                <c:pt idx="843">
                  <c:v>7684.6328851466496</c:v>
                </c:pt>
                <c:pt idx="844">
                  <c:v>7684.6328851466496</c:v>
                </c:pt>
                <c:pt idx="845">
                  <c:v>7684.6328851466496</c:v>
                </c:pt>
                <c:pt idx="846">
                  <c:v>7684.6328851466496</c:v>
                </c:pt>
                <c:pt idx="847">
                  <c:v>7684.6328851466496</c:v>
                </c:pt>
                <c:pt idx="848">
                  <c:v>7684.6328851466496</c:v>
                </c:pt>
                <c:pt idx="849">
                  <c:v>7684.6328851466496</c:v>
                </c:pt>
                <c:pt idx="850">
                  <c:v>7684.6328851466496</c:v>
                </c:pt>
                <c:pt idx="851">
                  <c:v>7684.6328851466496</c:v>
                </c:pt>
                <c:pt idx="852">
                  <c:v>7684.6328851466496</c:v>
                </c:pt>
                <c:pt idx="853">
                  <c:v>7684.6328851466496</c:v>
                </c:pt>
                <c:pt idx="854">
                  <c:v>7684.6328851466496</c:v>
                </c:pt>
                <c:pt idx="855">
                  <c:v>7684.6328851466496</c:v>
                </c:pt>
                <c:pt idx="856">
                  <c:v>7684.6328851466496</c:v>
                </c:pt>
                <c:pt idx="857">
                  <c:v>7684.6328851466496</c:v>
                </c:pt>
                <c:pt idx="858">
                  <c:v>7684.6328851466496</c:v>
                </c:pt>
                <c:pt idx="859">
                  <c:v>7684.6328851466496</c:v>
                </c:pt>
                <c:pt idx="860">
                  <c:v>7684.6328851466496</c:v>
                </c:pt>
                <c:pt idx="861">
                  <c:v>7684.6328851466496</c:v>
                </c:pt>
                <c:pt idx="862">
                  <c:v>7684.6328851466496</c:v>
                </c:pt>
                <c:pt idx="863">
                  <c:v>7878.5099999999993</c:v>
                </c:pt>
                <c:pt idx="864">
                  <c:v>7878.5099999999993</c:v>
                </c:pt>
                <c:pt idx="865">
                  <c:v>7878.5099999999993</c:v>
                </c:pt>
                <c:pt idx="866">
                  <c:v>7878.5099999999993</c:v>
                </c:pt>
                <c:pt idx="867">
                  <c:v>7878.5099999999993</c:v>
                </c:pt>
                <c:pt idx="868">
                  <c:v>7878.5099999999993</c:v>
                </c:pt>
                <c:pt idx="869">
                  <c:v>7878.5099999999993</c:v>
                </c:pt>
                <c:pt idx="870">
                  <c:v>7878.5099999999993</c:v>
                </c:pt>
                <c:pt idx="871">
                  <c:v>7878.5099999999993</c:v>
                </c:pt>
                <c:pt idx="872">
                  <c:v>7878.5099999999993</c:v>
                </c:pt>
                <c:pt idx="873">
                  <c:v>7878.5099999999993</c:v>
                </c:pt>
                <c:pt idx="874">
                  <c:v>7878.5099999999993</c:v>
                </c:pt>
                <c:pt idx="875">
                  <c:v>7878.5099999999993</c:v>
                </c:pt>
                <c:pt idx="876">
                  <c:v>7878.5099999999993</c:v>
                </c:pt>
                <c:pt idx="877">
                  <c:v>7878.5099999999993</c:v>
                </c:pt>
                <c:pt idx="878">
                  <c:v>7878.5099999999993</c:v>
                </c:pt>
                <c:pt idx="879">
                  <c:v>7878.5099999999993</c:v>
                </c:pt>
                <c:pt idx="880">
                  <c:v>7878.5099999999993</c:v>
                </c:pt>
                <c:pt idx="881">
                  <c:v>7878.5099999999993</c:v>
                </c:pt>
                <c:pt idx="882">
                  <c:v>7878.5099999999993</c:v>
                </c:pt>
                <c:pt idx="883">
                  <c:v>7878.5099999999993</c:v>
                </c:pt>
                <c:pt idx="884">
                  <c:v>7878.5099999999993</c:v>
                </c:pt>
                <c:pt idx="885">
                  <c:v>7878.5099999999993</c:v>
                </c:pt>
                <c:pt idx="886">
                  <c:v>7878.5099999999993</c:v>
                </c:pt>
                <c:pt idx="887">
                  <c:v>7878.5099999999993</c:v>
                </c:pt>
                <c:pt idx="888">
                  <c:v>7878.5099999999993</c:v>
                </c:pt>
                <c:pt idx="889">
                  <c:v>7878.5099999999993</c:v>
                </c:pt>
                <c:pt idx="890">
                  <c:v>7878.5099999999993</c:v>
                </c:pt>
                <c:pt idx="891">
                  <c:v>8002.9790836136808</c:v>
                </c:pt>
                <c:pt idx="892">
                  <c:v>8002.9790836136808</c:v>
                </c:pt>
                <c:pt idx="893">
                  <c:v>8002.9790836136808</c:v>
                </c:pt>
                <c:pt idx="894">
                  <c:v>8002.9790836136808</c:v>
                </c:pt>
                <c:pt idx="895">
                  <c:v>8002.9790836136808</c:v>
                </c:pt>
                <c:pt idx="896">
                  <c:v>8002.9790836136808</c:v>
                </c:pt>
                <c:pt idx="897">
                  <c:v>8002.9790836136808</c:v>
                </c:pt>
                <c:pt idx="898">
                  <c:v>8002.9790836136808</c:v>
                </c:pt>
                <c:pt idx="899">
                  <c:v>8002.9790836136808</c:v>
                </c:pt>
                <c:pt idx="900">
                  <c:v>8002.9790836136808</c:v>
                </c:pt>
                <c:pt idx="901">
                  <c:v>8002.9790836136808</c:v>
                </c:pt>
                <c:pt idx="902">
                  <c:v>8002.9790836136808</c:v>
                </c:pt>
                <c:pt idx="903">
                  <c:v>8002.9790836136808</c:v>
                </c:pt>
                <c:pt idx="904">
                  <c:v>8002.9790836136808</c:v>
                </c:pt>
                <c:pt idx="905">
                  <c:v>8002.9790836136808</c:v>
                </c:pt>
                <c:pt idx="906">
                  <c:v>8002.9790836136808</c:v>
                </c:pt>
                <c:pt idx="907">
                  <c:v>8002.9790836136808</c:v>
                </c:pt>
                <c:pt idx="908">
                  <c:v>8002.9790836136808</c:v>
                </c:pt>
                <c:pt idx="909">
                  <c:v>8002.9790836136808</c:v>
                </c:pt>
                <c:pt idx="910">
                  <c:v>8002.9790836136808</c:v>
                </c:pt>
                <c:pt idx="911">
                  <c:v>8002.9790836136808</c:v>
                </c:pt>
                <c:pt idx="912">
                  <c:v>8002.9790836136808</c:v>
                </c:pt>
                <c:pt idx="913">
                  <c:v>8002.9790836136808</c:v>
                </c:pt>
                <c:pt idx="914">
                  <c:v>8002.9790836136808</c:v>
                </c:pt>
                <c:pt idx="915">
                  <c:v>8002.9790836136808</c:v>
                </c:pt>
                <c:pt idx="916">
                  <c:v>8002.9790836136808</c:v>
                </c:pt>
                <c:pt idx="917">
                  <c:v>8002.9790836136808</c:v>
                </c:pt>
                <c:pt idx="918">
                  <c:v>8002.9790836136808</c:v>
                </c:pt>
                <c:pt idx="919">
                  <c:v>7994.2403859329461</c:v>
                </c:pt>
                <c:pt idx="920">
                  <c:v>7994.2403859329461</c:v>
                </c:pt>
                <c:pt idx="921">
                  <c:v>7994.2403859329461</c:v>
                </c:pt>
                <c:pt idx="922">
                  <c:v>7994.2403859329461</c:v>
                </c:pt>
                <c:pt idx="923">
                  <c:v>7994.2403859329461</c:v>
                </c:pt>
                <c:pt idx="924">
                  <c:v>7994.2403859329461</c:v>
                </c:pt>
                <c:pt idx="925">
                  <c:v>7994.2403859329461</c:v>
                </c:pt>
                <c:pt idx="926">
                  <c:v>7994.2403859329461</c:v>
                </c:pt>
                <c:pt idx="927">
                  <c:v>7994.2403859329461</c:v>
                </c:pt>
                <c:pt idx="928">
                  <c:v>7994.2403859329461</c:v>
                </c:pt>
                <c:pt idx="929">
                  <c:v>7994.2403859329461</c:v>
                </c:pt>
                <c:pt idx="930">
                  <c:v>7994.2403859329461</c:v>
                </c:pt>
                <c:pt idx="931">
                  <c:v>7994.2403859329461</c:v>
                </c:pt>
                <c:pt idx="932">
                  <c:v>7994.2403859329461</c:v>
                </c:pt>
                <c:pt idx="933">
                  <c:v>7994.2403859329461</c:v>
                </c:pt>
                <c:pt idx="934">
                  <c:v>7994.2403859329461</c:v>
                </c:pt>
                <c:pt idx="935">
                  <c:v>7994.2403859329461</c:v>
                </c:pt>
                <c:pt idx="936">
                  <c:v>7994.2403859329461</c:v>
                </c:pt>
                <c:pt idx="937">
                  <c:v>7994.2403859329461</c:v>
                </c:pt>
                <c:pt idx="938">
                  <c:v>7994.2403859329461</c:v>
                </c:pt>
                <c:pt idx="939">
                  <c:v>7994.2403859329461</c:v>
                </c:pt>
                <c:pt idx="940">
                  <c:v>7994.2403859329461</c:v>
                </c:pt>
                <c:pt idx="941">
                  <c:v>7994.2403859329461</c:v>
                </c:pt>
                <c:pt idx="942">
                  <c:v>7994.2403859329461</c:v>
                </c:pt>
                <c:pt idx="943">
                  <c:v>7994.2403859329461</c:v>
                </c:pt>
                <c:pt idx="944">
                  <c:v>7994.2403859329461</c:v>
                </c:pt>
                <c:pt idx="945">
                  <c:v>7994.2403859329461</c:v>
                </c:pt>
                <c:pt idx="946">
                  <c:v>7994.2403859329461</c:v>
                </c:pt>
                <c:pt idx="947">
                  <c:v>8353.8398087267542</c:v>
                </c:pt>
                <c:pt idx="948">
                  <c:v>8353.8398087267542</c:v>
                </c:pt>
                <c:pt idx="949">
                  <c:v>8353.8398087267542</c:v>
                </c:pt>
                <c:pt idx="950">
                  <c:v>8353.8398087267542</c:v>
                </c:pt>
                <c:pt idx="951">
                  <c:v>8353.8398087267542</c:v>
                </c:pt>
                <c:pt idx="952">
                  <c:v>8353.8398087267542</c:v>
                </c:pt>
                <c:pt idx="953">
                  <c:v>8353.8398087267542</c:v>
                </c:pt>
                <c:pt idx="954">
                  <c:v>8353.8398087267542</c:v>
                </c:pt>
                <c:pt idx="955">
                  <c:v>8353.8398087267542</c:v>
                </c:pt>
                <c:pt idx="956">
                  <c:v>8353.8398087267542</c:v>
                </c:pt>
                <c:pt idx="957">
                  <c:v>8353.8398087267542</c:v>
                </c:pt>
                <c:pt idx="958">
                  <c:v>8353.8398087267542</c:v>
                </c:pt>
                <c:pt idx="959">
                  <c:v>8353.8398087267542</c:v>
                </c:pt>
                <c:pt idx="960">
                  <c:v>8353.8398087267542</c:v>
                </c:pt>
                <c:pt idx="961">
                  <c:v>8353.8398087267542</c:v>
                </c:pt>
                <c:pt idx="962">
                  <c:v>8353.8398087267542</c:v>
                </c:pt>
                <c:pt idx="963">
                  <c:v>8353.8398087267542</c:v>
                </c:pt>
                <c:pt idx="964">
                  <c:v>8353.8398087267542</c:v>
                </c:pt>
                <c:pt idx="965">
                  <c:v>8353.8398087267542</c:v>
                </c:pt>
                <c:pt idx="966">
                  <c:v>8353.8398087267542</c:v>
                </c:pt>
                <c:pt idx="967">
                  <c:v>8353.8398087267542</c:v>
                </c:pt>
                <c:pt idx="968">
                  <c:v>8353.8398087267542</c:v>
                </c:pt>
                <c:pt idx="969">
                  <c:v>8353.8398087267542</c:v>
                </c:pt>
                <c:pt idx="970">
                  <c:v>8353.8398087267542</c:v>
                </c:pt>
                <c:pt idx="971">
                  <c:v>8353.8398087267542</c:v>
                </c:pt>
                <c:pt idx="972">
                  <c:v>8353.8398087267542</c:v>
                </c:pt>
                <c:pt idx="973">
                  <c:v>8353.8398087267542</c:v>
                </c:pt>
                <c:pt idx="974">
                  <c:v>8353.8398087267542</c:v>
                </c:pt>
                <c:pt idx="975">
                  <c:v>8250.3048964899499</c:v>
                </c:pt>
                <c:pt idx="976">
                  <c:v>8250.3048964899499</c:v>
                </c:pt>
                <c:pt idx="977">
                  <c:v>8250.3048964899499</c:v>
                </c:pt>
                <c:pt idx="978">
                  <c:v>8250.3048964899499</c:v>
                </c:pt>
                <c:pt idx="979">
                  <c:v>8250.3048964899499</c:v>
                </c:pt>
                <c:pt idx="980">
                  <c:v>8250.3048964899499</c:v>
                </c:pt>
                <c:pt idx="981">
                  <c:v>8250.3048964899499</c:v>
                </c:pt>
                <c:pt idx="982">
                  <c:v>8250.3048964899499</c:v>
                </c:pt>
                <c:pt idx="983">
                  <c:v>8250.3048964899499</c:v>
                </c:pt>
                <c:pt idx="984">
                  <c:v>8250.3048964899499</c:v>
                </c:pt>
                <c:pt idx="985">
                  <c:v>8250.3048964899499</c:v>
                </c:pt>
                <c:pt idx="986">
                  <c:v>8250.3048964899499</c:v>
                </c:pt>
                <c:pt idx="987">
                  <c:v>8250.3048964899499</c:v>
                </c:pt>
                <c:pt idx="988">
                  <c:v>8250.3048964899499</c:v>
                </c:pt>
                <c:pt idx="989">
                  <c:v>8250.3048964899499</c:v>
                </c:pt>
                <c:pt idx="990">
                  <c:v>8250.3048964899499</c:v>
                </c:pt>
                <c:pt idx="991">
                  <c:v>8250.3048964899499</c:v>
                </c:pt>
                <c:pt idx="992">
                  <c:v>8250.3048964899499</c:v>
                </c:pt>
                <c:pt idx="993">
                  <c:v>8250.3048964899499</c:v>
                </c:pt>
                <c:pt idx="994">
                  <c:v>8250.3048964899499</c:v>
                </c:pt>
                <c:pt idx="995">
                  <c:v>8250.3048964899499</c:v>
                </c:pt>
                <c:pt idx="996">
                  <c:v>8250.3048964899499</c:v>
                </c:pt>
                <c:pt idx="997">
                  <c:v>8250.3048964899499</c:v>
                </c:pt>
                <c:pt idx="998">
                  <c:v>8250.3048964899499</c:v>
                </c:pt>
                <c:pt idx="999">
                  <c:v>8250.3048964899499</c:v>
                </c:pt>
                <c:pt idx="1000">
                  <c:v>8250.3048964899499</c:v>
                </c:pt>
                <c:pt idx="1001">
                  <c:v>8250.3048964899499</c:v>
                </c:pt>
                <c:pt idx="1002">
                  <c:v>8250.3048964899499</c:v>
                </c:pt>
                <c:pt idx="1003">
                  <c:v>8893.1667705940872</c:v>
                </c:pt>
                <c:pt idx="1004">
                  <c:v>8893.1667705940872</c:v>
                </c:pt>
                <c:pt idx="1005">
                  <c:v>8893.1667705940872</c:v>
                </c:pt>
                <c:pt idx="1006">
                  <c:v>8893.1667705940872</c:v>
                </c:pt>
                <c:pt idx="1007">
                  <c:v>8893.1667705940872</c:v>
                </c:pt>
                <c:pt idx="1008">
                  <c:v>8893.1667705940872</c:v>
                </c:pt>
                <c:pt idx="1009">
                  <c:v>8893.1667705940872</c:v>
                </c:pt>
                <c:pt idx="1010">
                  <c:v>8893.1667705940872</c:v>
                </c:pt>
                <c:pt idx="1011">
                  <c:v>8893.1667705940872</c:v>
                </c:pt>
                <c:pt idx="1012">
                  <c:v>8893.1667705940872</c:v>
                </c:pt>
                <c:pt idx="1013">
                  <c:v>8893.1667705940872</c:v>
                </c:pt>
                <c:pt idx="1014">
                  <c:v>8893.1667705940872</c:v>
                </c:pt>
                <c:pt idx="1015">
                  <c:v>8893.1667705940872</c:v>
                </c:pt>
                <c:pt idx="1016">
                  <c:v>8893.1667705940872</c:v>
                </c:pt>
                <c:pt idx="1017">
                  <c:v>8893.1667705940872</c:v>
                </c:pt>
                <c:pt idx="1018">
                  <c:v>8893.1667705940872</c:v>
                </c:pt>
                <c:pt idx="1019">
                  <c:v>8893.1667705940872</c:v>
                </c:pt>
                <c:pt idx="1020">
                  <c:v>8893.1667705940872</c:v>
                </c:pt>
                <c:pt idx="1021">
                  <c:v>8893.1667705940872</c:v>
                </c:pt>
                <c:pt idx="1022">
                  <c:v>8893.1667705940872</c:v>
                </c:pt>
                <c:pt idx="1023">
                  <c:v>8893.1667705940872</c:v>
                </c:pt>
                <c:pt idx="1024">
                  <c:v>8893.1667705940872</c:v>
                </c:pt>
                <c:pt idx="1025">
                  <c:v>8893.1667705940872</c:v>
                </c:pt>
                <c:pt idx="1026">
                  <c:v>8893.1667705940872</c:v>
                </c:pt>
                <c:pt idx="1027">
                  <c:v>8893.1667705940872</c:v>
                </c:pt>
                <c:pt idx="1028">
                  <c:v>8893.1667705940872</c:v>
                </c:pt>
                <c:pt idx="1029">
                  <c:v>8893.1667705940872</c:v>
                </c:pt>
                <c:pt idx="1030">
                  <c:v>8893.1667705940872</c:v>
                </c:pt>
                <c:pt idx="1031">
                  <c:v>9253.687712962048</c:v>
                </c:pt>
                <c:pt idx="1032">
                  <c:v>9253.687712962048</c:v>
                </c:pt>
                <c:pt idx="1033">
                  <c:v>9253.687712962048</c:v>
                </c:pt>
                <c:pt idx="1034">
                  <c:v>9253.687712962048</c:v>
                </c:pt>
                <c:pt idx="1035">
                  <c:v>9253.687712962048</c:v>
                </c:pt>
                <c:pt idx="1036">
                  <c:v>9253.687712962048</c:v>
                </c:pt>
                <c:pt idx="1037">
                  <c:v>9253.687712962048</c:v>
                </c:pt>
                <c:pt idx="1038">
                  <c:v>9253.687712962048</c:v>
                </c:pt>
                <c:pt idx="1039">
                  <c:v>9253.687712962048</c:v>
                </c:pt>
                <c:pt idx="1040">
                  <c:v>9253.687712962048</c:v>
                </c:pt>
                <c:pt idx="1041">
                  <c:v>9253.687712962048</c:v>
                </c:pt>
                <c:pt idx="1042">
                  <c:v>9253.687712962048</c:v>
                </c:pt>
                <c:pt idx="1043">
                  <c:v>9253.687712962048</c:v>
                </c:pt>
                <c:pt idx="1044">
                  <c:v>9253.687712962048</c:v>
                </c:pt>
                <c:pt idx="1045">
                  <c:v>9253.687712962048</c:v>
                </c:pt>
                <c:pt idx="1046">
                  <c:v>9253.687712962048</c:v>
                </c:pt>
                <c:pt idx="1047">
                  <c:v>9253.687712962048</c:v>
                </c:pt>
                <c:pt idx="1048">
                  <c:v>9253.687712962048</c:v>
                </c:pt>
                <c:pt idx="1049">
                  <c:v>9253.687712962048</c:v>
                </c:pt>
                <c:pt idx="1050">
                  <c:v>9253.687712962048</c:v>
                </c:pt>
                <c:pt idx="1051">
                  <c:v>9253.687712962048</c:v>
                </c:pt>
                <c:pt idx="1052">
                  <c:v>9253.687712962048</c:v>
                </c:pt>
                <c:pt idx="1053">
                  <c:v>9253.687712962048</c:v>
                </c:pt>
                <c:pt idx="1054">
                  <c:v>9253.687712962048</c:v>
                </c:pt>
                <c:pt idx="1055">
                  <c:v>9253.687712962048</c:v>
                </c:pt>
                <c:pt idx="1056">
                  <c:v>9253.687712962048</c:v>
                </c:pt>
                <c:pt idx="1057">
                  <c:v>9253.687712962048</c:v>
                </c:pt>
                <c:pt idx="1058">
                  <c:v>9253.687712962048</c:v>
                </c:pt>
                <c:pt idx="1059">
                  <c:v>9209.4097682298052</c:v>
                </c:pt>
                <c:pt idx="1060">
                  <c:v>9209.4097682298052</c:v>
                </c:pt>
                <c:pt idx="1061">
                  <c:v>9209.4097682298052</c:v>
                </c:pt>
                <c:pt idx="1062">
                  <c:v>9209.4097682298052</c:v>
                </c:pt>
                <c:pt idx="1063">
                  <c:v>9209.4097682298052</c:v>
                </c:pt>
                <c:pt idx="1064">
                  <c:v>9209.4097682298052</c:v>
                </c:pt>
                <c:pt idx="1065">
                  <c:v>9209.4097682298052</c:v>
                </c:pt>
                <c:pt idx="1066">
                  <c:v>9209.4097682298052</c:v>
                </c:pt>
                <c:pt idx="1067">
                  <c:v>9209.4097682298052</c:v>
                </c:pt>
                <c:pt idx="1068">
                  <c:v>9209.4097682298052</c:v>
                </c:pt>
                <c:pt idx="1069">
                  <c:v>9209.4097682298052</c:v>
                </c:pt>
                <c:pt idx="1070">
                  <c:v>9209.4097682298052</c:v>
                </c:pt>
                <c:pt idx="1071">
                  <c:v>9209.4097682298052</c:v>
                </c:pt>
                <c:pt idx="1072">
                  <c:v>9209.4097682298052</c:v>
                </c:pt>
                <c:pt idx="1073">
                  <c:v>9209.4097682298052</c:v>
                </c:pt>
                <c:pt idx="1074">
                  <c:v>9209.4097682298052</c:v>
                </c:pt>
                <c:pt idx="1075">
                  <c:v>9209.4097682298052</c:v>
                </c:pt>
                <c:pt idx="1076">
                  <c:v>9209.4097682298052</c:v>
                </c:pt>
                <c:pt idx="1077">
                  <c:v>9209.4097682298052</c:v>
                </c:pt>
                <c:pt idx="1078">
                  <c:v>9209.4097682298052</c:v>
                </c:pt>
                <c:pt idx="1079">
                  <c:v>9209.4097682298052</c:v>
                </c:pt>
                <c:pt idx="1080">
                  <c:v>9209.4097682298052</c:v>
                </c:pt>
                <c:pt idx="1081">
                  <c:v>9209.4097682298052</c:v>
                </c:pt>
                <c:pt idx="1082">
                  <c:v>9209.4097682298052</c:v>
                </c:pt>
                <c:pt idx="1083">
                  <c:v>9209.4097682298052</c:v>
                </c:pt>
                <c:pt idx="1084">
                  <c:v>9209.4097682298052</c:v>
                </c:pt>
                <c:pt idx="1085">
                  <c:v>9209.4097682298052</c:v>
                </c:pt>
                <c:pt idx="1086">
                  <c:v>9209.4097682298052</c:v>
                </c:pt>
                <c:pt idx="1087">
                  <c:v>9318.0752997804011</c:v>
                </c:pt>
                <c:pt idx="1088">
                  <c:v>9318.0752997804011</c:v>
                </c:pt>
                <c:pt idx="1089">
                  <c:v>9318.0752997804011</c:v>
                </c:pt>
                <c:pt idx="1090">
                  <c:v>9318.0752997804011</c:v>
                </c:pt>
                <c:pt idx="1091">
                  <c:v>9318.0752997804011</c:v>
                </c:pt>
                <c:pt idx="1092">
                  <c:v>9318.0752997804011</c:v>
                </c:pt>
                <c:pt idx="1093">
                  <c:v>9318.0752997804011</c:v>
                </c:pt>
                <c:pt idx="1094">
                  <c:v>9318.0752997804011</c:v>
                </c:pt>
                <c:pt idx="1095">
                  <c:v>9318.0752997804011</c:v>
                </c:pt>
                <c:pt idx="1096">
                  <c:v>9318.0752997804011</c:v>
                </c:pt>
                <c:pt idx="1097">
                  <c:v>9318.0752997804011</c:v>
                </c:pt>
                <c:pt idx="1098">
                  <c:v>9318.0752997804011</c:v>
                </c:pt>
                <c:pt idx="1099">
                  <c:v>9318.0752997804011</c:v>
                </c:pt>
                <c:pt idx="1100">
                  <c:v>9318.0752997804011</c:v>
                </c:pt>
                <c:pt idx="1101">
                  <c:v>9318.0752997804011</c:v>
                </c:pt>
                <c:pt idx="1102">
                  <c:v>9318.0752997804011</c:v>
                </c:pt>
                <c:pt idx="1103">
                  <c:v>9318.0752997804011</c:v>
                </c:pt>
                <c:pt idx="1104">
                  <c:v>9318.0752997804011</c:v>
                </c:pt>
                <c:pt idx="1105">
                  <c:v>9318.0752997804011</c:v>
                </c:pt>
                <c:pt idx="1106">
                  <c:v>9318.0752997804011</c:v>
                </c:pt>
                <c:pt idx="1107">
                  <c:v>9318.0752997804011</c:v>
                </c:pt>
                <c:pt idx="1108">
                  <c:v>9318.0752997804011</c:v>
                </c:pt>
                <c:pt idx="1109">
                  <c:v>9318.0752997804011</c:v>
                </c:pt>
                <c:pt idx="1110">
                  <c:v>9318.0752997804011</c:v>
                </c:pt>
                <c:pt idx="1111">
                  <c:v>9318.0752997804011</c:v>
                </c:pt>
                <c:pt idx="1112">
                  <c:v>9318.0752997804011</c:v>
                </c:pt>
                <c:pt idx="1113">
                  <c:v>9318.0752997804011</c:v>
                </c:pt>
                <c:pt idx="1114">
                  <c:v>9318.0752997804011</c:v>
                </c:pt>
                <c:pt idx="1115">
                  <c:v>9001.7613486315931</c:v>
                </c:pt>
                <c:pt idx="1116">
                  <c:v>9001.7613486315931</c:v>
                </c:pt>
                <c:pt idx="1117">
                  <c:v>9001.7613486315931</c:v>
                </c:pt>
                <c:pt idx="1118">
                  <c:v>9001.7613486315931</c:v>
                </c:pt>
                <c:pt idx="1119">
                  <c:v>9001.7613486315931</c:v>
                </c:pt>
                <c:pt idx="1120">
                  <c:v>9001.7613486315931</c:v>
                </c:pt>
                <c:pt idx="1121">
                  <c:v>9001.7613486315931</c:v>
                </c:pt>
                <c:pt idx="1122">
                  <c:v>9001.7613486315931</c:v>
                </c:pt>
                <c:pt idx="1123">
                  <c:v>9001.7613486315931</c:v>
                </c:pt>
                <c:pt idx="1124">
                  <c:v>9001.7613486315931</c:v>
                </c:pt>
                <c:pt idx="1125">
                  <c:v>9001.7613486315931</c:v>
                </c:pt>
                <c:pt idx="1126">
                  <c:v>9001.7613486315931</c:v>
                </c:pt>
                <c:pt idx="1127">
                  <c:v>9001.7613486315931</c:v>
                </c:pt>
                <c:pt idx="1128">
                  <c:v>9001.7613486315931</c:v>
                </c:pt>
                <c:pt idx="1129">
                  <c:v>9001.7613486315931</c:v>
                </c:pt>
                <c:pt idx="1130">
                  <c:v>9001.7613486315931</c:v>
                </c:pt>
                <c:pt idx="1131">
                  <c:v>9001.7613486315931</c:v>
                </c:pt>
                <c:pt idx="1132">
                  <c:v>9001.7613486315931</c:v>
                </c:pt>
                <c:pt idx="1133">
                  <c:v>9001.7613486315931</c:v>
                </c:pt>
                <c:pt idx="1134">
                  <c:v>9001.7613486315931</c:v>
                </c:pt>
                <c:pt idx="1135">
                  <c:v>9001.7613486315931</c:v>
                </c:pt>
                <c:pt idx="1136">
                  <c:v>9001.7613486315931</c:v>
                </c:pt>
                <c:pt idx="1137">
                  <c:v>9001.7613486315931</c:v>
                </c:pt>
                <c:pt idx="1138">
                  <c:v>9001.7613486315931</c:v>
                </c:pt>
                <c:pt idx="1139">
                  <c:v>9001.7613486315931</c:v>
                </c:pt>
                <c:pt idx="1140">
                  <c:v>9001.7613486315931</c:v>
                </c:pt>
                <c:pt idx="1141">
                  <c:v>9001.7613486315931</c:v>
                </c:pt>
                <c:pt idx="1142">
                  <c:v>9001.7613486315931</c:v>
                </c:pt>
                <c:pt idx="1143">
                  <c:v>9028.4887802279591</c:v>
                </c:pt>
                <c:pt idx="1144">
                  <c:v>9028.4887802279591</c:v>
                </c:pt>
                <c:pt idx="1145">
                  <c:v>9028.4887802279591</c:v>
                </c:pt>
                <c:pt idx="1146">
                  <c:v>9028.4887802279591</c:v>
                </c:pt>
                <c:pt idx="1147">
                  <c:v>9028.4887802279591</c:v>
                </c:pt>
                <c:pt idx="1148">
                  <c:v>9028.4887802279591</c:v>
                </c:pt>
                <c:pt idx="1149">
                  <c:v>9028.4887802279591</c:v>
                </c:pt>
                <c:pt idx="1150">
                  <c:v>9028.4887802279591</c:v>
                </c:pt>
                <c:pt idx="1151">
                  <c:v>9028.4887802279591</c:v>
                </c:pt>
                <c:pt idx="1152">
                  <c:v>9028.4887802279591</c:v>
                </c:pt>
                <c:pt idx="1153">
                  <c:v>9028.4887802279591</c:v>
                </c:pt>
                <c:pt idx="1154">
                  <c:v>9028.4887802279591</c:v>
                </c:pt>
                <c:pt idx="1155">
                  <c:v>9028.4887802279591</c:v>
                </c:pt>
                <c:pt idx="1156">
                  <c:v>9028.4887802279591</c:v>
                </c:pt>
                <c:pt idx="1157">
                  <c:v>9028.4887802279591</c:v>
                </c:pt>
                <c:pt idx="1158">
                  <c:v>9028.4887802279591</c:v>
                </c:pt>
                <c:pt idx="1159">
                  <c:v>9028.4887802279591</c:v>
                </c:pt>
                <c:pt idx="1160">
                  <c:v>9028.4887802279591</c:v>
                </c:pt>
                <c:pt idx="1161">
                  <c:v>9028.4887802279591</c:v>
                </c:pt>
                <c:pt idx="1162">
                  <c:v>9028.4887802279591</c:v>
                </c:pt>
                <c:pt idx="1163">
                  <c:v>9028.4887802279591</c:v>
                </c:pt>
                <c:pt idx="1164">
                  <c:v>9028.4887802279591</c:v>
                </c:pt>
                <c:pt idx="1165">
                  <c:v>9028.4887802279591</c:v>
                </c:pt>
                <c:pt idx="1166">
                  <c:v>9028.4887802279591</c:v>
                </c:pt>
                <c:pt idx="1167">
                  <c:v>9028.4887802279591</c:v>
                </c:pt>
                <c:pt idx="1168">
                  <c:v>9028.4887802279591</c:v>
                </c:pt>
                <c:pt idx="1169">
                  <c:v>9028.4887802279591</c:v>
                </c:pt>
                <c:pt idx="1170">
                  <c:v>9028.4887802279591</c:v>
                </c:pt>
                <c:pt idx="1171">
                  <c:v>9175.9400000000023</c:v>
                </c:pt>
                <c:pt idx="1172">
                  <c:v>9175.9400000000023</c:v>
                </c:pt>
                <c:pt idx="1173">
                  <c:v>9175.9400000000023</c:v>
                </c:pt>
                <c:pt idx="1174">
                  <c:v>9175.9400000000023</c:v>
                </c:pt>
                <c:pt idx="1175">
                  <c:v>9175.9400000000023</c:v>
                </c:pt>
                <c:pt idx="1176">
                  <c:v>9175.9400000000023</c:v>
                </c:pt>
                <c:pt idx="1177">
                  <c:v>9175.9400000000023</c:v>
                </c:pt>
                <c:pt idx="1178">
                  <c:v>9175.9400000000023</c:v>
                </c:pt>
                <c:pt idx="1179">
                  <c:v>9175.9400000000023</c:v>
                </c:pt>
                <c:pt idx="1180">
                  <c:v>9175.9400000000023</c:v>
                </c:pt>
                <c:pt idx="1181">
                  <c:v>9175.9400000000023</c:v>
                </c:pt>
                <c:pt idx="1182">
                  <c:v>9175.9400000000023</c:v>
                </c:pt>
                <c:pt idx="1183">
                  <c:v>9175.9400000000023</c:v>
                </c:pt>
                <c:pt idx="1184">
                  <c:v>9175.9400000000023</c:v>
                </c:pt>
                <c:pt idx="1185">
                  <c:v>9175.9400000000023</c:v>
                </c:pt>
                <c:pt idx="1186">
                  <c:v>9175.9400000000023</c:v>
                </c:pt>
                <c:pt idx="1187">
                  <c:v>9175.9400000000023</c:v>
                </c:pt>
                <c:pt idx="1188">
                  <c:v>9175.9400000000023</c:v>
                </c:pt>
                <c:pt idx="1189">
                  <c:v>9175.9400000000023</c:v>
                </c:pt>
                <c:pt idx="1190">
                  <c:v>9175.9400000000023</c:v>
                </c:pt>
                <c:pt idx="1191">
                  <c:v>9175.9400000000023</c:v>
                </c:pt>
                <c:pt idx="1192">
                  <c:v>9175.9400000000023</c:v>
                </c:pt>
                <c:pt idx="1193">
                  <c:v>9175.9400000000023</c:v>
                </c:pt>
                <c:pt idx="1194">
                  <c:v>9175.9400000000023</c:v>
                </c:pt>
                <c:pt idx="1195">
                  <c:v>9175.9400000000023</c:v>
                </c:pt>
                <c:pt idx="1196">
                  <c:v>9175.9400000000023</c:v>
                </c:pt>
                <c:pt idx="1197">
                  <c:v>9175.9400000000023</c:v>
                </c:pt>
                <c:pt idx="1198">
                  <c:v>9175.9400000000023</c:v>
                </c:pt>
                <c:pt idx="1199">
                  <c:v>9104.2842254726129</c:v>
                </c:pt>
                <c:pt idx="1200">
                  <c:v>9104.2842254726129</c:v>
                </c:pt>
                <c:pt idx="1201">
                  <c:v>9104.2842254726129</c:v>
                </c:pt>
                <c:pt idx="1202">
                  <c:v>9104.2842254726129</c:v>
                </c:pt>
                <c:pt idx="1203">
                  <c:v>9104.2842254726129</c:v>
                </c:pt>
                <c:pt idx="1204">
                  <c:v>9104.2842254726129</c:v>
                </c:pt>
                <c:pt idx="1205">
                  <c:v>9104.2842254726129</c:v>
                </c:pt>
                <c:pt idx="1206">
                  <c:v>9104.2842254726129</c:v>
                </c:pt>
                <c:pt idx="1207">
                  <c:v>9104.2842254726129</c:v>
                </c:pt>
                <c:pt idx="1208">
                  <c:v>9104.2842254726129</c:v>
                </c:pt>
                <c:pt idx="1209">
                  <c:v>9104.2842254726129</c:v>
                </c:pt>
                <c:pt idx="1210">
                  <c:v>9104.2842254726129</c:v>
                </c:pt>
                <c:pt idx="1211">
                  <c:v>9104.2842254726129</c:v>
                </c:pt>
                <c:pt idx="1212">
                  <c:v>9104.2842254726129</c:v>
                </c:pt>
                <c:pt idx="1213">
                  <c:v>9104.2842254726129</c:v>
                </c:pt>
                <c:pt idx="1214">
                  <c:v>9104.2842254726129</c:v>
                </c:pt>
                <c:pt idx="1215">
                  <c:v>9104.2842254726129</c:v>
                </c:pt>
                <c:pt idx="1216">
                  <c:v>9104.2842254726129</c:v>
                </c:pt>
                <c:pt idx="1217">
                  <c:v>9104.2842254726129</c:v>
                </c:pt>
                <c:pt idx="1218">
                  <c:v>9104.2842254726129</c:v>
                </c:pt>
                <c:pt idx="1219">
                  <c:v>9104.2842254726129</c:v>
                </c:pt>
                <c:pt idx="1220">
                  <c:v>9104.2842254726129</c:v>
                </c:pt>
                <c:pt idx="1221">
                  <c:v>9104.2842254726129</c:v>
                </c:pt>
                <c:pt idx="1222">
                  <c:v>9104.2842254726129</c:v>
                </c:pt>
                <c:pt idx="1223">
                  <c:v>9104.2842254726129</c:v>
                </c:pt>
                <c:pt idx="1224">
                  <c:v>9104.2842254726129</c:v>
                </c:pt>
                <c:pt idx="1225">
                  <c:v>9104.2842254726129</c:v>
                </c:pt>
                <c:pt idx="1226">
                  <c:v>9104.2842254726129</c:v>
                </c:pt>
                <c:pt idx="1227">
                  <c:v>9170.68</c:v>
                </c:pt>
                <c:pt idx="1228">
                  <c:v>9170.68</c:v>
                </c:pt>
                <c:pt idx="1229">
                  <c:v>9170.68</c:v>
                </c:pt>
                <c:pt idx="1230">
                  <c:v>9170.68</c:v>
                </c:pt>
                <c:pt idx="1231">
                  <c:v>9170.68</c:v>
                </c:pt>
                <c:pt idx="1232">
                  <c:v>9170.68</c:v>
                </c:pt>
                <c:pt idx="1233">
                  <c:v>9170.68</c:v>
                </c:pt>
                <c:pt idx="1234">
                  <c:v>9170.68</c:v>
                </c:pt>
                <c:pt idx="1235">
                  <c:v>9170.68</c:v>
                </c:pt>
                <c:pt idx="1236">
                  <c:v>9170.68</c:v>
                </c:pt>
                <c:pt idx="1237">
                  <c:v>9170.68</c:v>
                </c:pt>
                <c:pt idx="1238">
                  <c:v>9170.68</c:v>
                </c:pt>
                <c:pt idx="1239">
                  <c:v>9170.68</c:v>
                </c:pt>
                <c:pt idx="1240">
                  <c:v>9170.68</c:v>
                </c:pt>
                <c:pt idx="1241">
                  <c:v>9170.68</c:v>
                </c:pt>
                <c:pt idx="1242">
                  <c:v>9170.68</c:v>
                </c:pt>
                <c:pt idx="1243">
                  <c:v>9170.68</c:v>
                </c:pt>
                <c:pt idx="1244">
                  <c:v>9170.68</c:v>
                </c:pt>
                <c:pt idx="1245">
                  <c:v>9170.68</c:v>
                </c:pt>
                <c:pt idx="1246">
                  <c:v>9170.68</c:v>
                </c:pt>
                <c:pt idx="1247">
                  <c:v>9170.68</c:v>
                </c:pt>
                <c:pt idx="1248">
                  <c:v>9170.68</c:v>
                </c:pt>
                <c:pt idx="1249">
                  <c:v>9170.68</c:v>
                </c:pt>
                <c:pt idx="1250">
                  <c:v>9170.68</c:v>
                </c:pt>
                <c:pt idx="1251">
                  <c:v>9170.68</c:v>
                </c:pt>
                <c:pt idx="1252">
                  <c:v>9170.68</c:v>
                </c:pt>
                <c:pt idx="1253">
                  <c:v>9170.68</c:v>
                </c:pt>
                <c:pt idx="1254">
                  <c:v>9170.68</c:v>
                </c:pt>
                <c:pt idx="1255">
                  <c:v>9269.3723962101176</c:v>
                </c:pt>
                <c:pt idx="1256">
                  <c:v>9269.3723962101176</c:v>
                </c:pt>
                <c:pt idx="1257">
                  <c:v>9269.3723962101176</c:v>
                </c:pt>
                <c:pt idx="1258">
                  <c:v>9269.3723962101176</c:v>
                </c:pt>
                <c:pt idx="1259">
                  <c:v>9269.3723962101176</c:v>
                </c:pt>
                <c:pt idx="1260">
                  <c:v>9269.3723962101176</c:v>
                </c:pt>
                <c:pt idx="1261">
                  <c:v>9269.3723962101176</c:v>
                </c:pt>
                <c:pt idx="1262">
                  <c:v>9269.3723962101176</c:v>
                </c:pt>
                <c:pt idx="1263">
                  <c:v>9269.3723962101176</c:v>
                </c:pt>
                <c:pt idx="1264">
                  <c:v>9269.3723962101176</c:v>
                </c:pt>
                <c:pt idx="1265">
                  <c:v>9269.3723962101176</c:v>
                </c:pt>
                <c:pt idx="1266">
                  <c:v>9269.3723962101176</c:v>
                </c:pt>
                <c:pt idx="1267">
                  <c:v>9269.3723962101176</c:v>
                </c:pt>
                <c:pt idx="1268">
                  <c:v>9269.3723962101176</c:v>
                </c:pt>
                <c:pt idx="1269">
                  <c:v>9269.3723962101176</c:v>
                </c:pt>
                <c:pt idx="1270">
                  <c:v>9269.3723962101176</c:v>
                </c:pt>
                <c:pt idx="1271">
                  <c:v>9269.3723962101176</c:v>
                </c:pt>
                <c:pt idx="1272">
                  <c:v>9269.3723962101176</c:v>
                </c:pt>
                <c:pt idx="1273">
                  <c:v>9269.3723962101176</c:v>
                </c:pt>
                <c:pt idx="1274">
                  <c:v>9269.3723962101176</c:v>
                </c:pt>
                <c:pt idx="1275">
                  <c:v>9269.3723962101176</c:v>
                </c:pt>
                <c:pt idx="1276">
                  <c:v>9269.3723962101176</c:v>
                </c:pt>
                <c:pt idx="1277">
                  <c:v>9269.3723962101176</c:v>
                </c:pt>
                <c:pt idx="1278">
                  <c:v>9269.3723962101176</c:v>
                </c:pt>
                <c:pt idx="1279">
                  <c:v>9269.3723962101176</c:v>
                </c:pt>
                <c:pt idx="1280">
                  <c:v>9269.3723962101176</c:v>
                </c:pt>
                <c:pt idx="1281">
                  <c:v>9269.3723962101176</c:v>
                </c:pt>
                <c:pt idx="1282">
                  <c:v>9269.3723962101176</c:v>
                </c:pt>
                <c:pt idx="1283">
                  <c:v>9470.34</c:v>
                </c:pt>
                <c:pt idx="1284">
                  <c:v>9470.34</c:v>
                </c:pt>
                <c:pt idx="1285">
                  <c:v>9470.34</c:v>
                </c:pt>
                <c:pt idx="1286">
                  <c:v>9470.34</c:v>
                </c:pt>
                <c:pt idx="1287">
                  <c:v>9470.34</c:v>
                </c:pt>
                <c:pt idx="1288">
                  <c:v>9470.34</c:v>
                </c:pt>
                <c:pt idx="1289">
                  <c:v>9470.34</c:v>
                </c:pt>
                <c:pt idx="1290">
                  <c:v>9470.34</c:v>
                </c:pt>
                <c:pt idx="1291">
                  <c:v>9470.34</c:v>
                </c:pt>
                <c:pt idx="1292">
                  <c:v>9470.34</c:v>
                </c:pt>
                <c:pt idx="1293">
                  <c:v>9470.34</c:v>
                </c:pt>
                <c:pt idx="1294">
                  <c:v>9470.34</c:v>
                </c:pt>
                <c:pt idx="1295">
                  <c:v>9470.34</c:v>
                </c:pt>
                <c:pt idx="1296">
                  <c:v>9470.34</c:v>
                </c:pt>
                <c:pt idx="1297">
                  <c:v>9470.34</c:v>
                </c:pt>
                <c:pt idx="1298">
                  <c:v>9470.34</c:v>
                </c:pt>
                <c:pt idx="1299">
                  <c:v>9470.34</c:v>
                </c:pt>
                <c:pt idx="1300">
                  <c:v>9470.34</c:v>
                </c:pt>
                <c:pt idx="1301">
                  <c:v>9470.34</c:v>
                </c:pt>
                <c:pt idx="1302">
                  <c:v>9470.34</c:v>
                </c:pt>
                <c:pt idx="1303">
                  <c:v>9470.34</c:v>
                </c:pt>
                <c:pt idx="1304">
                  <c:v>9470.34</c:v>
                </c:pt>
                <c:pt idx="1305">
                  <c:v>9470.34</c:v>
                </c:pt>
                <c:pt idx="1306">
                  <c:v>9470.34</c:v>
                </c:pt>
                <c:pt idx="1307">
                  <c:v>9470.34</c:v>
                </c:pt>
                <c:pt idx="1308">
                  <c:v>9470.34</c:v>
                </c:pt>
                <c:pt idx="1309">
                  <c:v>9470.34</c:v>
                </c:pt>
                <c:pt idx="1310">
                  <c:v>9470.34</c:v>
                </c:pt>
                <c:pt idx="1311">
                  <c:v>9571.8950851390382</c:v>
                </c:pt>
                <c:pt idx="1312">
                  <c:v>9572</c:v>
                </c:pt>
                <c:pt idx="1313">
                  <c:v>9572</c:v>
                </c:pt>
                <c:pt idx="1314">
                  <c:v>9572</c:v>
                </c:pt>
                <c:pt idx="1315">
                  <c:v>9572</c:v>
                </c:pt>
                <c:pt idx="1316">
                  <c:v>9572</c:v>
                </c:pt>
                <c:pt idx="1317">
                  <c:v>9572</c:v>
                </c:pt>
                <c:pt idx="1318">
                  <c:v>9572</c:v>
                </c:pt>
                <c:pt idx="1319">
                  <c:v>9572</c:v>
                </c:pt>
                <c:pt idx="1320">
                  <c:v>9572</c:v>
                </c:pt>
                <c:pt idx="1321">
                  <c:v>9572</c:v>
                </c:pt>
                <c:pt idx="1322">
                  <c:v>9572</c:v>
                </c:pt>
                <c:pt idx="1323">
                  <c:v>9572</c:v>
                </c:pt>
                <c:pt idx="1324">
                  <c:v>9572</c:v>
                </c:pt>
                <c:pt idx="1325">
                  <c:v>9572</c:v>
                </c:pt>
                <c:pt idx="1326">
                  <c:v>9572</c:v>
                </c:pt>
                <c:pt idx="1327">
                  <c:v>9572</c:v>
                </c:pt>
                <c:pt idx="1328">
                  <c:v>9572</c:v>
                </c:pt>
                <c:pt idx="1329">
                  <c:v>9572</c:v>
                </c:pt>
                <c:pt idx="1330">
                  <c:v>9572</c:v>
                </c:pt>
                <c:pt idx="1331">
                  <c:v>9572</c:v>
                </c:pt>
                <c:pt idx="1332">
                  <c:v>9572</c:v>
                </c:pt>
                <c:pt idx="1333">
                  <c:v>9572</c:v>
                </c:pt>
                <c:pt idx="1334">
                  <c:v>9572</c:v>
                </c:pt>
                <c:pt idx="1335">
                  <c:v>9572</c:v>
                </c:pt>
                <c:pt idx="1336">
                  <c:v>9572</c:v>
                </c:pt>
                <c:pt idx="1337">
                  <c:v>9572</c:v>
                </c:pt>
                <c:pt idx="1338">
                  <c:v>9572</c:v>
                </c:pt>
                <c:pt idx="1339">
                  <c:v>9711.8700000000008</c:v>
                </c:pt>
                <c:pt idx="1340">
                  <c:v>9711.8700000000008</c:v>
                </c:pt>
                <c:pt idx="1341">
                  <c:v>9711.8700000000008</c:v>
                </c:pt>
                <c:pt idx="1342">
                  <c:v>9711.8700000000008</c:v>
                </c:pt>
                <c:pt idx="1343">
                  <c:v>9711.8700000000008</c:v>
                </c:pt>
                <c:pt idx="1344">
                  <c:v>9711.8700000000008</c:v>
                </c:pt>
                <c:pt idx="1345">
                  <c:v>9711.8700000000008</c:v>
                </c:pt>
                <c:pt idx="1346">
                  <c:v>9711.8700000000008</c:v>
                </c:pt>
                <c:pt idx="1347">
                  <c:v>9711.8700000000008</c:v>
                </c:pt>
                <c:pt idx="1348">
                  <c:v>9711.8700000000008</c:v>
                </c:pt>
                <c:pt idx="1349">
                  <c:v>9711.8700000000008</c:v>
                </c:pt>
                <c:pt idx="1350">
                  <c:v>9711.8700000000008</c:v>
                </c:pt>
                <c:pt idx="1351">
                  <c:v>9711.8700000000008</c:v>
                </c:pt>
                <c:pt idx="1352">
                  <c:v>9711.8700000000008</c:v>
                </c:pt>
                <c:pt idx="1353">
                  <c:v>9711.8700000000008</c:v>
                </c:pt>
                <c:pt idx="1354">
                  <c:v>9711.8700000000008</c:v>
                </c:pt>
                <c:pt idx="1355">
                  <c:v>9711.8700000000008</c:v>
                </c:pt>
                <c:pt idx="1356">
                  <c:v>9711.8700000000008</c:v>
                </c:pt>
                <c:pt idx="1357">
                  <c:v>9711.8700000000008</c:v>
                </c:pt>
                <c:pt idx="1358">
                  <c:v>9711.8700000000008</c:v>
                </c:pt>
                <c:pt idx="1359">
                  <c:v>9711.8700000000008</c:v>
                </c:pt>
                <c:pt idx="1360">
                  <c:v>9711.8700000000008</c:v>
                </c:pt>
                <c:pt idx="1361">
                  <c:v>9711.8700000000008</c:v>
                </c:pt>
                <c:pt idx="1362">
                  <c:v>9711.8700000000008</c:v>
                </c:pt>
                <c:pt idx="1363">
                  <c:v>9711.8700000000008</c:v>
                </c:pt>
                <c:pt idx="1364">
                  <c:v>9711.8700000000008</c:v>
                </c:pt>
                <c:pt idx="1365">
                  <c:v>9711.8700000000008</c:v>
                </c:pt>
                <c:pt idx="1366">
                  <c:v>9711.8700000000008</c:v>
                </c:pt>
                <c:pt idx="1367">
                  <c:v>9857.4500000000007</c:v>
                </c:pt>
                <c:pt idx="1368">
                  <c:v>9857.4500000000007</c:v>
                </c:pt>
                <c:pt idx="1369">
                  <c:v>9857.4500000000007</c:v>
                </c:pt>
                <c:pt idx="1370">
                  <c:v>9857.4500000000007</c:v>
                </c:pt>
                <c:pt idx="1371">
                  <c:v>9857.4500000000007</c:v>
                </c:pt>
                <c:pt idx="1372">
                  <c:v>9857.4500000000007</c:v>
                </c:pt>
                <c:pt idx="1373">
                  <c:v>9857.4500000000007</c:v>
                </c:pt>
                <c:pt idx="1374">
                  <c:v>9857.4500000000007</c:v>
                </c:pt>
                <c:pt idx="1375">
                  <c:v>9857.4500000000007</c:v>
                </c:pt>
                <c:pt idx="1376">
                  <c:v>9857.4500000000007</c:v>
                </c:pt>
                <c:pt idx="1377">
                  <c:v>9857.4500000000007</c:v>
                </c:pt>
                <c:pt idx="1378">
                  <c:v>9857.4500000000007</c:v>
                </c:pt>
                <c:pt idx="1379">
                  <c:v>9857.4500000000007</c:v>
                </c:pt>
                <c:pt idx="1380">
                  <c:v>9857.4500000000007</c:v>
                </c:pt>
                <c:pt idx="1381">
                  <c:v>9857.4500000000007</c:v>
                </c:pt>
                <c:pt idx="1382">
                  <c:v>9857.4500000000007</c:v>
                </c:pt>
                <c:pt idx="1383">
                  <c:v>9857.4500000000007</c:v>
                </c:pt>
                <c:pt idx="1384">
                  <c:v>9857.4500000000007</c:v>
                </c:pt>
                <c:pt idx="1385">
                  <c:v>9857.4500000000007</c:v>
                </c:pt>
                <c:pt idx="1386">
                  <c:v>9857.4500000000007</c:v>
                </c:pt>
                <c:pt idx="1387">
                  <c:v>9857.4500000000007</c:v>
                </c:pt>
                <c:pt idx="1388">
                  <c:v>9857.4500000000007</c:v>
                </c:pt>
                <c:pt idx="1389">
                  <c:v>9857.4500000000007</c:v>
                </c:pt>
                <c:pt idx="1390">
                  <c:v>9857.4500000000007</c:v>
                </c:pt>
                <c:pt idx="1391">
                  <c:v>9857.4500000000007</c:v>
                </c:pt>
                <c:pt idx="1392">
                  <c:v>9857.4500000000007</c:v>
                </c:pt>
                <c:pt idx="1393">
                  <c:v>9857.4500000000007</c:v>
                </c:pt>
                <c:pt idx="1394">
                  <c:v>9857.4500000000007</c:v>
                </c:pt>
                <c:pt idx="1395">
                  <c:v>9842.7099999999991</c:v>
                </c:pt>
                <c:pt idx="1396">
                  <c:v>9842.7099999999991</c:v>
                </c:pt>
                <c:pt idx="1397">
                  <c:v>9842.7099999999991</c:v>
                </c:pt>
                <c:pt idx="1398">
                  <c:v>9842.7099999999991</c:v>
                </c:pt>
                <c:pt idx="1399">
                  <c:v>9842.7099999999991</c:v>
                </c:pt>
                <c:pt idx="1400">
                  <c:v>9842.7099999999991</c:v>
                </c:pt>
                <c:pt idx="1401">
                  <c:v>9842.7099999999991</c:v>
                </c:pt>
                <c:pt idx="1402">
                  <c:v>9842.7099999999991</c:v>
                </c:pt>
                <c:pt idx="1403">
                  <c:v>9842.7099999999991</c:v>
                </c:pt>
                <c:pt idx="1404">
                  <c:v>9842.7099999999991</c:v>
                </c:pt>
                <c:pt idx="1405">
                  <c:v>9842.7099999999991</c:v>
                </c:pt>
                <c:pt idx="1406">
                  <c:v>9842.7099999999991</c:v>
                </c:pt>
                <c:pt idx="1407">
                  <c:v>9842.7099999999991</c:v>
                </c:pt>
                <c:pt idx="1408">
                  <c:v>9842.7099999999991</c:v>
                </c:pt>
                <c:pt idx="1409">
                  <c:v>9842.7099999999991</c:v>
                </c:pt>
                <c:pt idx="1410">
                  <c:v>9842.7099999999991</c:v>
                </c:pt>
                <c:pt idx="1411">
                  <c:v>9842.7099999999991</c:v>
                </c:pt>
                <c:pt idx="1412">
                  <c:v>9842.7099999999991</c:v>
                </c:pt>
                <c:pt idx="1413">
                  <c:v>9842.7099999999991</c:v>
                </c:pt>
                <c:pt idx="1414">
                  <c:v>9842.7099999999991</c:v>
                </c:pt>
                <c:pt idx="1415">
                  <c:v>9842.7099999999991</c:v>
                </c:pt>
                <c:pt idx="1416">
                  <c:v>9842.7099999999991</c:v>
                </c:pt>
                <c:pt idx="1417">
                  <c:v>9842.7099999999991</c:v>
                </c:pt>
                <c:pt idx="1418">
                  <c:v>9842.7099999999991</c:v>
                </c:pt>
                <c:pt idx="1419">
                  <c:v>9842.7099999999991</c:v>
                </c:pt>
                <c:pt idx="1420">
                  <c:v>9842.7099999999991</c:v>
                </c:pt>
                <c:pt idx="1421">
                  <c:v>9842.7099999999991</c:v>
                </c:pt>
                <c:pt idx="1422">
                  <c:v>9842.7099999999991</c:v>
                </c:pt>
                <c:pt idx="1423">
                  <c:v>9969.3327702253428</c:v>
                </c:pt>
                <c:pt idx="1424">
                  <c:v>9969.3327702253428</c:v>
                </c:pt>
                <c:pt idx="1425">
                  <c:v>9969.3327702253428</c:v>
                </c:pt>
                <c:pt idx="1426">
                  <c:v>9969.3327702253428</c:v>
                </c:pt>
                <c:pt idx="1427">
                  <c:v>9969.3327702253428</c:v>
                </c:pt>
                <c:pt idx="1428">
                  <c:v>9969.3327702253428</c:v>
                </c:pt>
                <c:pt idx="1429">
                  <c:v>9969.3327702253428</c:v>
                </c:pt>
                <c:pt idx="1430">
                  <c:v>9969.3327702253428</c:v>
                </c:pt>
                <c:pt idx="1431">
                  <c:v>9969.3327702253428</c:v>
                </c:pt>
                <c:pt idx="1432">
                  <c:v>9969.3327702253428</c:v>
                </c:pt>
                <c:pt idx="1433">
                  <c:v>9969.3327702253428</c:v>
                </c:pt>
                <c:pt idx="1434">
                  <c:v>9969.3327702253428</c:v>
                </c:pt>
                <c:pt idx="1435">
                  <c:v>9969.3327702253428</c:v>
                </c:pt>
                <c:pt idx="1436">
                  <c:v>9969.3327702253428</c:v>
                </c:pt>
                <c:pt idx="1437">
                  <c:v>9969.3327702253428</c:v>
                </c:pt>
                <c:pt idx="1438">
                  <c:v>9969.3327702253428</c:v>
                </c:pt>
                <c:pt idx="1439">
                  <c:v>9969.3327702253428</c:v>
                </c:pt>
                <c:pt idx="1440">
                  <c:v>9969.3327702253428</c:v>
                </c:pt>
                <c:pt idx="1441">
                  <c:v>9969.3327702253428</c:v>
                </c:pt>
                <c:pt idx="1442">
                  <c:v>9969.3327702253428</c:v>
                </c:pt>
                <c:pt idx="1443">
                  <c:v>9969.3327702253428</c:v>
                </c:pt>
                <c:pt idx="1444">
                  <c:v>9969.3327702253428</c:v>
                </c:pt>
                <c:pt idx="1445">
                  <c:v>9969.3327702253428</c:v>
                </c:pt>
                <c:pt idx="1446">
                  <c:v>9969.3327702253428</c:v>
                </c:pt>
                <c:pt idx="1447">
                  <c:v>9969.3327702253428</c:v>
                </c:pt>
                <c:pt idx="1448">
                  <c:v>9969.3327702253428</c:v>
                </c:pt>
                <c:pt idx="1449">
                  <c:v>9969.3327702253428</c:v>
                </c:pt>
                <c:pt idx="1450">
                  <c:v>9969.3327702253428</c:v>
                </c:pt>
                <c:pt idx="1451">
                  <c:v>9874.16</c:v>
                </c:pt>
                <c:pt idx="1452">
                  <c:v>9874.16</c:v>
                </c:pt>
                <c:pt idx="1453">
                  <c:v>9874.16</c:v>
                </c:pt>
                <c:pt idx="1454">
                  <c:v>9874.16</c:v>
                </c:pt>
                <c:pt idx="1455">
                  <c:v>9874.16</c:v>
                </c:pt>
                <c:pt idx="1456">
                  <c:v>9874.16</c:v>
                </c:pt>
                <c:pt idx="1457">
                  <c:v>9874.16</c:v>
                </c:pt>
                <c:pt idx="1458">
                  <c:v>9874.16</c:v>
                </c:pt>
                <c:pt idx="1459">
                  <c:v>9874.16</c:v>
                </c:pt>
                <c:pt idx="1460">
                  <c:v>9874.16</c:v>
                </c:pt>
                <c:pt idx="1461">
                  <c:v>9874.16</c:v>
                </c:pt>
                <c:pt idx="1462">
                  <c:v>9874.16</c:v>
                </c:pt>
                <c:pt idx="1463">
                  <c:v>9874.16</c:v>
                </c:pt>
                <c:pt idx="1464">
                  <c:v>9874.16</c:v>
                </c:pt>
                <c:pt idx="1465">
                  <c:v>9874.16</c:v>
                </c:pt>
                <c:pt idx="1466">
                  <c:v>9874.16</c:v>
                </c:pt>
                <c:pt idx="1467">
                  <c:v>9874.16</c:v>
                </c:pt>
                <c:pt idx="1468">
                  <c:v>9874.16</c:v>
                </c:pt>
                <c:pt idx="1469">
                  <c:v>9874.16</c:v>
                </c:pt>
                <c:pt idx="1470">
                  <c:v>9874.16</c:v>
                </c:pt>
                <c:pt idx="1471">
                  <c:v>9874.16</c:v>
                </c:pt>
                <c:pt idx="1472">
                  <c:v>9874.16</c:v>
                </c:pt>
                <c:pt idx="1473">
                  <c:v>9874.16</c:v>
                </c:pt>
                <c:pt idx="1474">
                  <c:v>9874.16</c:v>
                </c:pt>
                <c:pt idx="1475">
                  <c:v>9874.16</c:v>
                </c:pt>
                <c:pt idx="1476">
                  <c:v>9874.16</c:v>
                </c:pt>
                <c:pt idx="1477">
                  <c:v>9874.16</c:v>
                </c:pt>
                <c:pt idx="1478">
                  <c:v>9874.16</c:v>
                </c:pt>
                <c:pt idx="1479">
                  <c:v>9822.2926003178854</c:v>
                </c:pt>
                <c:pt idx="1480">
                  <c:v>9822.2926003178909</c:v>
                </c:pt>
                <c:pt idx="1481">
                  <c:v>9822.2926003178854</c:v>
                </c:pt>
                <c:pt idx="1482">
                  <c:v>9822.2926003178854</c:v>
                </c:pt>
                <c:pt idx="1483">
                  <c:v>9822.2926003178854</c:v>
                </c:pt>
                <c:pt idx="1484">
                  <c:v>9822.2926003178854</c:v>
                </c:pt>
                <c:pt idx="1485">
                  <c:v>9822.2926003178854</c:v>
                </c:pt>
                <c:pt idx="1486">
                  <c:v>9822.2926003178854</c:v>
                </c:pt>
                <c:pt idx="1487">
                  <c:v>9822.2926003178854</c:v>
                </c:pt>
                <c:pt idx="1488">
                  <c:v>9822.2926003178854</c:v>
                </c:pt>
                <c:pt idx="1489">
                  <c:v>9822.2926003178854</c:v>
                </c:pt>
                <c:pt idx="1490">
                  <c:v>9822.2926003178854</c:v>
                </c:pt>
                <c:pt idx="1491">
                  <c:v>9822.2926003178854</c:v>
                </c:pt>
                <c:pt idx="1492">
                  <c:v>9822.2926003178854</c:v>
                </c:pt>
                <c:pt idx="1493">
                  <c:v>9822.2926003178854</c:v>
                </c:pt>
                <c:pt idx="1494">
                  <c:v>9822.2926003178854</c:v>
                </c:pt>
                <c:pt idx="1495">
                  <c:v>9822.2926003178854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2-43C2-A9E5-4CA04C7CD3C7}"/>
            </c:ext>
          </c:extLst>
        </c:ser>
        <c:ser>
          <c:idx val="1"/>
          <c:order val="1"/>
          <c:tx>
            <c:v>Réserves Libres</c:v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BASE!$A$2:$A$1497</c:f>
              <c:numCache>
                <c:formatCode>m/d/yyyy</c:formatCode>
                <c:ptCount val="1496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  <c:pt idx="1495">
                  <c:v>46057</c:v>
                </c:pt>
              </c:numCache>
            </c:numRef>
          </c:cat>
          <c:val>
            <c:numRef>
              <c:f>BASE!$Q$2:$Q$1497</c:f>
              <c:numCache>
                <c:formatCode>_-* #\ ##0_-;\-* #\ ##0_-;_-* "-"??_-;_-@_-</c:formatCode>
                <c:ptCount val="1496"/>
                <c:pt idx="0">
                  <c:v>11924.98594436995</c:v>
                </c:pt>
                <c:pt idx="1">
                  <c:v>11924.98594436995</c:v>
                </c:pt>
                <c:pt idx="2">
                  <c:v>11924.98594436995</c:v>
                </c:pt>
                <c:pt idx="3">
                  <c:v>11692.688345269949</c:v>
                </c:pt>
                <c:pt idx="4">
                  <c:v>11640.779772229951</c:v>
                </c:pt>
                <c:pt idx="5">
                  <c:v>11417.00310872995</c:v>
                </c:pt>
                <c:pt idx="6">
                  <c:v>11240.911006639952</c:v>
                </c:pt>
                <c:pt idx="7">
                  <c:v>11240.911006639952</c:v>
                </c:pt>
                <c:pt idx="8">
                  <c:v>11240.911006639952</c:v>
                </c:pt>
                <c:pt idx="9">
                  <c:v>11266.359281019952</c:v>
                </c:pt>
                <c:pt idx="10">
                  <c:v>11428.856957569948</c:v>
                </c:pt>
                <c:pt idx="11">
                  <c:v>10622.882109199951</c:v>
                </c:pt>
                <c:pt idx="12">
                  <c:v>10469.727763129949</c:v>
                </c:pt>
                <c:pt idx="13">
                  <c:v>10278.069446279951</c:v>
                </c:pt>
                <c:pt idx="14">
                  <c:v>10278.069446279951</c:v>
                </c:pt>
                <c:pt idx="15">
                  <c:v>10278.069446279951</c:v>
                </c:pt>
                <c:pt idx="16">
                  <c:v>9500.4313766999512</c:v>
                </c:pt>
                <c:pt idx="17">
                  <c:v>9087.4567485799489</c:v>
                </c:pt>
                <c:pt idx="18">
                  <c:v>9058.2051912199495</c:v>
                </c:pt>
                <c:pt idx="19">
                  <c:v>9076.8065751099493</c:v>
                </c:pt>
                <c:pt idx="20">
                  <c:v>8968.9483451499509</c:v>
                </c:pt>
                <c:pt idx="21">
                  <c:v>8968.9483451499509</c:v>
                </c:pt>
                <c:pt idx="22">
                  <c:v>8968.9483451499509</c:v>
                </c:pt>
                <c:pt idx="23">
                  <c:v>8270.3701493436511</c:v>
                </c:pt>
                <c:pt idx="24">
                  <c:v>8886.9938372636498</c:v>
                </c:pt>
                <c:pt idx="25">
                  <c:v>8975.2247636536504</c:v>
                </c:pt>
                <c:pt idx="26">
                  <c:v>9321.0744302836501</c:v>
                </c:pt>
                <c:pt idx="27">
                  <c:v>10293.009995593649</c:v>
                </c:pt>
                <c:pt idx="28">
                  <c:v>10293.009995593649</c:v>
                </c:pt>
                <c:pt idx="29">
                  <c:v>10293.009995593649</c:v>
                </c:pt>
                <c:pt idx="30">
                  <c:v>9951.3651462836515</c:v>
                </c:pt>
                <c:pt idx="31">
                  <c:v>9280.3541356936512</c:v>
                </c:pt>
                <c:pt idx="32">
                  <c:v>9148.7088906136505</c:v>
                </c:pt>
                <c:pt idx="33">
                  <c:v>9148.3874924136508</c:v>
                </c:pt>
                <c:pt idx="34">
                  <c:v>9116.8324164436508</c:v>
                </c:pt>
                <c:pt idx="35">
                  <c:v>9116.8324164436508</c:v>
                </c:pt>
                <c:pt idx="36">
                  <c:v>9116.8324164436508</c:v>
                </c:pt>
                <c:pt idx="37">
                  <c:v>8753.0278540136496</c:v>
                </c:pt>
                <c:pt idx="38">
                  <c:v>8710.8142874036494</c:v>
                </c:pt>
                <c:pt idx="39">
                  <c:v>9038.7124405136492</c:v>
                </c:pt>
                <c:pt idx="40">
                  <c:v>8831.2323874736467</c:v>
                </c:pt>
                <c:pt idx="41">
                  <c:v>9142.3369469336503</c:v>
                </c:pt>
                <c:pt idx="42">
                  <c:v>9142.3369469336503</c:v>
                </c:pt>
                <c:pt idx="43">
                  <c:v>9142.3369469336503</c:v>
                </c:pt>
                <c:pt idx="44">
                  <c:v>8830.0258667536509</c:v>
                </c:pt>
                <c:pt idx="45">
                  <c:v>8425.4764379436492</c:v>
                </c:pt>
                <c:pt idx="46">
                  <c:v>7956.4411202336505</c:v>
                </c:pt>
                <c:pt idx="47">
                  <c:v>7804.4959970136506</c:v>
                </c:pt>
                <c:pt idx="48">
                  <c:v>7814.4613492936505</c:v>
                </c:pt>
                <c:pt idx="49">
                  <c:v>7814.4613492936505</c:v>
                </c:pt>
                <c:pt idx="50">
                  <c:v>7814.4613492936505</c:v>
                </c:pt>
                <c:pt idx="51">
                  <c:v>7681.8036854346501</c:v>
                </c:pt>
                <c:pt idx="52">
                  <c:v>8845.2120091746492</c:v>
                </c:pt>
                <c:pt idx="53">
                  <c:v>8587.4446569846514</c:v>
                </c:pt>
                <c:pt idx="54">
                  <c:v>7865.6215744046494</c:v>
                </c:pt>
                <c:pt idx="55">
                  <c:v>8040.5291478246509</c:v>
                </c:pt>
                <c:pt idx="56">
                  <c:v>8040.5291478246509</c:v>
                </c:pt>
                <c:pt idx="57">
                  <c:v>8040.5291478246509</c:v>
                </c:pt>
                <c:pt idx="58">
                  <c:v>8266.5828929146519</c:v>
                </c:pt>
                <c:pt idx="59">
                  <c:v>9303.4062388646507</c:v>
                </c:pt>
                <c:pt idx="60">
                  <c:v>8794.4306887346502</c:v>
                </c:pt>
                <c:pt idx="61">
                  <c:v>8897.3145279246492</c:v>
                </c:pt>
                <c:pt idx="62">
                  <c:v>8820.1844274146515</c:v>
                </c:pt>
                <c:pt idx="63">
                  <c:v>8820.1844274146515</c:v>
                </c:pt>
                <c:pt idx="64">
                  <c:v>8820.1844274146515</c:v>
                </c:pt>
                <c:pt idx="65">
                  <c:v>8753.3212717146507</c:v>
                </c:pt>
                <c:pt idx="66">
                  <c:v>8404.2627305046517</c:v>
                </c:pt>
                <c:pt idx="67">
                  <c:v>8054.2393078346504</c:v>
                </c:pt>
                <c:pt idx="68">
                  <c:v>7746.6192897346518</c:v>
                </c:pt>
                <c:pt idx="69">
                  <c:v>7880.2032807046498</c:v>
                </c:pt>
                <c:pt idx="70">
                  <c:v>7880.2032807046498</c:v>
                </c:pt>
                <c:pt idx="71">
                  <c:v>7880.2032807046498</c:v>
                </c:pt>
                <c:pt idx="72">
                  <c:v>8355.8308250446516</c:v>
                </c:pt>
                <c:pt idx="73">
                  <c:v>8175.0977838846502</c:v>
                </c:pt>
                <c:pt idx="74">
                  <c:v>8137.7910493546478</c:v>
                </c:pt>
                <c:pt idx="75">
                  <c:v>7207.5285374346504</c:v>
                </c:pt>
                <c:pt idx="76">
                  <c:v>7195.5967736146513</c:v>
                </c:pt>
                <c:pt idx="77">
                  <c:v>7195.5967736146513</c:v>
                </c:pt>
                <c:pt idx="78">
                  <c:v>7195.5967736146513</c:v>
                </c:pt>
                <c:pt idx="79">
                  <c:v>7395.9791877728021</c:v>
                </c:pt>
                <c:pt idx="80">
                  <c:v>7415.4575525128002</c:v>
                </c:pt>
                <c:pt idx="81">
                  <c:v>7707.3606739428005</c:v>
                </c:pt>
                <c:pt idx="82">
                  <c:v>6117.8520902328</c:v>
                </c:pt>
                <c:pt idx="83">
                  <c:v>6491.6806594627997</c:v>
                </c:pt>
                <c:pt idx="84">
                  <c:v>6491.6806594627997</c:v>
                </c:pt>
                <c:pt idx="85">
                  <c:v>6491.6806594627997</c:v>
                </c:pt>
                <c:pt idx="86">
                  <c:v>6153.6218887228015</c:v>
                </c:pt>
                <c:pt idx="87">
                  <c:v>6596.0544147228011</c:v>
                </c:pt>
                <c:pt idx="88">
                  <c:v>6664.5969599227992</c:v>
                </c:pt>
                <c:pt idx="89">
                  <c:v>6182.0875386427988</c:v>
                </c:pt>
                <c:pt idx="90">
                  <c:v>5785.6824012928</c:v>
                </c:pt>
                <c:pt idx="91">
                  <c:v>5785.6824012928</c:v>
                </c:pt>
                <c:pt idx="92">
                  <c:v>5785.6824012928</c:v>
                </c:pt>
                <c:pt idx="93">
                  <c:v>4821.2518180327988</c:v>
                </c:pt>
                <c:pt idx="94">
                  <c:v>5206.7310277528004</c:v>
                </c:pt>
                <c:pt idx="95">
                  <c:v>5544.4353527628009</c:v>
                </c:pt>
                <c:pt idx="96">
                  <c:v>5020.6192592827992</c:v>
                </c:pt>
                <c:pt idx="97">
                  <c:v>4820.7126753528009</c:v>
                </c:pt>
                <c:pt idx="98">
                  <c:v>4820.7126753528009</c:v>
                </c:pt>
                <c:pt idx="99">
                  <c:v>4820.7126753528009</c:v>
                </c:pt>
                <c:pt idx="100">
                  <c:v>4627.2685884828006</c:v>
                </c:pt>
                <c:pt idx="101">
                  <c:v>4490.6546329528001</c:v>
                </c:pt>
                <c:pt idx="102">
                  <c:v>4496.0877084328004</c:v>
                </c:pt>
                <c:pt idx="103">
                  <c:v>4717.2444697727997</c:v>
                </c:pt>
                <c:pt idx="104">
                  <c:v>5178.5530326528005</c:v>
                </c:pt>
                <c:pt idx="105">
                  <c:v>5178.5530326528005</c:v>
                </c:pt>
                <c:pt idx="106">
                  <c:v>5178.5530326528005</c:v>
                </c:pt>
                <c:pt idx="107">
                  <c:v>4986.4504021910998</c:v>
                </c:pt>
                <c:pt idx="108">
                  <c:v>4806.3166064211009</c:v>
                </c:pt>
                <c:pt idx="109">
                  <c:v>5690.9107728711015</c:v>
                </c:pt>
                <c:pt idx="110">
                  <c:v>5960.6334368610997</c:v>
                </c:pt>
                <c:pt idx="111">
                  <c:v>5989.7749803111001</c:v>
                </c:pt>
                <c:pt idx="112">
                  <c:v>5989.7749803111001</c:v>
                </c:pt>
                <c:pt idx="113">
                  <c:v>5989.7749803111001</c:v>
                </c:pt>
                <c:pt idx="114">
                  <c:v>6747.8160836310999</c:v>
                </c:pt>
                <c:pt idx="115">
                  <c:v>7066.4726587711002</c:v>
                </c:pt>
                <c:pt idx="116">
                  <c:v>6324.8191051211015</c:v>
                </c:pt>
                <c:pt idx="117">
                  <c:v>6340.6900970911011</c:v>
                </c:pt>
                <c:pt idx="118">
                  <c:v>6482.3560551111004</c:v>
                </c:pt>
                <c:pt idx="119">
                  <c:v>6482.3560551111004</c:v>
                </c:pt>
                <c:pt idx="120">
                  <c:v>6482.3560551111004</c:v>
                </c:pt>
                <c:pt idx="121">
                  <c:v>6482.3560551111004</c:v>
                </c:pt>
                <c:pt idx="122">
                  <c:v>6482.3560551111004</c:v>
                </c:pt>
                <c:pt idx="123">
                  <c:v>5967.8901867711002</c:v>
                </c:pt>
                <c:pt idx="124">
                  <c:v>5049.3834730510998</c:v>
                </c:pt>
                <c:pt idx="125">
                  <c:v>4996.1230347211003</c:v>
                </c:pt>
                <c:pt idx="126">
                  <c:v>4996.1230347211003</c:v>
                </c:pt>
                <c:pt idx="127">
                  <c:v>4996.1230347211003</c:v>
                </c:pt>
                <c:pt idx="128">
                  <c:v>5158.9913100010981</c:v>
                </c:pt>
                <c:pt idx="129">
                  <c:v>4274.2637566111016</c:v>
                </c:pt>
                <c:pt idx="130">
                  <c:v>2957.4492334510996</c:v>
                </c:pt>
                <c:pt idx="131">
                  <c:v>1747.7493575011006</c:v>
                </c:pt>
                <c:pt idx="132">
                  <c:v>3330.7005039511014</c:v>
                </c:pt>
                <c:pt idx="133">
                  <c:v>3330.7005039511014</c:v>
                </c:pt>
                <c:pt idx="134">
                  <c:v>3330.7005039511014</c:v>
                </c:pt>
                <c:pt idx="135">
                  <c:v>3338.0498983253001</c:v>
                </c:pt>
                <c:pt idx="136">
                  <c:v>2314.9329493753007</c:v>
                </c:pt>
                <c:pt idx="137">
                  <c:v>1714.2721069053007</c:v>
                </c:pt>
                <c:pt idx="138">
                  <c:v>2007.5026925653003</c:v>
                </c:pt>
                <c:pt idx="139">
                  <c:v>2078.4047381353002</c:v>
                </c:pt>
                <c:pt idx="140">
                  <c:v>2078.4047381353002</c:v>
                </c:pt>
                <c:pt idx="141">
                  <c:v>2078.4047381353002</c:v>
                </c:pt>
                <c:pt idx="142">
                  <c:v>3049.4326353953002</c:v>
                </c:pt>
                <c:pt idx="143">
                  <c:v>2456.5257713853002</c:v>
                </c:pt>
                <c:pt idx="144">
                  <c:v>2456.5257713853002</c:v>
                </c:pt>
                <c:pt idx="145">
                  <c:v>2284.2454252052999</c:v>
                </c:pt>
                <c:pt idx="146">
                  <c:v>2554.1615468753002</c:v>
                </c:pt>
                <c:pt idx="147">
                  <c:v>2554.1615468753002</c:v>
                </c:pt>
                <c:pt idx="148">
                  <c:v>2554.1615468753002</c:v>
                </c:pt>
                <c:pt idx="149">
                  <c:v>2396.2198949053004</c:v>
                </c:pt>
                <c:pt idx="150">
                  <c:v>2165.8330628753006</c:v>
                </c:pt>
                <c:pt idx="151">
                  <c:v>1920.2373669252997</c:v>
                </c:pt>
                <c:pt idx="152">
                  <c:v>1932.4110258353005</c:v>
                </c:pt>
                <c:pt idx="153">
                  <c:v>1991.2848679053004</c:v>
                </c:pt>
                <c:pt idx="154">
                  <c:v>1991.2848679053004</c:v>
                </c:pt>
                <c:pt idx="155">
                  <c:v>1991.2848679053004</c:v>
                </c:pt>
                <c:pt idx="156">
                  <c:v>1482.0724906853004</c:v>
                </c:pt>
                <c:pt idx="157">
                  <c:v>1169.6099036053001</c:v>
                </c:pt>
                <c:pt idx="158">
                  <c:v>849.36727425530034</c:v>
                </c:pt>
                <c:pt idx="159">
                  <c:v>1669.5964420653006</c:v>
                </c:pt>
                <c:pt idx="160">
                  <c:v>2161.5749436153001</c:v>
                </c:pt>
                <c:pt idx="161">
                  <c:v>2161.5749436153001</c:v>
                </c:pt>
                <c:pt idx="162">
                  <c:v>2161.5749436153001</c:v>
                </c:pt>
                <c:pt idx="163">
                  <c:v>3206.2594805026506</c:v>
                </c:pt>
                <c:pt idx="164">
                  <c:v>3205.19119054265</c:v>
                </c:pt>
                <c:pt idx="165">
                  <c:v>3265.4921729826506</c:v>
                </c:pt>
                <c:pt idx="166">
                  <c:v>1968.4866858726505</c:v>
                </c:pt>
                <c:pt idx="167">
                  <c:v>2153.5272632926499</c:v>
                </c:pt>
                <c:pt idx="168">
                  <c:v>2153.5272632926499</c:v>
                </c:pt>
                <c:pt idx="169">
                  <c:v>2153.5272632926499</c:v>
                </c:pt>
                <c:pt idx="170">
                  <c:v>2101.7841443626507</c:v>
                </c:pt>
                <c:pt idx="171">
                  <c:v>1994.4197426426504</c:v>
                </c:pt>
                <c:pt idx="172">
                  <c:v>4257.9047636926498</c:v>
                </c:pt>
                <c:pt idx="173">
                  <c:v>3851.2008229726503</c:v>
                </c:pt>
                <c:pt idx="174">
                  <c:v>1791.1906405126504</c:v>
                </c:pt>
                <c:pt idx="175">
                  <c:v>1791.1906405126504</c:v>
                </c:pt>
                <c:pt idx="176">
                  <c:v>1791.1906405126504</c:v>
                </c:pt>
                <c:pt idx="177">
                  <c:v>2340.4282471626507</c:v>
                </c:pt>
                <c:pt idx="178">
                  <c:v>1885.1946073626502</c:v>
                </c:pt>
                <c:pt idx="179">
                  <c:v>1976.6049763526496</c:v>
                </c:pt>
                <c:pt idx="180">
                  <c:v>1942.4025165626499</c:v>
                </c:pt>
                <c:pt idx="181">
                  <c:v>2053.0500422926502</c:v>
                </c:pt>
                <c:pt idx="182">
                  <c:v>2053.0500422926502</c:v>
                </c:pt>
                <c:pt idx="183">
                  <c:v>2053.0500422926502</c:v>
                </c:pt>
                <c:pt idx="184">
                  <c:v>1613.0631319826498</c:v>
                </c:pt>
                <c:pt idx="185">
                  <c:v>1259.8944945026501</c:v>
                </c:pt>
                <c:pt idx="186">
                  <c:v>1761.5072767326503</c:v>
                </c:pt>
                <c:pt idx="187">
                  <c:v>2069.7620609226501</c:v>
                </c:pt>
                <c:pt idx="188">
                  <c:v>2080.5089481226505</c:v>
                </c:pt>
                <c:pt idx="189">
                  <c:v>2080.5089481226505</c:v>
                </c:pt>
                <c:pt idx="190">
                  <c:v>2080.5089481226505</c:v>
                </c:pt>
                <c:pt idx="191">
                  <c:v>2159.2525792373999</c:v>
                </c:pt>
                <c:pt idx="192">
                  <c:v>2204.1936943873998</c:v>
                </c:pt>
                <c:pt idx="193">
                  <c:v>1615.3013987173993</c:v>
                </c:pt>
                <c:pt idx="194">
                  <c:v>1657.5369530373994</c:v>
                </c:pt>
                <c:pt idx="195">
                  <c:v>1750.6634618273997</c:v>
                </c:pt>
                <c:pt idx="196">
                  <c:v>1750.6634618273997</c:v>
                </c:pt>
                <c:pt idx="197">
                  <c:v>1750.6634618273997</c:v>
                </c:pt>
                <c:pt idx="198">
                  <c:v>1825.2380444473999</c:v>
                </c:pt>
                <c:pt idx="199">
                  <c:v>1581.8235707973995</c:v>
                </c:pt>
                <c:pt idx="200">
                  <c:v>1575.8824009273997</c:v>
                </c:pt>
                <c:pt idx="201">
                  <c:v>1834.4149562273997</c:v>
                </c:pt>
                <c:pt idx="202">
                  <c:v>2799.5534193473995</c:v>
                </c:pt>
                <c:pt idx="203">
                  <c:v>2799.5534193473995</c:v>
                </c:pt>
                <c:pt idx="204">
                  <c:v>2799.5534193473995</c:v>
                </c:pt>
                <c:pt idx="205">
                  <c:v>2482.0666609573991</c:v>
                </c:pt>
                <c:pt idx="206">
                  <c:v>3020.7368891874003</c:v>
                </c:pt>
                <c:pt idx="207">
                  <c:v>2211.5216388973995</c:v>
                </c:pt>
                <c:pt idx="208">
                  <c:v>2055.669909687399</c:v>
                </c:pt>
                <c:pt idx="209">
                  <c:v>2284.1693501773993</c:v>
                </c:pt>
                <c:pt idx="210">
                  <c:v>2284.1693501773993</c:v>
                </c:pt>
                <c:pt idx="211">
                  <c:v>2284.1693501773993</c:v>
                </c:pt>
                <c:pt idx="212">
                  <c:v>2330.4018556673991</c:v>
                </c:pt>
                <c:pt idx="213">
                  <c:v>3306.3627998073998</c:v>
                </c:pt>
                <c:pt idx="214">
                  <c:v>2948.8082335873992</c:v>
                </c:pt>
                <c:pt idx="215">
                  <c:v>2436.4437546774002</c:v>
                </c:pt>
                <c:pt idx="216">
                  <c:v>2407.3980925373999</c:v>
                </c:pt>
                <c:pt idx="217">
                  <c:v>2407.3980925373999</c:v>
                </c:pt>
                <c:pt idx="218">
                  <c:v>2407.3980925373999</c:v>
                </c:pt>
                <c:pt idx="219">
                  <c:v>2739.2544925891384</c:v>
                </c:pt>
                <c:pt idx="220">
                  <c:v>2693.3979988091378</c:v>
                </c:pt>
                <c:pt idx="221">
                  <c:v>2604.2738065391377</c:v>
                </c:pt>
                <c:pt idx="222">
                  <c:v>3337.9910043491377</c:v>
                </c:pt>
                <c:pt idx="223">
                  <c:v>3346.6760861491371</c:v>
                </c:pt>
                <c:pt idx="224">
                  <c:v>3346.6760861491371</c:v>
                </c:pt>
                <c:pt idx="225">
                  <c:v>3346.6760861491371</c:v>
                </c:pt>
                <c:pt idx="226">
                  <c:v>2941.754152619138</c:v>
                </c:pt>
                <c:pt idx="227">
                  <c:v>2659.7815981691374</c:v>
                </c:pt>
                <c:pt idx="228">
                  <c:v>2294.2343569591385</c:v>
                </c:pt>
                <c:pt idx="229">
                  <c:v>2153.9890415391378</c:v>
                </c:pt>
                <c:pt idx="230">
                  <c:v>2426.4994784591377</c:v>
                </c:pt>
                <c:pt idx="231">
                  <c:v>2426.4994784591377</c:v>
                </c:pt>
                <c:pt idx="232">
                  <c:v>2426.4994784591377</c:v>
                </c:pt>
                <c:pt idx="233">
                  <c:v>2516.3368305491381</c:v>
                </c:pt>
                <c:pt idx="234">
                  <c:v>3100.5951712491378</c:v>
                </c:pt>
                <c:pt idx="235">
                  <c:v>2515.4334457891387</c:v>
                </c:pt>
                <c:pt idx="236">
                  <c:v>2984.3242224591381</c:v>
                </c:pt>
                <c:pt idx="237">
                  <c:v>2964.1903542791383</c:v>
                </c:pt>
                <c:pt idx="238">
                  <c:v>2964.1903542791383</c:v>
                </c:pt>
                <c:pt idx="239">
                  <c:v>2964.1903542791383</c:v>
                </c:pt>
                <c:pt idx="240">
                  <c:v>2769.513908799137</c:v>
                </c:pt>
                <c:pt idx="241">
                  <c:v>2804.8025741391375</c:v>
                </c:pt>
                <c:pt idx="242">
                  <c:v>2555.8267417791376</c:v>
                </c:pt>
                <c:pt idx="243">
                  <c:v>2721.6244718191379</c:v>
                </c:pt>
                <c:pt idx="244">
                  <c:v>2721.6342053991384</c:v>
                </c:pt>
                <c:pt idx="245">
                  <c:v>2721.6342053991384</c:v>
                </c:pt>
                <c:pt idx="246">
                  <c:v>2721.6342053991384</c:v>
                </c:pt>
                <c:pt idx="247">
                  <c:v>2460.2679730299515</c:v>
                </c:pt>
                <c:pt idx="248">
                  <c:v>1976.3889223199517</c:v>
                </c:pt>
                <c:pt idx="249">
                  <c:v>1568.4567777399511</c:v>
                </c:pt>
                <c:pt idx="250">
                  <c:v>3151.6986375499514</c:v>
                </c:pt>
                <c:pt idx="251">
                  <c:v>3398.0094919899511</c:v>
                </c:pt>
                <c:pt idx="252">
                  <c:v>3398.0094919899511</c:v>
                </c:pt>
                <c:pt idx="253">
                  <c:v>3398.0094919899511</c:v>
                </c:pt>
                <c:pt idx="254">
                  <c:v>3492.8116747099502</c:v>
                </c:pt>
                <c:pt idx="255">
                  <c:v>3481.866718599952</c:v>
                </c:pt>
                <c:pt idx="256">
                  <c:v>2057.3801464299513</c:v>
                </c:pt>
                <c:pt idx="257">
                  <c:v>2191.0258928699518</c:v>
                </c:pt>
                <c:pt idx="258">
                  <c:v>2436.8370413499515</c:v>
                </c:pt>
                <c:pt idx="259">
                  <c:v>2436.8370413499515</c:v>
                </c:pt>
                <c:pt idx="260">
                  <c:v>2436.8370413499515</c:v>
                </c:pt>
                <c:pt idx="261">
                  <c:v>1905.4702625699515</c:v>
                </c:pt>
                <c:pt idx="262">
                  <c:v>2028.2637061699515</c:v>
                </c:pt>
                <c:pt idx="263">
                  <c:v>2089.857402169951</c:v>
                </c:pt>
                <c:pt idx="264">
                  <c:v>3133.7430674499519</c:v>
                </c:pt>
                <c:pt idx="265">
                  <c:v>3269.8790540999521</c:v>
                </c:pt>
                <c:pt idx="266">
                  <c:v>3269.8790540999521</c:v>
                </c:pt>
                <c:pt idx="267">
                  <c:v>3269.8790540999521</c:v>
                </c:pt>
                <c:pt idx="268">
                  <c:v>3201.7760926499514</c:v>
                </c:pt>
                <c:pt idx="269">
                  <c:v>2973.100057339951</c:v>
                </c:pt>
                <c:pt idx="270">
                  <c:v>2682.7668022099519</c:v>
                </c:pt>
                <c:pt idx="271">
                  <c:v>3227.0371353499518</c:v>
                </c:pt>
                <c:pt idx="272">
                  <c:v>2930.1846501099512</c:v>
                </c:pt>
                <c:pt idx="273">
                  <c:v>2930.1846501099512</c:v>
                </c:pt>
                <c:pt idx="274">
                  <c:v>2930.1846501099512</c:v>
                </c:pt>
                <c:pt idx="275">
                  <c:v>3387.5698544991428</c:v>
                </c:pt>
                <c:pt idx="276">
                  <c:v>3614.7432004991419</c:v>
                </c:pt>
                <c:pt idx="277">
                  <c:v>3540.2781815391427</c:v>
                </c:pt>
                <c:pt idx="278">
                  <c:v>2830.6879082491432</c:v>
                </c:pt>
                <c:pt idx="279">
                  <c:v>2828.2666512991418</c:v>
                </c:pt>
                <c:pt idx="280">
                  <c:v>2828.2666512991418</c:v>
                </c:pt>
                <c:pt idx="281">
                  <c:v>2828.2666512991418</c:v>
                </c:pt>
                <c:pt idx="282">
                  <c:v>2876.5944984391426</c:v>
                </c:pt>
                <c:pt idx="283">
                  <c:v>2964.2675164591419</c:v>
                </c:pt>
                <c:pt idx="284">
                  <c:v>3053.7845618691417</c:v>
                </c:pt>
                <c:pt idx="285">
                  <c:v>3012.1337878291424</c:v>
                </c:pt>
                <c:pt idx="286">
                  <c:v>3200.7448557291427</c:v>
                </c:pt>
                <c:pt idx="287">
                  <c:v>3200.7448557291427</c:v>
                </c:pt>
                <c:pt idx="288">
                  <c:v>3200.7448557291427</c:v>
                </c:pt>
                <c:pt idx="289">
                  <c:v>3113.9290532591431</c:v>
                </c:pt>
                <c:pt idx="290">
                  <c:v>2702.5403496891427</c:v>
                </c:pt>
                <c:pt idx="291">
                  <c:v>2797.4290470491424</c:v>
                </c:pt>
                <c:pt idx="292">
                  <c:v>2582.5228577291423</c:v>
                </c:pt>
                <c:pt idx="293">
                  <c:v>2535.8877324491427</c:v>
                </c:pt>
                <c:pt idx="294">
                  <c:v>2535.8877324491427</c:v>
                </c:pt>
                <c:pt idx="295">
                  <c:v>2535.8877324491427</c:v>
                </c:pt>
                <c:pt idx="296">
                  <c:v>3481.4310015791425</c:v>
                </c:pt>
                <c:pt idx="297">
                  <c:v>3618.7620061591419</c:v>
                </c:pt>
                <c:pt idx="298">
                  <c:v>4086.6584291991435</c:v>
                </c:pt>
                <c:pt idx="299">
                  <c:v>3794.384390349142</c:v>
                </c:pt>
                <c:pt idx="300">
                  <c:v>4126.3200042191429</c:v>
                </c:pt>
                <c:pt idx="301">
                  <c:v>4126.3200042191429</c:v>
                </c:pt>
                <c:pt idx="302">
                  <c:v>4126.3200042191429</c:v>
                </c:pt>
                <c:pt idx="303">
                  <c:v>4204.6712757142523</c:v>
                </c:pt>
                <c:pt idx="304">
                  <c:v>3969.1441261242526</c:v>
                </c:pt>
                <c:pt idx="305">
                  <c:v>4422.7802231442529</c:v>
                </c:pt>
                <c:pt idx="306">
                  <c:v>4471.5349209542528</c:v>
                </c:pt>
                <c:pt idx="307">
                  <c:v>4568.6395803142523</c:v>
                </c:pt>
                <c:pt idx="308">
                  <c:v>4568.6395803142523</c:v>
                </c:pt>
                <c:pt idx="309">
                  <c:v>4568.6395803142523</c:v>
                </c:pt>
                <c:pt idx="310">
                  <c:v>4890.2746308042533</c:v>
                </c:pt>
                <c:pt idx="311">
                  <c:v>5820.240692104253</c:v>
                </c:pt>
                <c:pt idx="312">
                  <c:v>5711.8368989042519</c:v>
                </c:pt>
                <c:pt idx="313">
                  <c:v>5013.8663511842515</c:v>
                </c:pt>
                <c:pt idx="314">
                  <c:v>4965.5560938742537</c:v>
                </c:pt>
                <c:pt idx="315">
                  <c:v>4965.5560938742537</c:v>
                </c:pt>
                <c:pt idx="316">
                  <c:v>4965.5560938742537</c:v>
                </c:pt>
                <c:pt idx="317">
                  <c:v>5237.8050396542521</c:v>
                </c:pt>
                <c:pt idx="318">
                  <c:v>5799.7491823942537</c:v>
                </c:pt>
                <c:pt idx="319">
                  <c:v>6826.6567523842523</c:v>
                </c:pt>
                <c:pt idx="320">
                  <c:v>6506.7565173642524</c:v>
                </c:pt>
                <c:pt idx="321">
                  <c:v>6712.7980422142537</c:v>
                </c:pt>
                <c:pt idx="322">
                  <c:v>6712.7980422142537</c:v>
                </c:pt>
                <c:pt idx="323">
                  <c:v>6712.7980422142537</c:v>
                </c:pt>
                <c:pt idx="324">
                  <c:v>6638.5155649542521</c:v>
                </c:pt>
                <c:pt idx="325">
                  <c:v>7494.2151470842518</c:v>
                </c:pt>
                <c:pt idx="326">
                  <c:v>7040.1463333142519</c:v>
                </c:pt>
                <c:pt idx="327">
                  <c:v>7060.291902994255</c:v>
                </c:pt>
                <c:pt idx="328">
                  <c:v>7085.4168784742524</c:v>
                </c:pt>
                <c:pt idx="329">
                  <c:v>7085.4168784742524</c:v>
                </c:pt>
                <c:pt idx="330">
                  <c:v>7085.4168784742524</c:v>
                </c:pt>
                <c:pt idx="331">
                  <c:v>6983.6267779570881</c:v>
                </c:pt>
                <c:pt idx="332">
                  <c:v>5631.3517801570888</c:v>
                </c:pt>
                <c:pt idx="333">
                  <c:v>5844.6967193170876</c:v>
                </c:pt>
                <c:pt idx="334">
                  <c:v>6025.2518014870884</c:v>
                </c:pt>
                <c:pt idx="335">
                  <c:v>5859.8066569370894</c:v>
                </c:pt>
                <c:pt idx="336">
                  <c:v>5859.8066569370894</c:v>
                </c:pt>
                <c:pt idx="337">
                  <c:v>5859.8066569370894</c:v>
                </c:pt>
                <c:pt idx="338">
                  <c:v>6262.5186038370884</c:v>
                </c:pt>
                <c:pt idx="339">
                  <c:v>6701.9506621570899</c:v>
                </c:pt>
                <c:pt idx="340">
                  <c:v>6670.3404074870896</c:v>
                </c:pt>
                <c:pt idx="341">
                  <c:v>6089.3578076470876</c:v>
                </c:pt>
                <c:pt idx="342">
                  <c:v>6500.6015736370882</c:v>
                </c:pt>
                <c:pt idx="343">
                  <c:v>6500.6015736370882</c:v>
                </c:pt>
                <c:pt idx="344">
                  <c:v>6500.6015736370882</c:v>
                </c:pt>
                <c:pt idx="345">
                  <c:v>5810.3645845970877</c:v>
                </c:pt>
                <c:pt idx="346">
                  <c:v>5876.1232901470885</c:v>
                </c:pt>
                <c:pt idx="347">
                  <c:v>5546.4863878470896</c:v>
                </c:pt>
                <c:pt idx="348">
                  <c:v>5870.795559667089</c:v>
                </c:pt>
                <c:pt idx="349">
                  <c:v>6262.5186038370884</c:v>
                </c:pt>
                <c:pt idx="350">
                  <c:v>6262.5186038370884</c:v>
                </c:pt>
                <c:pt idx="351">
                  <c:v>6262.5186038370884</c:v>
                </c:pt>
                <c:pt idx="352">
                  <c:v>5149.4958558470889</c:v>
                </c:pt>
                <c:pt idx="353">
                  <c:v>5525.5077193970874</c:v>
                </c:pt>
                <c:pt idx="354">
                  <c:v>5999.7671529470899</c:v>
                </c:pt>
                <c:pt idx="355">
                  <c:v>5851.9330168970873</c:v>
                </c:pt>
                <c:pt idx="356">
                  <c:v>7132.9456216670887</c:v>
                </c:pt>
                <c:pt idx="357">
                  <c:v>7132.9456216670887</c:v>
                </c:pt>
                <c:pt idx="358">
                  <c:v>7132.9456216670887</c:v>
                </c:pt>
                <c:pt idx="359">
                  <c:v>7075.3154655632925</c:v>
                </c:pt>
                <c:pt idx="360">
                  <c:v>7470.0007822432935</c:v>
                </c:pt>
                <c:pt idx="361">
                  <c:v>7778.9153540832931</c:v>
                </c:pt>
                <c:pt idx="362">
                  <c:v>7413.0254863932932</c:v>
                </c:pt>
                <c:pt idx="363">
                  <c:v>7977.7025721532927</c:v>
                </c:pt>
                <c:pt idx="364">
                  <c:v>7977.7025721532927</c:v>
                </c:pt>
                <c:pt idx="365">
                  <c:v>7977.7025721532927</c:v>
                </c:pt>
                <c:pt idx="366">
                  <c:v>7730.8283132532924</c:v>
                </c:pt>
                <c:pt idx="367">
                  <c:v>7361.2377760332911</c:v>
                </c:pt>
                <c:pt idx="368">
                  <c:v>6873.5102592932926</c:v>
                </c:pt>
                <c:pt idx="369">
                  <c:v>5594.5875167932927</c:v>
                </c:pt>
                <c:pt idx="370">
                  <c:v>6579.5162841132924</c:v>
                </c:pt>
                <c:pt idx="371">
                  <c:v>6579.5162841132924</c:v>
                </c:pt>
                <c:pt idx="372">
                  <c:v>6579.5162841132924</c:v>
                </c:pt>
                <c:pt idx="373">
                  <c:v>6167.2771538332909</c:v>
                </c:pt>
                <c:pt idx="374">
                  <c:v>6134.3821458232933</c:v>
                </c:pt>
                <c:pt idx="375">
                  <c:v>5891.9435498532912</c:v>
                </c:pt>
                <c:pt idx="376">
                  <c:v>5681.5242398132923</c:v>
                </c:pt>
                <c:pt idx="377">
                  <c:v>5439.3367231232933</c:v>
                </c:pt>
                <c:pt idx="378">
                  <c:v>5439.3367231232933</c:v>
                </c:pt>
                <c:pt idx="379">
                  <c:v>5439.3367231232933</c:v>
                </c:pt>
                <c:pt idx="380">
                  <c:v>5682.8515100632931</c:v>
                </c:pt>
                <c:pt idx="381">
                  <c:v>5848.6632605232926</c:v>
                </c:pt>
                <c:pt idx="382">
                  <c:v>4619.1671084232939</c:v>
                </c:pt>
                <c:pt idx="383">
                  <c:v>4640.5359397332932</c:v>
                </c:pt>
                <c:pt idx="384">
                  <c:v>4748.4811673732938</c:v>
                </c:pt>
                <c:pt idx="385">
                  <c:v>4748.4811673732938</c:v>
                </c:pt>
                <c:pt idx="386">
                  <c:v>4748.4811673732938</c:v>
                </c:pt>
                <c:pt idx="387">
                  <c:v>5595.5595307792119</c:v>
                </c:pt>
                <c:pt idx="388">
                  <c:v>5537.583785259214</c:v>
                </c:pt>
                <c:pt idx="389">
                  <c:v>5415.5890340292117</c:v>
                </c:pt>
                <c:pt idx="390">
                  <c:v>5327.2832113292134</c:v>
                </c:pt>
                <c:pt idx="391">
                  <c:v>5424.550633009213</c:v>
                </c:pt>
                <c:pt idx="392">
                  <c:v>5424.550633009213</c:v>
                </c:pt>
                <c:pt idx="393">
                  <c:v>5424.550633009213</c:v>
                </c:pt>
                <c:pt idx="394">
                  <c:v>5051.6636905592122</c:v>
                </c:pt>
                <c:pt idx="395">
                  <c:v>5024.9238854392133</c:v>
                </c:pt>
                <c:pt idx="396">
                  <c:v>4875.3383576192109</c:v>
                </c:pt>
                <c:pt idx="397">
                  <c:v>5245.2383924092119</c:v>
                </c:pt>
                <c:pt idx="398">
                  <c:v>5106.6968366892115</c:v>
                </c:pt>
                <c:pt idx="399">
                  <c:v>5106.6968366892115</c:v>
                </c:pt>
                <c:pt idx="400">
                  <c:v>5106.6968366892115</c:v>
                </c:pt>
                <c:pt idx="401">
                  <c:v>4641.3038254392113</c:v>
                </c:pt>
                <c:pt idx="402">
                  <c:v>5044.6104641392121</c:v>
                </c:pt>
                <c:pt idx="403">
                  <c:v>4886.0274032692132</c:v>
                </c:pt>
                <c:pt idx="404">
                  <c:v>3786.5012975592122</c:v>
                </c:pt>
                <c:pt idx="405">
                  <c:v>4767.2869408992128</c:v>
                </c:pt>
                <c:pt idx="406">
                  <c:v>4767.2869408992128</c:v>
                </c:pt>
                <c:pt idx="407">
                  <c:v>4767.2869408992128</c:v>
                </c:pt>
                <c:pt idx="408">
                  <c:v>4767.2869408992128</c:v>
                </c:pt>
                <c:pt idx="409">
                  <c:v>4619.1045063892116</c:v>
                </c:pt>
                <c:pt idx="410">
                  <c:v>4682.2784332992132</c:v>
                </c:pt>
                <c:pt idx="411">
                  <c:v>4698.0694182492116</c:v>
                </c:pt>
                <c:pt idx="412">
                  <c:v>4468.0789863392129</c:v>
                </c:pt>
                <c:pt idx="413">
                  <c:v>4468.0789863392129</c:v>
                </c:pt>
                <c:pt idx="414">
                  <c:v>4468.0789863392129</c:v>
                </c:pt>
                <c:pt idx="415">
                  <c:v>4307.1858698836677</c:v>
                </c:pt>
                <c:pt idx="416">
                  <c:v>4459.9467778836688</c:v>
                </c:pt>
                <c:pt idx="417">
                  <c:v>4474.3021963436677</c:v>
                </c:pt>
                <c:pt idx="418">
                  <c:v>5368.5741711836681</c:v>
                </c:pt>
                <c:pt idx="419">
                  <c:v>5799.0653056636693</c:v>
                </c:pt>
                <c:pt idx="420">
                  <c:v>5799.0653056636693</c:v>
                </c:pt>
                <c:pt idx="421">
                  <c:v>5799.0653056636693</c:v>
                </c:pt>
                <c:pt idx="422">
                  <c:v>4972.8690734936681</c:v>
                </c:pt>
                <c:pt idx="423">
                  <c:v>4945.2467060336685</c:v>
                </c:pt>
                <c:pt idx="424">
                  <c:v>5322.4116499736692</c:v>
                </c:pt>
                <c:pt idx="425">
                  <c:v>5516.0378431836689</c:v>
                </c:pt>
                <c:pt idx="426">
                  <c:v>5698.0387673136693</c:v>
                </c:pt>
                <c:pt idx="427">
                  <c:v>5698.0387673136693</c:v>
                </c:pt>
                <c:pt idx="428">
                  <c:v>5698.0387673136693</c:v>
                </c:pt>
                <c:pt idx="429">
                  <c:v>4559.3292285436683</c:v>
                </c:pt>
                <c:pt idx="430">
                  <c:v>3860.2844018036685</c:v>
                </c:pt>
                <c:pt idx="431">
                  <c:v>3565.5016083836686</c:v>
                </c:pt>
                <c:pt idx="432">
                  <c:v>2877.7483520936689</c:v>
                </c:pt>
                <c:pt idx="433">
                  <c:v>3999.9879107036686</c:v>
                </c:pt>
                <c:pt idx="434">
                  <c:v>3999.9879107036686</c:v>
                </c:pt>
                <c:pt idx="435">
                  <c:v>3999.9879107036686</c:v>
                </c:pt>
                <c:pt idx="436">
                  <c:v>3809.6760000136692</c:v>
                </c:pt>
                <c:pt idx="437">
                  <c:v>4274.4152591836691</c:v>
                </c:pt>
                <c:pt idx="438">
                  <c:v>4008.2284838936685</c:v>
                </c:pt>
                <c:pt idx="439">
                  <c:v>3518.1123775236692</c:v>
                </c:pt>
                <c:pt idx="440">
                  <c:v>3748.5455104336688</c:v>
                </c:pt>
                <c:pt idx="441">
                  <c:v>3748.5455104336688</c:v>
                </c:pt>
                <c:pt idx="442">
                  <c:v>3748.5455104336688</c:v>
                </c:pt>
                <c:pt idx="443">
                  <c:v>3534.6420802653229</c:v>
                </c:pt>
                <c:pt idx="444">
                  <c:v>4110.9888145053228</c:v>
                </c:pt>
                <c:pt idx="445">
                  <c:v>4826.2000441253222</c:v>
                </c:pt>
                <c:pt idx="446">
                  <c:v>4314.6046799753221</c:v>
                </c:pt>
                <c:pt idx="447">
                  <c:v>4964.3837586653217</c:v>
                </c:pt>
                <c:pt idx="448">
                  <c:v>4964.3837586653217</c:v>
                </c:pt>
                <c:pt idx="449">
                  <c:v>4964.3837586653217</c:v>
                </c:pt>
                <c:pt idx="450">
                  <c:v>4668.5290562953223</c:v>
                </c:pt>
                <c:pt idx="451">
                  <c:v>5238.5508572053241</c:v>
                </c:pt>
                <c:pt idx="452">
                  <c:v>5601.0448614753223</c:v>
                </c:pt>
                <c:pt idx="453">
                  <c:v>5501.9266958853223</c:v>
                </c:pt>
                <c:pt idx="454">
                  <c:v>5181.4369933153212</c:v>
                </c:pt>
                <c:pt idx="455">
                  <c:v>5181.4369933153212</c:v>
                </c:pt>
                <c:pt idx="456">
                  <c:v>5181.4369933153212</c:v>
                </c:pt>
                <c:pt idx="457">
                  <c:v>4549.5855313053216</c:v>
                </c:pt>
                <c:pt idx="458">
                  <c:v>4432.5341111553225</c:v>
                </c:pt>
                <c:pt idx="459">
                  <c:v>4658.4037061053223</c:v>
                </c:pt>
                <c:pt idx="460">
                  <c:v>3597.9087064453229</c:v>
                </c:pt>
                <c:pt idx="461">
                  <c:v>3593.3516590253225</c:v>
                </c:pt>
                <c:pt idx="462">
                  <c:v>3593.3516590253225</c:v>
                </c:pt>
                <c:pt idx="463">
                  <c:v>3593.3516590253225</c:v>
                </c:pt>
                <c:pt idx="464">
                  <c:v>3469.2233077153219</c:v>
                </c:pt>
                <c:pt idx="465">
                  <c:v>3268.3643051953227</c:v>
                </c:pt>
                <c:pt idx="466">
                  <c:v>3778.7528247653222</c:v>
                </c:pt>
                <c:pt idx="467">
                  <c:v>4038.2597925553227</c:v>
                </c:pt>
                <c:pt idx="468">
                  <c:v>4276.6521186453219</c:v>
                </c:pt>
                <c:pt idx="469">
                  <c:v>4276.6521186453219</c:v>
                </c:pt>
                <c:pt idx="470">
                  <c:v>4276.6521186453219</c:v>
                </c:pt>
                <c:pt idx="471">
                  <c:v>4784.9099331305088</c:v>
                </c:pt>
                <c:pt idx="472">
                  <c:v>5102.7263599405105</c:v>
                </c:pt>
                <c:pt idx="473">
                  <c:v>6006.1855557805084</c:v>
                </c:pt>
                <c:pt idx="474">
                  <c:v>5370.7165772805092</c:v>
                </c:pt>
                <c:pt idx="475">
                  <c:v>5370.7165772805092</c:v>
                </c:pt>
                <c:pt idx="476">
                  <c:v>5370.7165772805092</c:v>
                </c:pt>
                <c:pt idx="477">
                  <c:v>5370.7165772805092</c:v>
                </c:pt>
                <c:pt idx="478">
                  <c:v>5370.7165772805092</c:v>
                </c:pt>
                <c:pt idx="479">
                  <c:v>4259.2976652005091</c:v>
                </c:pt>
                <c:pt idx="480">
                  <c:v>4743.88476449051</c:v>
                </c:pt>
                <c:pt idx="481">
                  <c:v>4619.5077558105095</c:v>
                </c:pt>
                <c:pt idx="482">
                  <c:v>4803.5947672405091</c:v>
                </c:pt>
                <c:pt idx="483">
                  <c:v>4803.5947672405091</c:v>
                </c:pt>
                <c:pt idx="484">
                  <c:v>4803.5947672405091</c:v>
                </c:pt>
                <c:pt idx="485">
                  <c:v>4803.5947672405091</c:v>
                </c:pt>
                <c:pt idx="486">
                  <c:v>5052.4953163705104</c:v>
                </c:pt>
                <c:pt idx="487">
                  <c:v>5487.2819465205102</c:v>
                </c:pt>
                <c:pt idx="488">
                  <c:v>3044.2520602505097</c:v>
                </c:pt>
                <c:pt idx="489">
                  <c:v>3103.953443490509</c:v>
                </c:pt>
                <c:pt idx="490">
                  <c:v>3103.953443490509</c:v>
                </c:pt>
                <c:pt idx="491">
                  <c:v>3103.953443490509</c:v>
                </c:pt>
                <c:pt idx="492">
                  <c:v>2839.4186008205093</c:v>
                </c:pt>
                <c:pt idx="493">
                  <c:v>3113.9569610105095</c:v>
                </c:pt>
                <c:pt idx="494">
                  <c:v>2770.1484066105099</c:v>
                </c:pt>
                <c:pt idx="495">
                  <c:v>2264.2516926905096</c:v>
                </c:pt>
                <c:pt idx="496">
                  <c:v>2831.2691651205096</c:v>
                </c:pt>
                <c:pt idx="497">
                  <c:v>2831.2691651205096</c:v>
                </c:pt>
                <c:pt idx="498">
                  <c:v>2831.2691651205096</c:v>
                </c:pt>
                <c:pt idx="499">
                  <c:v>2509.912201316924</c:v>
                </c:pt>
                <c:pt idx="500">
                  <c:v>3040.2098308069239</c:v>
                </c:pt>
                <c:pt idx="501">
                  <c:v>2953.1445896869236</c:v>
                </c:pt>
                <c:pt idx="502">
                  <c:v>2760.3141501269238</c:v>
                </c:pt>
                <c:pt idx="503">
                  <c:v>2834.3340440869242</c:v>
                </c:pt>
                <c:pt idx="504">
                  <c:v>2834.3340440869242</c:v>
                </c:pt>
                <c:pt idx="505">
                  <c:v>2834.3340440869242</c:v>
                </c:pt>
                <c:pt idx="506">
                  <c:v>3086.5405976769243</c:v>
                </c:pt>
                <c:pt idx="507">
                  <c:v>3630.3802994769235</c:v>
                </c:pt>
                <c:pt idx="508">
                  <c:v>2939.4324444469239</c:v>
                </c:pt>
                <c:pt idx="509">
                  <c:v>2939.4324444469239</c:v>
                </c:pt>
                <c:pt idx="510">
                  <c:v>3895.1688628769239</c:v>
                </c:pt>
                <c:pt idx="511">
                  <c:v>3895.1688628769239</c:v>
                </c:pt>
                <c:pt idx="512">
                  <c:v>3895.1688628769239</c:v>
                </c:pt>
                <c:pt idx="513">
                  <c:v>3851.7522244769234</c:v>
                </c:pt>
                <c:pt idx="514">
                  <c:v>4234.8864834769247</c:v>
                </c:pt>
                <c:pt idx="515">
                  <c:v>3671.460768086924</c:v>
                </c:pt>
                <c:pt idx="516">
                  <c:v>3204.3136308969233</c:v>
                </c:pt>
                <c:pt idx="517">
                  <c:v>3091.8690183169238</c:v>
                </c:pt>
                <c:pt idx="518">
                  <c:v>3091.8690183169238</c:v>
                </c:pt>
                <c:pt idx="519">
                  <c:v>3091.8690183169238</c:v>
                </c:pt>
                <c:pt idx="520">
                  <c:v>3424.5598470869236</c:v>
                </c:pt>
                <c:pt idx="521">
                  <c:v>3974.6985295569243</c:v>
                </c:pt>
                <c:pt idx="522">
                  <c:v>4032.7279439069234</c:v>
                </c:pt>
                <c:pt idx="523">
                  <c:v>5049.2931597669231</c:v>
                </c:pt>
                <c:pt idx="524">
                  <c:v>6007.9459775169244</c:v>
                </c:pt>
                <c:pt idx="525">
                  <c:v>6007.9459775169244</c:v>
                </c:pt>
                <c:pt idx="526">
                  <c:v>6007.9459775169244</c:v>
                </c:pt>
                <c:pt idx="527">
                  <c:v>6408.2813181279716</c:v>
                </c:pt>
                <c:pt idx="528">
                  <c:v>6305.9845791979715</c:v>
                </c:pt>
                <c:pt idx="529">
                  <c:v>6425.6708520079701</c:v>
                </c:pt>
                <c:pt idx="530">
                  <c:v>4884.4223829379716</c:v>
                </c:pt>
                <c:pt idx="531">
                  <c:v>5013.9780403679706</c:v>
                </c:pt>
                <c:pt idx="532">
                  <c:v>5013.9780403679706</c:v>
                </c:pt>
                <c:pt idx="533">
                  <c:v>5013.9780403679706</c:v>
                </c:pt>
                <c:pt idx="534">
                  <c:v>4976.6520997979715</c:v>
                </c:pt>
                <c:pt idx="535">
                  <c:v>5849.7174081379717</c:v>
                </c:pt>
                <c:pt idx="536">
                  <c:v>6124.3999778279704</c:v>
                </c:pt>
                <c:pt idx="537">
                  <c:v>4727.294283347971</c:v>
                </c:pt>
                <c:pt idx="538">
                  <c:v>4636.6934916979699</c:v>
                </c:pt>
                <c:pt idx="539">
                  <c:v>4636.6934916979699</c:v>
                </c:pt>
                <c:pt idx="540">
                  <c:v>4636.6934916979699</c:v>
                </c:pt>
                <c:pt idx="541">
                  <c:v>4625.4185732379701</c:v>
                </c:pt>
                <c:pt idx="542">
                  <c:v>5647.6272848579692</c:v>
                </c:pt>
                <c:pt idx="543">
                  <c:v>5647.6272848579692</c:v>
                </c:pt>
                <c:pt idx="544">
                  <c:v>5647.6272848579692</c:v>
                </c:pt>
                <c:pt idx="545">
                  <c:v>5647.6272848579692</c:v>
                </c:pt>
                <c:pt idx="546">
                  <c:v>5647.6272848579692</c:v>
                </c:pt>
                <c:pt idx="547">
                  <c:v>5647.6272848579692</c:v>
                </c:pt>
                <c:pt idx="548">
                  <c:v>5555.0196709279708</c:v>
                </c:pt>
                <c:pt idx="549">
                  <c:v>5472.9372691379713</c:v>
                </c:pt>
                <c:pt idx="550">
                  <c:v>5031.4708150179704</c:v>
                </c:pt>
                <c:pt idx="551">
                  <c:v>3580.5593461379713</c:v>
                </c:pt>
                <c:pt idx="552">
                  <c:v>3618.9689190279705</c:v>
                </c:pt>
                <c:pt idx="553">
                  <c:v>3618.9689190279705</c:v>
                </c:pt>
                <c:pt idx="554">
                  <c:v>3618.9689190279705</c:v>
                </c:pt>
                <c:pt idx="555">
                  <c:v>3607.6042236713602</c:v>
                </c:pt>
                <c:pt idx="556">
                  <c:v>4075.4279826913603</c:v>
                </c:pt>
                <c:pt idx="557">
                  <c:v>4099.7611062713595</c:v>
                </c:pt>
                <c:pt idx="558">
                  <c:v>4862.3223746913609</c:v>
                </c:pt>
                <c:pt idx="559">
                  <c:v>4952.5077550013602</c:v>
                </c:pt>
                <c:pt idx="560">
                  <c:v>4952.5077550013602</c:v>
                </c:pt>
                <c:pt idx="561">
                  <c:v>4952.5077550013602</c:v>
                </c:pt>
                <c:pt idx="562">
                  <c:v>4740.87520078136</c:v>
                </c:pt>
                <c:pt idx="563">
                  <c:v>4470.3994370813607</c:v>
                </c:pt>
                <c:pt idx="564">
                  <c:v>4470.3994370813607</c:v>
                </c:pt>
                <c:pt idx="565">
                  <c:v>5501.7048539013604</c:v>
                </c:pt>
                <c:pt idx="566">
                  <c:v>5754.4191978013605</c:v>
                </c:pt>
                <c:pt idx="567">
                  <c:v>5754.4191978013605</c:v>
                </c:pt>
                <c:pt idx="568">
                  <c:v>5754.4191978013605</c:v>
                </c:pt>
                <c:pt idx="569">
                  <c:v>6258.3592332913595</c:v>
                </c:pt>
                <c:pt idx="570">
                  <c:v>6079.4497096413616</c:v>
                </c:pt>
                <c:pt idx="571">
                  <c:v>5696.1434498413591</c:v>
                </c:pt>
                <c:pt idx="572">
                  <c:v>3507.7533525613603</c:v>
                </c:pt>
                <c:pt idx="573">
                  <c:v>3610.1603562513615</c:v>
                </c:pt>
                <c:pt idx="574">
                  <c:v>3610.1603562513615</c:v>
                </c:pt>
                <c:pt idx="575">
                  <c:v>3610.1603562513615</c:v>
                </c:pt>
                <c:pt idx="576">
                  <c:v>3064.0010963413597</c:v>
                </c:pt>
                <c:pt idx="577">
                  <c:v>1834.1827092284072</c:v>
                </c:pt>
                <c:pt idx="578">
                  <c:v>1610.3918597484076</c:v>
                </c:pt>
                <c:pt idx="579">
                  <c:v>1912.2007992484077</c:v>
                </c:pt>
                <c:pt idx="580">
                  <c:v>1985.6407459184079</c:v>
                </c:pt>
                <c:pt idx="581">
                  <c:v>1985.6407459184079</c:v>
                </c:pt>
                <c:pt idx="582">
                  <c:v>1985.6407459184079</c:v>
                </c:pt>
                <c:pt idx="583">
                  <c:v>1622.2489542884077</c:v>
                </c:pt>
                <c:pt idx="584">
                  <c:v>2145.5869403784081</c:v>
                </c:pt>
                <c:pt idx="585">
                  <c:v>2016.961043188408</c:v>
                </c:pt>
                <c:pt idx="586">
                  <c:v>1402.9488245784073</c:v>
                </c:pt>
                <c:pt idx="587">
                  <c:v>1876.4623811784074</c:v>
                </c:pt>
                <c:pt idx="588">
                  <c:v>1876.4623811784074</c:v>
                </c:pt>
                <c:pt idx="589">
                  <c:v>1876.4623811784074</c:v>
                </c:pt>
                <c:pt idx="590">
                  <c:v>2240.3849577784072</c:v>
                </c:pt>
                <c:pt idx="591">
                  <c:v>1878.0173444884085</c:v>
                </c:pt>
                <c:pt idx="592">
                  <c:v>1825.8018543284072</c:v>
                </c:pt>
                <c:pt idx="593">
                  <c:v>2372.6770098484076</c:v>
                </c:pt>
                <c:pt idx="594">
                  <c:v>2419.1682015284073</c:v>
                </c:pt>
                <c:pt idx="595">
                  <c:v>2419.1682015284073</c:v>
                </c:pt>
                <c:pt idx="596">
                  <c:v>2419.1682015284073</c:v>
                </c:pt>
                <c:pt idx="597">
                  <c:v>2446.6233794884074</c:v>
                </c:pt>
                <c:pt idx="598">
                  <c:v>2926.0900857084084</c:v>
                </c:pt>
                <c:pt idx="599">
                  <c:v>3528.0517883684083</c:v>
                </c:pt>
                <c:pt idx="600">
                  <c:v>2677.4402882784075</c:v>
                </c:pt>
                <c:pt idx="601">
                  <c:v>3409.3694318484072</c:v>
                </c:pt>
                <c:pt idx="602">
                  <c:v>3409.3694318484072</c:v>
                </c:pt>
                <c:pt idx="603">
                  <c:v>3409.3694318484072</c:v>
                </c:pt>
                <c:pt idx="604">
                  <c:v>3257.2637506584074</c:v>
                </c:pt>
                <c:pt idx="605">
                  <c:v>3337.9979208984078</c:v>
                </c:pt>
                <c:pt idx="606">
                  <c:v>3426.7072066784112</c:v>
                </c:pt>
                <c:pt idx="607">
                  <c:v>1554.0994882884124</c:v>
                </c:pt>
                <c:pt idx="608">
                  <c:v>1641.9627465484116</c:v>
                </c:pt>
                <c:pt idx="609">
                  <c:v>1641.9627465484116</c:v>
                </c:pt>
                <c:pt idx="610">
                  <c:v>1641.9627465484116</c:v>
                </c:pt>
                <c:pt idx="611">
                  <c:v>1770.4513574313473</c:v>
                </c:pt>
                <c:pt idx="612">
                  <c:v>1920.2828825613474</c:v>
                </c:pt>
                <c:pt idx="613">
                  <c:v>2083.9128147413467</c:v>
                </c:pt>
                <c:pt idx="614">
                  <c:v>2288.7897500513473</c:v>
                </c:pt>
                <c:pt idx="615">
                  <c:v>2235.531029231347</c:v>
                </c:pt>
                <c:pt idx="616">
                  <c:v>2235.531029231347</c:v>
                </c:pt>
                <c:pt idx="617">
                  <c:v>2235.531029231347</c:v>
                </c:pt>
                <c:pt idx="618">
                  <c:v>1425.1100074213473</c:v>
                </c:pt>
                <c:pt idx="619">
                  <c:v>1851.0740794513472</c:v>
                </c:pt>
                <c:pt idx="620">
                  <c:v>1177.7366150613473</c:v>
                </c:pt>
                <c:pt idx="621">
                  <c:v>1957.6565770413476</c:v>
                </c:pt>
                <c:pt idx="622">
                  <c:v>2212.0060335113467</c:v>
                </c:pt>
                <c:pt idx="623">
                  <c:v>2212.0060335113467</c:v>
                </c:pt>
                <c:pt idx="624">
                  <c:v>2212.0060335113467</c:v>
                </c:pt>
                <c:pt idx="625">
                  <c:v>1558.1502744013471</c:v>
                </c:pt>
                <c:pt idx="626">
                  <c:v>2731.4217378613475</c:v>
                </c:pt>
                <c:pt idx="627">
                  <c:v>3146.9973660013475</c:v>
                </c:pt>
                <c:pt idx="628">
                  <c:v>3159.5573828313481</c:v>
                </c:pt>
                <c:pt idx="629">
                  <c:v>3483.2976768813469</c:v>
                </c:pt>
                <c:pt idx="630">
                  <c:v>3483.2976768813469</c:v>
                </c:pt>
                <c:pt idx="631">
                  <c:v>3483.2976768813469</c:v>
                </c:pt>
                <c:pt idx="632">
                  <c:v>4379.9624200313465</c:v>
                </c:pt>
                <c:pt idx="633">
                  <c:v>4589.8030310913473</c:v>
                </c:pt>
                <c:pt idx="634">
                  <c:v>4028.4954760913479</c:v>
                </c:pt>
                <c:pt idx="635">
                  <c:v>4028.4954760913479</c:v>
                </c:pt>
                <c:pt idx="636">
                  <c:v>2892.7299726513465</c:v>
                </c:pt>
                <c:pt idx="637">
                  <c:v>2892.7299726513465</c:v>
                </c:pt>
                <c:pt idx="638">
                  <c:v>2892.7299726513465</c:v>
                </c:pt>
                <c:pt idx="639">
                  <c:v>2418.5270476836731</c:v>
                </c:pt>
                <c:pt idx="640">
                  <c:v>2876.4294207936732</c:v>
                </c:pt>
                <c:pt idx="641">
                  <c:v>2821.8567001036727</c:v>
                </c:pt>
                <c:pt idx="642">
                  <c:v>3030.3372659336746</c:v>
                </c:pt>
                <c:pt idx="643">
                  <c:v>3235.1066820236724</c:v>
                </c:pt>
                <c:pt idx="644">
                  <c:v>3235.1066820236724</c:v>
                </c:pt>
                <c:pt idx="645">
                  <c:v>3235.1066820236724</c:v>
                </c:pt>
                <c:pt idx="646">
                  <c:v>3863.6751431736734</c:v>
                </c:pt>
                <c:pt idx="647">
                  <c:v>3860.2577137936732</c:v>
                </c:pt>
                <c:pt idx="648">
                  <c:v>4312.9255093936727</c:v>
                </c:pt>
                <c:pt idx="649">
                  <c:v>3644.4343869336735</c:v>
                </c:pt>
                <c:pt idx="650">
                  <c:v>3932.6018989136737</c:v>
                </c:pt>
                <c:pt idx="651">
                  <c:v>3932.6018989136737</c:v>
                </c:pt>
                <c:pt idx="652">
                  <c:v>3932.6018989136737</c:v>
                </c:pt>
                <c:pt idx="653">
                  <c:v>4357.5303292836734</c:v>
                </c:pt>
                <c:pt idx="654">
                  <c:v>4445.5871882136726</c:v>
                </c:pt>
                <c:pt idx="655">
                  <c:v>4821.8978868236727</c:v>
                </c:pt>
                <c:pt idx="656">
                  <c:v>4066.4645079036736</c:v>
                </c:pt>
                <c:pt idx="657">
                  <c:v>4250.5913456636736</c:v>
                </c:pt>
                <c:pt idx="658">
                  <c:v>4250.5913456636736</c:v>
                </c:pt>
                <c:pt idx="659">
                  <c:v>4250.5913456636736</c:v>
                </c:pt>
                <c:pt idx="660">
                  <c:v>3725.9156728136732</c:v>
                </c:pt>
                <c:pt idx="661">
                  <c:v>3666.2246456536736</c:v>
                </c:pt>
                <c:pt idx="662">
                  <c:v>3366.9653470336743</c:v>
                </c:pt>
                <c:pt idx="663">
                  <c:v>3884.671748663673</c:v>
                </c:pt>
                <c:pt idx="664">
                  <c:v>3663.6797696936737</c:v>
                </c:pt>
                <c:pt idx="665">
                  <c:v>3663.6797696936737</c:v>
                </c:pt>
                <c:pt idx="666">
                  <c:v>3663.6797696936737</c:v>
                </c:pt>
                <c:pt idx="667">
                  <c:v>3584.8351759339675</c:v>
                </c:pt>
                <c:pt idx="668">
                  <c:v>4634.7768716239671</c:v>
                </c:pt>
                <c:pt idx="669">
                  <c:v>4538.2183301939676</c:v>
                </c:pt>
                <c:pt idx="670">
                  <c:v>3812.9333475939684</c:v>
                </c:pt>
                <c:pt idx="671">
                  <c:v>4524.5375975439683</c:v>
                </c:pt>
                <c:pt idx="672">
                  <c:v>4524.5375975439683</c:v>
                </c:pt>
                <c:pt idx="673">
                  <c:v>4524.5375975439683</c:v>
                </c:pt>
                <c:pt idx="674">
                  <c:v>4381.1010123739688</c:v>
                </c:pt>
                <c:pt idx="675">
                  <c:v>5118.8665808939677</c:v>
                </c:pt>
                <c:pt idx="676">
                  <c:v>4122.9342868939684</c:v>
                </c:pt>
                <c:pt idx="677">
                  <c:v>2882.4237089939688</c:v>
                </c:pt>
                <c:pt idx="678">
                  <c:v>2915.5538088039698</c:v>
                </c:pt>
                <c:pt idx="679">
                  <c:v>2915.5538088039698</c:v>
                </c:pt>
                <c:pt idx="680">
                  <c:v>2915.5538088039698</c:v>
                </c:pt>
                <c:pt idx="681">
                  <c:v>4069.3205276639683</c:v>
                </c:pt>
                <c:pt idx="682">
                  <c:v>3682.6739841639687</c:v>
                </c:pt>
                <c:pt idx="683">
                  <c:v>3649.5964812239681</c:v>
                </c:pt>
                <c:pt idx="684">
                  <c:v>2846.4294802939689</c:v>
                </c:pt>
                <c:pt idx="685">
                  <c:v>2566.4699674739686</c:v>
                </c:pt>
                <c:pt idx="686">
                  <c:v>2566.4699674739686</c:v>
                </c:pt>
                <c:pt idx="687">
                  <c:v>2566.4699674739686</c:v>
                </c:pt>
                <c:pt idx="688">
                  <c:v>919.56094978396834</c:v>
                </c:pt>
                <c:pt idx="689">
                  <c:v>1047.3935493439685</c:v>
                </c:pt>
                <c:pt idx="690">
                  <c:v>607.5468096939685</c:v>
                </c:pt>
                <c:pt idx="691">
                  <c:v>1188.9815082339683</c:v>
                </c:pt>
                <c:pt idx="692">
                  <c:v>1269.4983810239689</c:v>
                </c:pt>
                <c:pt idx="693">
                  <c:v>1269.4983810239689</c:v>
                </c:pt>
                <c:pt idx="694">
                  <c:v>1269.4983810239689</c:v>
                </c:pt>
                <c:pt idx="695">
                  <c:v>1179.48</c:v>
                </c:pt>
                <c:pt idx="696">
                  <c:v>1179.48</c:v>
                </c:pt>
                <c:pt idx="697">
                  <c:v>2629.21</c:v>
                </c:pt>
                <c:pt idx="698">
                  <c:v>1515.59</c:v>
                </c:pt>
                <c:pt idx="699">
                  <c:v>1561.8799999999997</c:v>
                </c:pt>
                <c:pt idx="700">
                  <c:v>1561.8799999999997</c:v>
                </c:pt>
                <c:pt idx="701">
                  <c:v>1561.8799999999997</c:v>
                </c:pt>
                <c:pt idx="702">
                  <c:v>1256.7299999999998</c:v>
                </c:pt>
                <c:pt idx="703">
                  <c:v>783.43999999999983</c:v>
                </c:pt>
                <c:pt idx="704">
                  <c:v>664.4799999999999</c:v>
                </c:pt>
                <c:pt idx="705">
                  <c:v>828.98</c:v>
                </c:pt>
                <c:pt idx="706">
                  <c:v>897.56999999999971</c:v>
                </c:pt>
                <c:pt idx="707">
                  <c:v>897.56999999999971</c:v>
                </c:pt>
                <c:pt idx="708">
                  <c:v>897.56999999999971</c:v>
                </c:pt>
                <c:pt idx="709">
                  <c:v>154.83000000000004</c:v>
                </c:pt>
                <c:pt idx="710">
                  <c:v>119.28000000000013</c:v>
                </c:pt>
                <c:pt idx="711">
                  <c:v>6408.02</c:v>
                </c:pt>
                <c:pt idx="712">
                  <c:v>710.31999999999994</c:v>
                </c:pt>
                <c:pt idx="713">
                  <c:v>455.48999999999984</c:v>
                </c:pt>
                <c:pt idx="714">
                  <c:v>455.48999999999984</c:v>
                </c:pt>
                <c:pt idx="715">
                  <c:v>455.48999999999984</c:v>
                </c:pt>
                <c:pt idx="716">
                  <c:v>-2.0200000000000955</c:v>
                </c:pt>
                <c:pt idx="717">
                  <c:v>-342.29000000000019</c:v>
                </c:pt>
                <c:pt idx="718">
                  <c:v>-314.65999999999985</c:v>
                </c:pt>
                <c:pt idx="719">
                  <c:v>356.44000000000005</c:v>
                </c:pt>
                <c:pt idx="720">
                  <c:v>356.44000000000005</c:v>
                </c:pt>
                <c:pt idx="721">
                  <c:v>356.44000000000005</c:v>
                </c:pt>
                <c:pt idx="722">
                  <c:v>356.44000000000005</c:v>
                </c:pt>
                <c:pt idx="723">
                  <c:v>346.63000000000022</c:v>
                </c:pt>
                <c:pt idx="724">
                  <c:v>687.50000000000023</c:v>
                </c:pt>
                <c:pt idx="725">
                  <c:v>1897.9499999999998</c:v>
                </c:pt>
                <c:pt idx="726">
                  <c:v>2367.1499999999996</c:v>
                </c:pt>
                <c:pt idx="727">
                  <c:v>2639.62</c:v>
                </c:pt>
                <c:pt idx="728">
                  <c:v>2639.62</c:v>
                </c:pt>
                <c:pt idx="729">
                  <c:v>2639.62</c:v>
                </c:pt>
                <c:pt idx="730">
                  <c:v>2639.62</c:v>
                </c:pt>
                <c:pt idx="731">
                  <c:v>2536.3200000000002</c:v>
                </c:pt>
                <c:pt idx="732">
                  <c:v>1754.2299999999998</c:v>
                </c:pt>
                <c:pt idx="733">
                  <c:v>1738.4600000000003</c:v>
                </c:pt>
                <c:pt idx="734">
                  <c:v>1824.1100000000004</c:v>
                </c:pt>
                <c:pt idx="735">
                  <c:v>1824.1100000000004</c:v>
                </c:pt>
                <c:pt idx="736">
                  <c:v>1824.1100000000004</c:v>
                </c:pt>
                <c:pt idx="737">
                  <c:v>1465.48</c:v>
                </c:pt>
                <c:pt idx="738">
                  <c:v>2789.2199999999993</c:v>
                </c:pt>
                <c:pt idx="739">
                  <c:v>2742.57</c:v>
                </c:pt>
                <c:pt idx="740">
                  <c:v>2589.2599999999998</c:v>
                </c:pt>
                <c:pt idx="741">
                  <c:v>2645.05</c:v>
                </c:pt>
                <c:pt idx="742">
                  <c:v>2645.05</c:v>
                </c:pt>
                <c:pt idx="743">
                  <c:v>2645.05</c:v>
                </c:pt>
                <c:pt idx="744">
                  <c:v>2238.1899999999996</c:v>
                </c:pt>
                <c:pt idx="745">
                  <c:v>2183.8100000000004</c:v>
                </c:pt>
                <c:pt idx="746">
                  <c:v>2812.1300000000006</c:v>
                </c:pt>
                <c:pt idx="747">
                  <c:v>3356.3700000000003</c:v>
                </c:pt>
                <c:pt idx="748">
                  <c:v>3081.07</c:v>
                </c:pt>
                <c:pt idx="749">
                  <c:v>3081.07</c:v>
                </c:pt>
                <c:pt idx="750">
                  <c:v>3081.07</c:v>
                </c:pt>
                <c:pt idx="751">
                  <c:v>3686.5412491655288</c:v>
                </c:pt>
                <c:pt idx="752">
                  <c:v>4328.6489894255292</c:v>
                </c:pt>
                <c:pt idx="753">
                  <c:v>4426.746619975529</c:v>
                </c:pt>
                <c:pt idx="754">
                  <c:v>1149.4040697255293</c:v>
                </c:pt>
                <c:pt idx="755">
                  <c:v>2779.3242002655297</c:v>
                </c:pt>
                <c:pt idx="756">
                  <c:v>2779.3242002655297</c:v>
                </c:pt>
                <c:pt idx="757">
                  <c:v>2779.3242002655297</c:v>
                </c:pt>
                <c:pt idx="758">
                  <c:v>1508.6987042355292</c:v>
                </c:pt>
                <c:pt idx="759">
                  <c:v>2150.8962392555295</c:v>
                </c:pt>
                <c:pt idx="760">
                  <c:v>2035.9504086255297</c:v>
                </c:pt>
                <c:pt idx="761">
                  <c:v>815.46137077552919</c:v>
                </c:pt>
                <c:pt idx="762">
                  <c:v>482.28155266552949</c:v>
                </c:pt>
                <c:pt idx="763">
                  <c:v>482.28155266552949</c:v>
                </c:pt>
                <c:pt idx="764">
                  <c:v>482.28155266552949</c:v>
                </c:pt>
                <c:pt idx="765">
                  <c:v>50.951931885529063</c:v>
                </c:pt>
                <c:pt idx="766">
                  <c:v>562.66594914552911</c:v>
                </c:pt>
                <c:pt idx="767">
                  <c:v>548.40401589552903</c:v>
                </c:pt>
                <c:pt idx="768">
                  <c:v>-290.53352626447122</c:v>
                </c:pt>
                <c:pt idx="769">
                  <c:v>-794.66096648447092</c:v>
                </c:pt>
                <c:pt idx="770">
                  <c:v>-794.66096648447092</c:v>
                </c:pt>
                <c:pt idx="771">
                  <c:v>-794.66096648447092</c:v>
                </c:pt>
                <c:pt idx="772">
                  <c:v>-575.1800010044708</c:v>
                </c:pt>
                <c:pt idx="773">
                  <c:v>-499.39055967447098</c:v>
                </c:pt>
                <c:pt idx="774">
                  <c:v>-717.81007682447057</c:v>
                </c:pt>
                <c:pt idx="775">
                  <c:v>317.50543150552932</c:v>
                </c:pt>
                <c:pt idx="776">
                  <c:v>220.81523286552903</c:v>
                </c:pt>
                <c:pt idx="777">
                  <c:v>220.81523286552903</c:v>
                </c:pt>
                <c:pt idx="778">
                  <c:v>220.81523286552903</c:v>
                </c:pt>
                <c:pt idx="779">
                  <c:v>627.69812126334773</c:v>
                </c:pt>
                <c:pt idx="780">
                  <c:v>734.65834979334772</c:v>
                </c:pt>
                <c:pt idx="781">
                  <c:v>-218.3704160566524</c:v>
                </c:pt>
                <c:pt idx="782">
                  <c:v>1038.474758433347</c:v>
                </c:pt>
                <c:pt idx="783">
                  <c:v>2073.650280573348</c:v>
                </c:pt>
                <c:pt idx="784">
                  <c:v>2073.650280573348</c:v>
                </c:pt>
                <c:pt idx="785">
                  <c:v>2073.650280573348</c:v>
                </c:pt>
                <c:pt idx="786">
                  <c:v>1176.9446021733459</c:v>
                </c:pt>
                <c:pt idx="787">
                  <c:v>992.36238017334563</c:v>
                </c:pt>
                <c:pt idx="788">
                  <c:v>1788.506516003346</c:v>
                </c:pt>
                <c:pt idx="789">
                  <c:v>1059.9603494633459</c:v>
                </c:pt>
                <c:pt idx="790">
                  <c:v>801.05907905334584</c:v>
                </c:pt>
                <c:pt idx="791">
                  <c:v>801.05907905334584</c:v>
                </c:pt>
                <c:pt idx="792">
                  <c:v>801.05907905334584</c:v>
                </c:pt>
                <c:pt idx="793">
                  <c:v>551.65561620334597</c:v>
                </c:pt>
                <c:pt idx="794">
                  <c:v>554.81126911334593</c:v>
                </c:pt>
                <c:pt idx="795">
                  <c:v>552.82389690334617</c:v>
                </c:pt>
                <c:pt idx="796">
                  <c:v>860.93355113334587</c:v>
                </c:pt>
                <c:pt idx="797">
                  <c:v>1112.5245914133459</c:v>
                </c:pt>
                <c:pt idx="798">
                  <c:v>1112.5245914133459</c:v>
                </c:pt>
                <c:pt idx="799">
                  <c:v>1112.5245914133459</c:v>
                </c:pt>
                <c:pt idx="800">
                  <c:v>855.61180799334556</c:v>
                </c:pt>
                <c:pt idx="801">
                  <c:v>1049.9929436733464</c:v>
                </c:pt>
                <c:pt idx="802">
                  <c:v>1113.1438302133458</c:v>
                </c:pt>
                <c:pt idx="803">
                  <c:v>1544.3398088033455</c:v>
                </c:pt>
                <c:pt idx="804">
                  <c:v>1642.184910063346</c:v>
                </c:pt>
                <c:pt idx="805">
                  <c:v>1642.184910063346</c:v>
                </c:pt>
                <c:pt idx="806">
                  <c:v>1642.184910063346</c:v>
                </c:pt>
                <c:pt idx="807">
                  <c:v>1599.8560164411047</c:v>
                </c:pt>
                <c:pt idx="808">
                  <c:v>2022.1120588111039</c:v>
                </c:pt>
                <c:pt idx="809">
                  <c:v>1749.3500272011038</c:v>
                </c:pt>
                <c:pt idx="810">
                  <c:v>-94.937920848895885</c:v>
                </c:pt>
                <c:pt idx="811">
                  <c:v>160.69190609110393</c:v>
                </c:pt>
                <c:pt idx="812">
                  <c:v>160.69190609110393</c:v>
                </c:pt>
                <c:pt idx="813">
                  <c:v>160.69190609110393</c:v>
                </c:pt>
                <c:pt idx="814">
                  <c:v>1529.2847454711041</c:v>
                </c:pt>
                <c:pt idx="815">
                  <c:v>1854.3067151811042</c:v>
                </c:pt>
                <c:pt idx="816">
                  <c:v>1838.978701571104</c:v>
                </c:pt>
                <c:pt idx="817">
                  <c:v>1346.4846100211039</c:v>
                </c:pt>
                <c:pt idx="818">
                  <c:v>-1289.3397439288963</c:v>
                </c:pt>
                <c:pt idx="819">
                  <c:v>-1289.3397439288963</c:v>
                </c:pt>
                <c:pt idx="820">
                  <c:v>-1289.3397439288963</c:v>
                </c:pt>
                <c:pt idx="821">
                  <c:v>1184.7809969211039</c:v>
                </c:pt>
                <c:pt idx="822">
                  <c:v>786.71604825110421</c:v>
                </c:pt>
                <c:pt idx="823">
                  <c:v>523.15960044110398</c:v>
                </c:pt>
                <c:pt idx="824">
                  <c:v>1664.2795220011044</c:v>
                </c:pt>
                <c:pt idx="825">
                  <c:v>942.05408034110428</c:v>
                </c:pt>
                <c:pt idx="826">
                  <c:v>942.05408034110428</c:v>
                </c:pt>
                <c:pt idx="827">
                  <c:v>942.05408034110428</c:v>
                </c:pt>
                <c:pt idx="828">
                  <c:v>745.4964950611045</c:v>
                </c:pt>
                <c:pt idx="829">
                  <c:v>1694.196207461104</c:v>
                </c:pt>
                <c:pt idx="830">
                  <c:v>1694.196207461104</c:v>
                </c:pt>
                <c:pt idx="831">
                  <c:v>1694.196207461104</c:v>
                </c:pt>
                <c:pt idx="832">
                  <c:v>1694.196207461104</c:v>
                </c:pt>
                <c:pt idx="833">
                  <c:v>1694.196207461104</c:v>
                </c:pt>
                <c:pt idx="834">
                  <c:v>1694.196207461104</c:v>
                </c:pt>
                <c:pt idx="835">
                  <c:v>2387.5558711333501</c:v>
                </c:pt>
                <c:pt idx="836">
                  <c:v>1014.8135523033503</c:v>
                </c:pt>
                <c:pt idx="837">
                  <c:v>753.96302633335029</c:v>
                </c:pt>
                <c:pt idx="838">
                  <c:v>1954.1189099133503</c:v>
                </c:pt>
                <c:pt idx="839">
                  <c:v>1474.6096190433504</c:v>
                </c:pt>
                <c:pt idx="840">
                  <c:v>1474.6096190433504</c:v>
                </c:pt>
                <c:pt idx="841">
                  <c:v>1474.6096190433504</c:v>
                </c:pt>
                <c:pt idx="842">
                  <c:v>1385.3476583933507</c:v>
                </c:pt>
                <c:pt idx="843">
                  <c:v>2047.1551229433499</c:v>
                </c:pt>
                <c:pt idx="844">
                  <c:v>2493.2649530533508</c:v>
                </c:pt>
                <c:pt idx="845">
                  <c:v>1241.9927954033503</c:v>
                </c:pt>
                <c:pt idx="846">
                  <c:v>839.47980752335059</c:v>
                </c:pt>
                <c:pt idx="847">
                  <c:v>839.47980752335059</c:v>
                </c:pt>
                <c:pt idx="848">
                  <c:v>839.47980752335059</c:v>
                </c:pt>
                <c:pt idx="849">
                  <c:v>1610.7298326033506</c:v>
                </c:pt>
                <c:pt idx="850">
                  <c:v>2003.2018571033502</c:v>
                </c:pt>
                <c:pt idx="851">
                  <c:v>2003.2018571033502</c:v>
                </c:pt>
                <c:pt idx="852">
                  <c:v>2395.0624505233491</c:v>
                </c:pt>
                <c:pt idx="853">
                  <c:v>1158.3586161833505</c:v>
                </c:pt>
                <c:pt idx="854">
                  <c:v>1158.3586161833505</c:v>
                </c:pt>
                <c:pt idx="855">
                  <c:v>1158.3586161833505</c:v>
                </c:pt>
                <c:pt idx="856">
                  <c:v>1672.9836453133503</c:v>
                </c:pt>
                <c:pt idx="857">
                  <c:v>1908.2637470433501</c:v>
                </c:pt>
                <c:pt idx="858">
                  <c:v>1838.5740946333508</c:v>
                </c:pt>
                <c:pt idx="859">
                  <c:v>2692.34271404335</c:v>
                </c:pt>
                <c:pt idx="860">
                  <c:v>1483.0197852333504</c:v>
                </c:pt>
                <c:pt idx="861">
                  <c:v>1483.0197852333504</c:v>
                </c:pt>
                <c:pt idx="862">
                  <c:v>1483.0197852333504</c:v>
                </c:pt>
                <c:pt idx="863">
                  <c:v>1449.4689062600003</c:v>
                </c:pt>
                <c:pt idx="864">
                  <c:v>2803.42</c:v>
                </c:pt>
                <c:pt idx="865">
                  <c:v>1021.9500000000002</c:v>
                </c:pt>
                <c:pt idx="866">
                  <c:v>1231.9799999999998</c:v>
                </c:pt>
                <c:pt idx="867">
                  <c:v>2554.11</c:v>
                </c:pt>
                <c:pt idx="868">
                  <c:v>2554.11</c:v>
                </c:pt>
                <c:pt idx="869">
                  <c:v>2554.11</c:v>
                </c:pt>
                <c:pt idx="870">
                  <c:v>1266.6999999999996</c:v>
                </c:pt>
                <c:pt idx="871">
                  <c:v>2309.0470119199999</c:v>
                </c:pt>
                <c:pt idx="872">
                  <c:v>2923.0906340399997</c:v>
                </c:pt>
                <c:pt idx="873">
                  <c:v>2721.7269185199993</c:v>
                </c:pt>
                <c:pt idx="874">
                  <c:v>2385.1640970699996</c:v>
                </c:pt>
                <c:pt idx="875">
                  <c:v>2385.1640970699996</c:v>
                </c:pt>
                <c:pt idx="876">
                  <c:v>2385.1640970699996</c:v>
                </c:pt>
                <c:pt idx="877">
                  <c:v>1988.5658070300001</c:v>
                </c:pt>
                <c:pt idx="878">
                  <c:v>2793.0256910199996</c:v>
                </c:pt>
                <c:pt idx="879">
                  <c:v>2767.7186531600005</c:v>
                </c:pt>
                <c:pt idx="880">
                  <c:v>3205.9983215099992</c:v>
                </c:pt>
                <c:pt idx="881">
                  <c:v>1613.9723468200004</c:v>
                </c:pt>
                <c:pt idx="882">
                  <c:v>1613.9723468200004</c:v>
                </c:pt>
                <c:pt idx="883">
                  <c:v>1613.9723468200004</c:v>
                </c:pt>
                <c:pt idx="884">
                  <c:v>2596.3874008100001</c:v>
                </c:pt>
                <c:pt idx="885">
                  <c:v>4239.2661453199989</c:v>
                </c:pt>
                <c:pt idx="886">
                  <c:v>4711.0247386899991</c:v>
                </c:pt>
                <c:pt idx="887">
                  <c:v>3234.6179957700001</c:v>
                </c:pt>
                <c:pt idx="888">
                  <c:v>1844.4075487</c:v>
                </c:pt>
                <c:pt idx="889">
                  <c:v>1844.4075487</c:v>
                </c:pt>
                <c:pt idx="890">
                  <c:v>1844.4075487</c:v>
                </c:pt>
                <c:pt idx="891">
                  <c:v>1004.6443637963175</c:v>
                </c:pt>
                <c:pt idx="892">
                  <c:v>1085.7400834463178</c:v>
                </c:pt>
                <c:pt idx="893">
                  <c:v>1877.9045031463174</c:v>
                </c:pt>
                <c:pt idx="894">
                  <c:v>1416.2902075263182</c:v>
                </c:pt>
                <c:pt idx="895">
                  <c:v>1633.9603534063178</c:v>
                </c:pt>
                <c:pt idx="896">
                  <c:v>1633.9603534063178</c:v>
                </c:pt>
                <c:pt idx="897">
                  <c:v>1633.9603534063178</c:v>
                </c:pt>
                <c:pt idx="898">
                  <c:v>1633.9603534063178</c:v>
                </c:pt>
                <c:pt idx="899">
                  <c:v>1633.9603534063178</c:v>
                </c:pt>
                <c:pt idx="900">
                  <c:v>1592.224705056318</c:v>
                </c:pt>
                <c:pt idx="901">
                  <c:v>2086.1322470263176</c:v>
                </c:pt>
                <c:pt idx="902">
                  <c:v>2465.7047481163168</c:v>
                </c:pt>
                <c:pt idx="903">
                  <c:v>2465.7047481163168</c:v>
                </c:pt>
                <c:pt idx="904">
                  <c:v>2465.7047481163168</c:v>
                </c:pt>
                <c:pt idx="905">
                  <c:v>2249.3823215863185</c:v>
                </c:pt>
                <c:pt idx="906">
                  <c:v>2546.6214960563175</c:v>
                </c:pt>
                <c:pt idx="907">
                  <c:v>4395.2439101663176</c:v>
                </c:pt>
                <c:pt idx="908">
                  <c:v>1575.8531247463172</c:v>
                </c:pt>
                <c:pt idx="909">
                  <c:v>1109.1811205263175</c:v>
                </c:pt>
                <c:pt idx="910">
                  <c:v>1109.1811205263175</c:v>
                </c:pt>
                <c:pt idx="911">
                  <c:v>1109.1811205263175</c:v>
                </c:pt>
                <c:pt idx="912">
                  <c:v>1604.6216908763179</c:v>
                </c:pt>
                <c:pt idx="913">
                  <c:v>1734.7257369663173</c:v>
                </c:pt>
                <c:pt idx="914">
                  <c:v>1538.4517706363176</c:v>
                </c:pt>
                <c:pt idx="915">
                  <c:v>4554.6504251663164</c:v>
                </c:pt>
                <c:pt idx="916">
                  <c:v>4817.855320426318</c:v>
                </c:pt>
                <c:pt idx="917">
                  <c:v>4817.855320426318</c:v>
                </c:pt>
                <c:pt idx="918">
                  <c:v>4817.855320426318</c:v>
                </c:pt>
                <c:pt idx="919">
                  <c:v>4826.5940181070546</c:v>
                </c:pt>
                <c:pt idx="920">
                  <c:v>1188.0237917770539</c:v>
                </c:pt>
                <c:pt idx="921">
                  <c:v>1516.5652420070537</c:v>
                </c:pt>
                <c:pt idx="922">
                  <c:v>2495.892460187054</c:v>
                </c:pt>
                <c:pt idx="923">
                  <c:v>1718.433069007054</c:v>
                </c:pt>
                <c:pt idx="924">
                  <c:v>1718.433069007054</c:v>
                </c:pt>
                <c:pt idx="925">
                  <c:v>1718.433069007054</c:v>
                </c:pt>
                <c:pt idx="926">
                  <c:v>1349.0286269770529</c:v>
                </c:pt>
                <c:pt idx="927">
                  <c:v>1543.9662497670538</c:v>
                </c:pt>
                <c:pt idx="928">
                  <c:v>1982.1572889970535</c:v>
                </c:pt>
                <c:pt idx="929">
                  <c:v>603.72381386705388</c:v>
                </c:pt>
                <c:pt idx="930">
                  <c:v>967.6298302170535</c:v>
                </c:pt>
                <c:pt idx="931">
                  <c:v>967.6298302170535</c:v>
                </c:pt>
                <c:pt idx="932">
                  <c:v>967.6298302170535</c:v>
                </c:pt>
                <c:pt idx="933">
                  <c:v>346.29326011705376</c:v>
                </c:pt>
                <c:pt idx="934">
                  <c:v>1589.7313799670533</c:v>
                </c:pt>
                <c:pt idx="935">
                  <c:v>2820.5700396270536</c:v>
                </c:pt>
                <c:pt idx="936">
                  <c:v>1596.125033447054</c:v>
                </c:pt>
                <c:pt idx="937">
                  <c:v>2197.8931456870537</c:v>
                </c:pt>
                <c:pt idx="938">
                  <c:v>2197.8931456870537</c:v>
                </c:pt>
                <c:pt idx="939">
                  <c:v>2197.8931456870537</c:v>
                </c:pt>
                <c:pt idx="940">
                  <c:v>1899.6604102870538</c:v>
                </c:pt>
                <c:pt idx="941">
                  <c:v>2274.8238123770534</c:v>
                </c:pt>
                <c:pt idx="942">
                  <c:v>1961.8457196670536</c:v>
                </c:pt>
                <c:pt idx="943">
                  <c:v>-407.83553804294644</c:v>
                </c:pt>
                <c:pt idx="944">
                  <c:v>1055.2005707270534</c:v>
                </c:pt>
                <c:pt idx="945">
                  <c:v>1055.2005707270534</c:v>
                </c:pt>
                <c:pt idx="946">
                  <c:v>1055.2005707270534</c:v>
                </c:pt>
                <c:pt idx="947">
                  <c:v>-1412.9296561667538</c:v>
                </c:pt>
                <c:pt idx="948">
                  <c:v>-184.56270182675388</c:v>
                </c:pt>
                <c:pt idx="949">
                  <c:v>60.069822853246194</c:v>
                </c:pt>
                <c:pt idx="950">
                  <c:v>321.69309106324596</c:v>
                </c:pt>
                <c:pt idx="951">
                  <c:v>107.54845029324625</c:v>
                </c:pt>
                <c:pt idx="952">
                  <c:v>107.54845029324625</c:v>
                </c:pt>
                <c:pt idx="953">
                  <c:v>107.54845029324625</c:v>
                </c:pt>
                <c:pt idx="954">
                  <c:v>-151.581325126754</c:v>
                </c:pt>
                <c:pt idx="955">
                  <c:v>795.81047617324657</c:v>
                </c:pt>
                <c:pt idx="956">
                  <c:v>1381.6818695932463</c:v>
                </c:pt>
                <c:pt idx="957">
                  <c:v>764.44179979324633</c:v>
                </c:pt>
                <c:pt idx="958">
                  <c:v>1965.1319119032455</c:v>
                </c:pt>
                <c:pt idx="959">
                  <c:v>1965.1319119032455</c:v>
                </c:pt>
                <c:pt idx="960">
                  <c:v>1965.1319119032455</c:v>
                </c:pt>
                <c:pt idx="961">
                  <c:v>-453.52828891675398</c:v>
                </c:pt>
                <c:pt idx="962">
                  <c:v>-744.86726772675388</c:v>
                </c:pt>
                <c:pt idx="963">
                  <c:v>-434.95071645675415</c:v>
                </c:pt>
                <c:pt idx="964">
                  <c:v>918.57877448324575</c:v>
                </c:pt>
                <c:pt idx="965">
                  <c:v>1886.8573108332469</c:v>
                </c:pt>
                <c:pt idx="966">
                  <c:v>1886.8573108332469</c:v>
                </c:pt>
                <c:pt idx="967">
                  <c:v>1886.8573108332469</c:v>
                </c:pt>
                <c:pt idx="968">
                  <c:v>1215.2729255032459</c:v>
                </c:pt>
                <c:pt idx="969">
                  <c:v>1384.3560862132458</c:v>
                </c:pt>
                <c:pt idx="970">
                  <c:v>1282.9902028332456</c:v>
                </c:pt>
                <c:pt idx="971">
                  <c:v>5054.6020467632461</c:v>
                </c:pt>
                <c:pt idx="972">
                  <c:v>4729.3632732732458</c:v>
                </c:pt>
                <c:pt idx="973">
                  <c:v>4729.3632732732458</c:v>
                </c:pt>
                <c:pt idx="974">
                  <c:v>4729.3632732732458</c:v>
                </c:pt>
                <c:pt idx="975">
                  <c:v>4675.1504320500499</c:v>
                </c:pt>
                <c:pt idx="976">
                  <c:v>5193.6769137400524</c:v>
                </c:pt>
                <c:pt idx="977">
                  <c:v>4065.5398770400511</c:v>
                </c:pt>
                <c:pt idx="978">
                  <c:v>3531.3003669900513</c:v>
                </c:pt>
                <c:pt idx="979">
                  <c:v>2173.9188782200508</c:v>
                </c:pt>
                <c:pt idx="980">
                  <c:v>2173.9188782200508</c:v>
                </c:pt>
                <c:pt idx="981">
                  <c:v>2173.9188782200508</c:v>
                </c:pt>
                <c:pt idx="982">
                  <c:v>1721.7607075300509</c:v>
                </c:pt>
                <c:pt idx="983">
                  <c:v>1574.7559556500505</c:v>
                </c:pt>
                <c:pt idx="984">
                  <c:v>1472.0187598600512</c:v>
                </c:pt>
                <c:pt idx="985">
                  <c:v>3158.3775010200507</c:v>
                </c:pt>
                <c:pt idx="986">
                  <c:v>898.83577276005099</c:v>
                </c:pt>
                <c:pt idx="987">
                  <c:v>898.83577276005099</c:v>
                </c:pt>
                <c:pt idx="988">
                  <c:v>898.83577276005099</c:v>
                </c:pt>
                <c:pt idx="989">
                  <c:v>898.83577276005099</c:v>
                </c:pt>
                <c:pt idx="990">
                  <c:v>2421.2059684000519</c:v>
                </c:pt>
                <c:pt idx="991">
                  <c:v>2928.5347179100518</c:v>
                </c:pt>
                <c:pt idx="992">
                  <c:v>1503.403206030051</c:v>
                </c:pt>
                <c:pt idx="993">
                  <c:v>1331.8360548700512</c:v>
                </c:pt>
                <c:pt idx="994">
                  <c:v>1331.8360548700512</c:v>
                </c:pt>
                <c:pt idx="995">
                  <c:v>1331.8360548700512</c:v>
                </c:pt>
                <c:pt idx="996">
                  <c:v>194.53077558005145</c:v>
                </c:pt>
                <c:pt idx="997">
                  <c:v>1981.6569314000515</c:v>
                </c:pt>
                <c:pt idx="998">
                  <c:v>2198.6182320100511</c:v>
                </c:pt>
                <c:pt idx="999">
                  <c:v>3080.9493934200509</c:v>
                </c:pt>
                <c:pt idx="1000">
                  <c:v>2258.4151035100508</c:v>
                </c:pt>
                <c:pt idx="1001">
                  <c:v>2258.4151035100508</c:v>
                </c:pt>
                <c:pt idx="1002">
                  <c:v>2258.4151035100508</c:v>
                </c:pt>
                <c:pt idx="1003">
                  <c:v>513.3713809059127</c:v>
                </c:pt>
                <c:pt idx="1004">
                  <c:v>1510.0088527959124</c:v>
                </c:pt>
                <c:pt idx="1005">
                  <c:v>2624.1388939859125</c:v>
                </c:pt>
                <c:pt idx="1006">
                  <c:v>2488.8147872859131</c:v>
                </c:pt>
                <c:pt idx="1007">
                  <c:v>4116.1592294059119</c:v>
                </c:pt>
                <c:pt idx="1008">
                  <c:v>4116.1592294059119</c:v>
                </c:pt>
                <c:pt idx="1009">
                  <c:v>4116.1592294059119</c:v>
                </c:pt>
                <c:pt idx="1010">
                  <c:v>2995.2522294059117</c:v>
                </c:pt>
                <c:pt idx="1011">
                  <c:v>3375.9532294059122</c:v>
                </c:pt>
                <c:pt idx="1012">
                  <c:v>3366.197484735912</c:v>
                </c:pt>
                <c:pt idx="1013">
                  <c:v>1940.7940266859127</c:v>
                </c:pt>
                <c:pt idx="1014">
                  <c:v>1947.1612068159125</c:v>
                </c:pt>
                <c:pt idx="1015">
                  <c:v>1947.1612068159125</c:v>
                </c:pt>
                <c:pt idx="1016">
                  <c:v>1947.1612068159125</c:v>
                </c:pt>
                <c:pt idx="1017">
                  <c:v>1485.9328719159125</c:v>
                </c:pt>
                <c:pt idx="1018">
                  <c:v>1827.6886310959126</c:v>
                </c:pt>
                <c:pt idx="1019">
                  <c:v>1667.372277105912</c:v>
                </c:pt>
                <c:pt idx="1020">
                  <c:v>1589.5734789559126</c:v>
                </c:pt>
                <c:pt idx="1021">
                  <c:v>1977.3004257159123</c:v>
                </c:pt>
                <c:pt idx="1022">
                  <c:v>1977.3004257159123</c:v>
                </c:pt>
                <c:pt idx="1023">
                  <c:v>1977.3004257159123</c:v>
                </c:pt>
                <c:pt idx="1024">
                  <c:v>1809.4736925559123</c:v>
                </c:pt>
                <c:pt idx="1025">
                  <c:v>2071.9633358859128</c:v>
                </c:pt>
                <c:pt idx="1026">
                  <c:v>3741.561360115913</c:v>
                </c:pt>
                <c:pt idx="1027">
                  <c:v>2947.8212372659127</c:v>
                </c:pt>
                <c:pt idx="1028">
                  <c:v>2143.6392294059124</c:v>
                </c:pt>
                <c:pt idx="1029">
                  <c:v>2143.6392294059124</c:v>
                </c:pt>
                <c:pt idx="1030">
                  <c:v>2143.6392294059124</c:v>
                </c:pt>
                <c:pt idx="1031">
                  <c:v>3381.017287037952</c:v>
                </c:pt>
                <c:pt idx="1032">
                  <c:v>3121.432287037951</c:v>
                </c:pt>
                <c:pt idx="1033">
                  <c:v>4114.2624292779501</c:v>
                </c:pt>
                <c:pt idx="1034">
                  <c:v>2025.5462870379506</c:v>
                </c:pt>
                <c:pt idx="1035">
                  <c:v>2046.1935155979509</c:v>
                </c:pt>
                <c:pt idx="1036">
                  <c:v>2046.1935155979509</c:v>
                </c:pt>
                <c:pt idx="1037">
                  <c:v>2046.1935155979509</c:v>
                </c:pt>
                <c:pt idx="1038">
                  <c:v>3049.1196857779501</c:v>
                </c:pt>
                <c:pt idx="1039">
                  <c:v>2130.5479451479509</c:v>
                </c:pt>
                <c:pt idx="1040">
                  <c:v>1476.5282870379506</c:v>
                </c:pt>
                <c:pt idx="1041">
                  <c:v>474.57638819795096</c:v>
                </c:pt>
                <c:pt idx="1042">
                  <c:v>1231.9966229979505</c:v>
                </c:pt>
                <c:pt idx="1043">
                  <c:v>1231.9966229979505</c:v>
                </c:pt>
                <c:pt idx="1044">
                  <c:v>1231.9966229979505</c:v>
                </c:pt>
                <c:pt idx="1045">
                  <c:v>778.19890410795006</c:v>
                </c:pt>
                <c:pt idx="1046">
                  <c:v>232.90767478795041</c:v>
                </c:pt>
                <c:pt idx="1047">
                  <c:v>-262.06126742204935</c:v>
                </c:pt>
                <c:pt idx="1048">
                  <c:v>3252.2941160079508</c:v>
                </c:pt>
                <c:pt idx="1049">
                  <c:v>4296.6228630079504</c:v>
                </c:pt>
                <c:pt idx="1050">
                  <c:v>4296.6228630079504</c:v>
                </c:pt>
                <c:pt idx="1051">
                  <c:v>4296.6228630079504</c:v>
                </c:pt>
                <c:pt idx="1052">
                  <c:v>4376.4512356079504</c:v>
                </c:pt>
                <c:pt idx="1053">
                  <c:v>4474.8903454079509</c:v>
                </c:pt>
                <c:pt idx="1054">
                  <c:v>3551.7525342579506</c:v>
                </c:pt>
                <c:pt idx="1055">
                  <c:v>2754.0141863679514</c:v>
                </c:pt>
                <c:pt idx="1056">
                  <c:v>2832.8202870379505</c:v>
                </c:pt>
                <c:pt idx="1057">
                  <c:v>2832.8202870379505</c:v>
                </c:pt>
                <c:pt idx="1058">
                  <c:v>2832.8202870379505</c:v>
                </c:pt>
                <c:pt idx="1059">
                  <c:v>3964.0759618401944</c:v>
                </c:pt>
                <c:pt idx="1060">
                  <c:v>3595.1341978701935</c:v>
                </c:pt>
                <c:pt idx="1061">
                  <c:v>3637.6048670201944</c:v>
                </c:pt>
                <c:pt idx="1062">
                  <c:v>3637.6048670201944</c:v>
                </c:pt>
                <c:pt idx="1063">
                  <c:v>3637.6048670201944</c:v>
                </c:pt>
                <c:pt idx="1064">
                  <c:v>3637.6048670201944</c:v>
                </c:pt>
                <c:pt idx="1065">
                  <c:v>3637.6048670201944</c:v>
                </c:pt>
                <c:pt idx="1066">
                  <c:v>1891.3999189301937</c:v>
                </c:pt>
                <c:pt idx="1067">
                  <c:v>2306.8890225001937</c:v>
                </c:pt>
                <c:pt idx="1068">
                  <c:v>1665.2564348001938</c:v>
                </c:pt>
                <c:pt idx="1069">
                  <c:v>1266.2142317701939</c:v>
                </c:pt>
                <c:pt idx="1070">
                  <c:v>2368.2964010401938</c:v>
                </c:pt>
                <c:pt idx="1071">
                  <c:v>2368.2964010401938</c:v>
                </c:pt>
                <c:pt idx="1072">
                  <c:v>2368.2964010401938</c:v>
                </c:pt>
                <c:pt idx="1073">
                  <c:v>2550.8077635501932</c:v>
                </c:pt>
                <c:pt idx="1074">
                  <c:v>2609.573695920194</c:v>
                </c:pt>
                <c:pt idx="1075">
                  <c:v>1997.7941598901939</c:v>
                </c:pt>
                <c:pt idx="1076">
                  <c:v>763.34151260019382</c:v>
                </c:pt>
                <c:pt idx="1077">
                  <c:v>814.51364895019424</c:v>
                </c:pt>
                <c:pt idx="1078">
                  <c:v>814.51364895019424</c:v>
                </c:pt>
                <c:pt idx="1079">
                  <c:v>814.51364895019424</c:v>
                </c:pt>
                <c:pt idx="1080">
                  <c:v>373.28143750019444</c:v>
                </c:pt>
                <c:pt idx="1081">
                  <c:v>642.78684933019406</c:v>
                </c:pt>
                <c:pt idx="1082">
                  <c:v>-253.73485214980622</c:v>
                </c:pt>
                <c:pt idx="1083">
                  <c:v>208.3721666001947</c:v>
                </c:pt>
                <c:pt idx="1084">
                  <c:v>549.19108504019346</c:v>
                </c:pt>
                <c:pt idx="1085">
                  <c:v>549.19108504019346</c:v>
                </c:pt>
                <c:pt idx="1086">
                  <c:v>549.19108504019346</c:v>
                </c:pt>
                <c:pt idx="1087">
                  <c:v>3246.4552018695986</c:v>
                </c:pt>
                <c:pt idx="1088">
                  <c:v>1738.7303490795985</c:v>
                </c:pt>
                <c:pt idx="1089">
                  <c:v>1738.7303490795985</c:v>
                </c:pt>
                <c:pt idx="1090">
                  <c:v>2991.9855925395991</c:v>
                </c:pt>
                <c:pt idx="1091">
                  <c:v>3028.7979834195976</c:v>
                </c:pt>
                <c:pt idx="1092">
                  <c:v>3028.7979834195976</c:v>
                </c:pt>
                <c:pt idx="1093">
                  <c:v>3028.7979834195976</c:v>
                </c:pt>
                <c:pt idx="1094">
                  <c:v>3457.045700219599</c:v>
                </c:pt>
                <c:pt idx="1095">
                  <c:v>1439.1188055995985</c:v>
                </c:pt>
                <c:pt idx="1096">
                  <c:v>1439.1188055995985</c:v>
                </c:pt>
                <c:pt idx="1097">
                  <c:v>762.33585402959864</c:v>
                </c:pt>
                <c:pt idx="1098">
                  <c:v>-958.91419978040165</c:v>
                </c:pt>
                <c:pt idx="1099">
                  <c:v>-958.91419978040165</c:v>
                </c:pt>
                <c:pt idx="1100">
                  <c:v>-958.91419978040165</c:v>
                </c:pt>
                <c:pt idx="1101">
                  <c:v>-1686.3952997804017</c:v>
                </c:pt>
                <c:pt idx="1102">
                  <c:v>-1423.1215494204016</c:v>
                </c:pt>
                <c:pt idx="1103">
                  <c:v>-1427.4205240804013</c:v>
                </c:pt>
                <c:pt idx="1104">
                  <c:v>7294.8016943895982</c:v>
                </c:pt>
                <c:pt idx="1105">
                  <c:v>-1866.5346789304015</c:v>
                </c:pt>
                <c:pt idx="1106">
                  <c:v>-1866.5346789304015</c:v>
                </c:pt>
                <c:pt idx="1107">
                  <c:v>-1866.5346789304015</c:v>
                </c:pt>
                <c:pt idx="1108">
                  <c:v>-910.3251157904017</c:v>
                </c:pt>
                <c:pt idx="1109">
                  <c:v>-1435.5526427404016</c:v>
                </c:pt>
                <c:pt idx="1110">
                  <c:v>-2253.6079005004012</c:v>
                </c:pt>
                <c:pt idx="1111">
                  <c:v>-709.64240432040117</c:v>
                </c:pt>
                <c:pt idx="1112">
                  <c:v>-1597.6141285604012</c:v>
                </c:pt>
                <c:pt idx="1113">
                  <c:v>-1597.6141285604012</c:v>
                </c:pt>
                <c:pt idx="1114">
                  <c:v>-1597.6141285604012</c:v>
                </c:pt>
                <c:pt idx="1115">
                  <c:v>700.40465136840839</c:v>
                </c:pt>
                <c:pt idx="1116">
                  <c:v>3583.1505307184079</c:v>
                </c:pt>
                <c:pt idx="1117">
                  <c:v>567.125438048408</c:v>
                </c:pt>
                <c:pt idx="1118">
                  <c:v>-683.5924722815912</c:v>
                </c:pt>
                <c:pt idx="1119">
                  <c:v>-54.15534159159165</c:v>
                </c:pt>
                <c:pt idx="1120">
                  <c:v>-54.15534159159165</c:v>
                </c:pt>
                <c:pt idx="1121">
                  <c:v>-54.15534159159165</c:v>
                </c:pt>
                <c:pt idx="1122">
                  <c:v>4439.2635192584085</c:v>
                </c:pt>
                <c:pt idx="1123">
                  <c:v>-461.51241836159193</c:v>
                </c:pt>
                <c:pt idx="1124">
                  <c:v>-1217.0712595615919</c:v>
                </c:pt>
                <c:pt idx="1125">
                  <c:v>6.8727532884080915</c:v>
                </c:pt>
                <c:pt idx="1126">
                  <c:v>-1459.9392626415915</c:v>
                </c:pt>
                <c:pt idx="1127">
                  <c:v>-1459.9392626415915</c:v>
                </c:pt>
                <c:pt idx="1128">
                  <c:v>-1459.9392626415915</c:v>
                </c:pt>
                <c:pt idx="1129">
                  <c:v>2548.4341624784074</c:v>
                </c:pt>
                <c:pt idx="1130">
                  <c:v>-1063.7653486315917</c:v>
                </c:pt>
                <c:pt idx="1131">
                  <c:v>-842.20270785159221</c:v>
                </c:pt>
                <c:pt idx="1132">
                  <c:v>-1154.6343486315918</c:v>
                </c:pt>
                <c:pt idx="1133">
                  <c:v>-1272.797414151592</c:v>
                </c:pt>
                <c:pt idx="1134">
                  <c:v>-1272.797414151592</c:v>
                </c:pt>
                <c:pt idx="1135">
                  <c:v>-1272.797414151592</c:v>
                </c:pt>
                <c:pt idx="1136">
                  <c:v>-1141.2553862115915</c:v>
                </c:pt>
                <c:pt idx="1137">
                  <c:v>1527.6165455284081</c:v>
                </c:pt>
                <c:pt idx="1138">
                  <c:v>1458.5887110384083</c:v>
                </c:pt>
                <c:pt idx="1139">
                  <c:v>-1690.3829545915912</c:v>
                </c:pt>
                <c:pt idx="1140">
                  <c:v>1876.717736388408</c:v>
                </c:pt>
                <c:pt idx="1141">
                  <c:v>1876.717736388408</c:v>
                </c:pt>
                <c:pt idx="1142">
                  <c:v>1876.717736388408</c:v>
                </c:pt>
                <c:pt idx="1143">
                  <c:v>434.29479403203879</c:v>
                </c:pt>
                <c:pt idx="1144">
                  <c:v>-660.01562237796077</c:v>
                </c:pt>
                <c:pt idx="1145">
                  <c:v>-687.83903384796065</c:v>
                </c:pt>
                <c:pt idx="1146">
                  <c:v>-1012.9227802279606</c:v>
                </c:pt>
                <c:pt idx="1147">
                  <c:v>-715.63449814796081</c:v>
                </c:pt>
                <c:pt idx="1148">
                  <c:v>-715.63449814796081</c:v>
                </c:pt>
                <c:pt idx="1149">
                  <c:v>-715.63449814796081</c:v>
                </c:pt>
                <c:pt idx="1150">
                  <c:v>109.62921977203911</c:v>
                </c:pt>
                <c:pt idx="1151">
                  <c:v>-443.37180747796072</c:v>
                </c:pt>
                <c:pt idx="1152">
                  <c:v>-751.08321788796093</c:v>
                </c:pt>
                <c:pt idx="1153">
                  <c:v>-1234.3707802279607</c:v>
                </c:pt>
                <c:pt idx="1154">
                  <c:v>-764.90055755796106</c:v>
                </c:pt>
                <c:pt idx="1155">
                  <c:v>-764.90055755796106</c:v>
                </c:pt>
                <c:pt idx="1156">
                  <c:v>-764.90055755796106</c:v>
                </c:pt>
                <c:pt idx="1157">
                  <c:v>-1274.6746514479614</c:v>
                </c:pt>
                <c:pt idx="1158">
                  <c:v>-1531.5897802279608</c:v>
                </c:pt>
                <c:pt idx="1159">
                  <c:v>-1902.3485959279612</c:v>
                </c:pt>
                <c:pt idx="1160">
                  <c:v>-1807.0585105179607</c:v>
                </c:pt>
                <c:pt idx="1161">
                  <c:v>-2141.9520650579607</c:v>
                </c:pt>
                <c:pt idx="1162">
                  <c:v>-2141.9520650579607</c:v>
                </c:pt>
                <c:pt idx="1163">
                  <c:v>-2141.9520650579607</c:v>
                </c:pt>
                <c:pt idx="1164">
                  <c:v>-1674.8027802279607</c:v>
                </c:pt>
                <c:pt idx="1165">
                  <c:v>-1696.3266696379605</c:v>
                </c:pt>
                <c:pt idx="1166">
                  <c:v>-756.77878022796074</c:v>
                </c:pt>
                <c:pt idx="1167">
                  <c:v>-952.92878022796117</c:v>
                </c:pt>
                <c:pt idx="1168">
                  <c:v>7408.0212197720384</c:v>
                </c:pt>
                <c:pt idx="1169">
                  <c:v>7408.0212197720384</c:v>
                </c:pt>
                <c:pt idx="1170">
                  <c:v>7408.0212197720384</c:v>
                </c:pt>
                <c:pt idx="1171">
                  <c:v>-1385.7299999999996</c:v>
                </c:pt>
                <c:pt idx="1172">
                  <c:v>-706.37999999999977</c:v>
                </c:pt>
                <c:pt idx="1173">
                  <c:v>-1357.4799999999998</c:v>
                </c:pt>
                <c:pt idx="1174">
                  <c:v>-595.38</c:v>
                </c:pt>
                <c:pt idx="1175">
                  <c:v>306.98000000000013</c:v>
                </c:pt>
                <c:pt idx="1176">
                  <c:v>306.98000000000013</c:v>
                </c:pt>
                <c:pt idx="1177">
                  <c:v>306.98000000000013</c:v>
                </c:pt>
                <c:pt idx="1178">
                  <c:v>245.93000000000052</c:v>
                </c:pt>
                <c:pt idx="1179">
                  <c:v>1381.1000000000004</c:v>
                </c:pt>
                <c:pt idx="1180">
                  <c:v>-68.169999999999931</c:v>
                </c:pt>
                <c:pt idx="1181">
                  <c:v>-1436.7204221799998</c:v>
                </c:pt>
                <c:pt idx="1182">
                  <c:v>-2453.0929999999998</c:v>
                </c:pt>
                <c:pt idx="1183">
                  <c:v>-2453.0929999999998</c:v>
                </c:pt>
                <c:pt idx="1184">
                  <c:v>-2453.0929999999998</c:v>
                </c:pt>
                <c:pt idx="1185">
                  <c:v>-2453.0929999999998</c:v>
                </c:pt>
                <c:pt idx="1186">
                  <c:v>578.95074687000056</c:v>
                </c:pt>
                <c:pt idx="1187">
                  <c:v>595.09838076000028</c:v>
                </c:pt>
                <c:pt idx="1188">
                  <c:v>40.909000000000049</c:v>
                </c:pt>
                <c:pt idx="1189">
                  <c:v>-261.67799999999988</c:v>
                </c:pt>
                <c:pt idx="1190">
                  <c:v>-261.67799999999988</c:v>
                </c:pt>
                <c:pt idx="1191">
                  <c:v>-261.67799999999988</c:v>
                </c:pt>
                <c:pt idx="1192">
                  <c:v>577.90000000000032</c:v>
                </c:pt>
                <c:pt idx="1193">
                  <c:v>-148.28999999999945</c:v>
                </c:pt>
                <c:pt idx="1194">
                  <c:v>-318.29899999999941</c:v>
                </c:pt>
                <c:pt idx="1195">
                  <c:v>-637.99199999999973</c:v>
                </c:pt>
                <c:pt idx="1196">
                  <c:v>663.08000000000015</c:v>
                </c:pt>
                <c:pt idx="1197">
                  <c:v>663.08000000000015</c:v>
                </c:pt>
                <c:pt idx="1198">
                  <c:v>663.08000000000015</c:v>
                </c:pt>
                <c:pt idx="1199">
                  <c:v>433.03577452738773</c:v>
                </c:pt>
                <c:pt idx="1200">
                  <c:v>-369.44222547261268</c:v>
                </c:pt>
                <c:pt idx="1201">
                  <c:v>-723.78922547261254</c:v>
                </c:pt>
                <c:pt idx="1202">
                  <c:v>-15.014225472612921</c:v>
                </c:pt>
                <c:pt idx="1203">
                  <c:v>-47.904225472612779</c:v>
                </c:pt>
                <c:pt idx="1204">
                  <c:v>-47.904225472612779</c:v>
                </c:pt>
                <c:pt idx="1205">
                  <c:v>-47.904225472612779</c:v>
                </c:pt>
                <c:pt idx="1206">
                  <c:v>-1069.4842254726132</c:v>
                </c:pt>
                <c:pt idx="1207">
                  <c:v>-56.689225472612691</c:v>
                </c:pt>
                <c:pt idx="1208">
                  <c:v>420.46577452738734</c:v>
                </c:pt>
                <c:pt idx="1209">
                  <c:v>-386.56422547261252</c:v>
                </c:pt>
                <c:pt idx="1210">
                  <c:v>-705.87122547261254</c:v>
                </c:pt>
                <c:pt idx="1211">
                  <c:v>-705.87122547261254</c:v>
                </c:pt>
                <c:pt idx="1212">
                  <c:v>-705.87122547261254</c:v>
                </c:pt>
                <c:pt idx="1213">
                  <c:v>986.9837745273876</c:v>
                </c:pt>
                <c:pt idx="1214">
                  <c:v>585.19577452738724</c:v>
                </c:pt>
                <c:pt idx="1215">
                  <c:v>-506.16622547261238</c:v>
                </c:pt>
                <c:pt idx="1216">
                  <c:v>-506.16622547261238</c:v>
                </c:pt>
                <c:pt idx="1217">
                  <c:v>32.402774527387464</c:v>
                </c:pt>
                <c:pt idx="1218">
                  <c:v>32.402774527387464</c:v>
                </c:pt>
                <c:pt idx="1219">
                  <c:v>32.402774527387464</c:v>
                </c:pt>
                <c:pt idx="1220">
                  <c:v>817.9757745273871</c:v>
                </c:pt>
                <c:pt idx="1221">
                  <c:v>441.46677452738732</c:v>
                </c:pt>
                <c:pt idx="1222">
                  <c:v>2002.3337745273877</c:v>
                </c:pt>
                <c:pt idx="1223">
                  <c:v>917.6657745273875</c:v>
                </c:pt>
                <c:pt idx="1224">
                  <c:v>562.69577452738758</c:v>
                </c:pt>
                <c:pt idx="1225">
                  <c:v>562.69577452738758</c:v>
                </c:pt>
                <c:pt idx="1226">
                  <c:v>562.69577452738758</c:v>
                </c:pt>
                <c:pt idx="1227">
                  <c:v>1938.0900000000006</c:v>
                </c:pt>
                <c:pt idx="1228">
                  <c:v>212.74079121999995</c:v>
                </c:pt>
                <c:pt idx="1229">
                  <c:v>-308.06558834000026</c:v>
                </c:pt>
                <c:pt idx="1230">
                  <c:v>-226.8576930400003</c:v>
                </c:pt>
                <c:pt idx="1231">
                  <c:v>1021.3933753499999</c:v>
                </c:pt>
                <c:pt idx="1232">
                  <c:v>1021.3933753499999</c:v>
                </c:pt>
                <c:pt idx="1233">
                  <c:v>1021.3933753499999</c:v>
                </c:pt>
                <c:pt idx="1234">
                  <c:v>-1186.2892456900004</c:v>
                </c:pt>
                <c:pt idx="1235">
                  <c:v>-1006.4934568600002</c:v>
                </c:pt>
                <c:pt idx="1236">
                  <c:v>-36.730000000000047</c:v>
                </c:pt>
                <c:pt idx="1237">
                  <c:v>912.05039603000034</c:v>
                </c:pt>
                <c:pt idx="1238">
                  <c:v>-9.1300000000003365</c:v>
                </c:pt>
                <c:pt idx="1239">
                  <c:v>-9.1300000000003365</c:v>
                </c:pt>
                <c:pt idx="1240">
                  <c:v>-9.1300000000003365</c:v>
                </c:pt>
                <c:pt idx="1241">
                  <c:v>1481.3199999999997</c:v>
                </c:pt>
                <c:pt idx="1242">
                  <c:v>303.041</c:v>
                </c:pt>
                <c:pt idx="1243">
                  <c:v>950.97799999999961</c:v>
                </c:pt>
                <c:pt idx="1244">
                  <c:v>532.38399999999967</c:v>
                </c:pt>
                <c:pt idx="1245">
                  <c:v>1153.3719999999996</c:v>
                </c:pt>
                <c:pt idx="1246">
                  <c:v>1153.3719999999996</c:v>
                </c:pt>
                <c:pt idx="1247">
                  <c:v>1153.3719999999996</c:v>
                </c:pt>
                <c:pt idx="1248">
                  <c:v>462.98154550999976</c:v>
                </c:pt>
                <c:pt idx="1249">
                  <c:v>2093.5009541900004</c:v>
                </c:pt>
                <c:pt idx="1250">
                  <c:v>2268.8622426399993</c:v>
                </c:pt>
                <c:pt idx="1251">
                  <c:v>3751.8899999999994</c:v>
                </c:pt>
                <c:pt idx="1252">
                  <c:v>969.43999999999983</c:v>
                </c:pt>
                <c:pt idx="1253">
                  <c:v>969.43999999999983</c:v>
                </c:pt>
                <c:pt idx="1254">
                  <c:v>969.43999999999983</c:v>
                </c:pt>
                <c:pt idx="1255">
                  <c:v>80.977603789882323</c:v>
                </c:pt>
                <c:pt idx="1256">
                  <c:v>264.54940717988251</c:v>
                </c:pt>
                <c:pt idx="1257">
                  <c:v>1100.7798204398823</c:v>
                </c:pt>
                <c:pt idx="1258">
                  <c:v>2041.8076037898823</c:v>
                </c:pt>
                <c:pt idx="1259">
                  <c:v>-110.69239621011781</c:v>
                </c:pt>
                <c:pt idx="1260">
                  <c:v>-110.69239621011781</c:v>
                </c:pt>
                <c:pt idx="1261">
                  <c:v>-110.69239621011781</c:v>
                </c:pt>
                <c:pt idx="1262">
                  <c:v>-111</c:v>
                </c:pt>
                <c:pt idx="1263">
                  <c:v>684</c:v>
                </c:pt>
                <c:pt idx="1264">
                  <c:v>-237</c:v>
                </c:pt>
                <c:pt idx="1265">
                  <c:v>218</c:v>
                </c:pt>
                <c:pt idx="1266">
                  <c:v>875</c:v>
                </c:pt>
                <c:pt idx="1267">
                  <c:v>875</c:v>
                </c:pt>
                <c:pt idx="1268">
                  <c:v>875</c:v>
                </c:pt>
                <c:pt idx="1269">
                  <c:v>2800.2476037898828</c:v>
                </c:pt>
                <c:pt idx="1270">
                  <c:v>2430.947603789883</c:v>
                </c:pt>
                <c:pt idx="1271">
                  <c:v>1766.6416759798826</c:v>
                </c:pt>
                <c:pt idx="1272">
                  <c:v>1421.287603789882</c:v>
                </c:pt>
                <c:pt idx="1273">
                  <c:v>1421.287603789882</c:v>
                </c:pt>
                <c:pt idx="1274">
                  <c:v>1421.287603789882</c:v>
                </c:pt>
                <c:pt idx="1275">
                  <c:v>1421.287603789882</c:v>
                </c:pt>
                <c:pt idx="1276">
                  <c:v>926.00214886988238</c:v>
                </c:pt>
                <c:pt idx="1277">
                  <c:v>-803.69</c:v>
                </c:pt>
                <c:pt idx="1278">
                  <c:v>694.21</c:v>
                </c:pt>
                <c:pt idx="1279">
                  <c:v>-230.48</c:v>
                </c:pt>
                <c:pt idx="1280">
                  <c:v>166</c:v>
                </c:pt>
                <c:pt idx="1281">
                  <c:v>166</c:v>
                </c:pt>
                <c:pt idx="1282">
                  <c:v>166</c:v>
                </c:pt>
                <c:pt idx="1283">
                  <c:v>-301.66793347219232</c:v>
                </c:pt>
                <c:pt idx="1284">
                  <c:v>-6.8984865621924882</c:v>
                </c:pt>
                <c:pt idx="1285">
                  <c:v>-207.87051134219254</c:v>
                </c:pt>
                <c:pt idx="1286">
                  <c:v>-209.28429404219264</c:v>
                </c:pt>
                <c:pt idx="1287">
                  <c:v>257.4415595178076</c:v>
                </c:pt>
                <c:pt idx="1288">
                  <c:v>257.4415595178076</c:v>
                </c:pt>
                <c:pt idx="1289">
                  <c:v>257.4415595178076</c:v>
                </c:pt>
                <c:pt idx="1290">
                  <c:v>772.62968312780777</c:v>
                </c:pt>
                <c:pt idx="1291">
                  <c:v>-197.37570001219237</c:v>
                </c:pt>
                <c:pt idx="1292">
                  <c:v>-598.90542195219234</c:v>
                </c:pt>
                <c:pt idx="1293">
                  <c:v>-351.59187531219254</c:v>
                </c:pt>
                <c:pt idx="1294">
                  <c:v>626.5681246878072</c:v>
                </c:pt>
                <c:pt idx="1295">
                  <c:v>626.5681246878072</c:v>
                </c:pt>
                <c:pt idx="1296">
                  <c:v>626.5681246878072</c:v>
                </c:pt>
                <c:pt idx="1297">
                  <c:v>-688.38</c:v>
                </c:pt>
                <c:pt idx="1298">
                  <c:v>-570.69000000000005</c:v>
                </c:pt>
                <c:pt idx="1299">
                  <c:v>2152.11</c:v>
                </c:pt>
                <c:pt idx="1300">
                  <c:v>-438.79</c:v>
                </c:pt>
                <c:pt idx="1301">
                  <c:v>-584.12</c:v>
                </c:pt>
                <c:pt idx="1302">
                  <c:v>-584.12</c:v>
                </c:pt>
                <c:pt idx="1303">
                  <c:v>-584.12</c:v>
                </c:pt>
                <c:pt idx="1304">
                  <c:v>123.57812468780725</c:v>
                </c:pt>
                <c:pt idx="1305">
                  <c:v>215.83812468780735</c:v>
                </c:pt>
                <c:pt idx="1306">
                  <c:v>504.44812468780765</c:v>
                </c:pt>
                <c:pt idx="1307">
                  <c:v>-991.15527026219297</c:v>
                </c:pt>
                <c:pt idx="1308">
                  <c:v>778.30248978780742</c:v>
                </c:pt>
                <c:pt idx="1309">
                  <c:v>778.30248978780742</c:v>
                </c:pt>
                <c:pt idx="1310">
                  <c:v>778.30248978780742</c:v>
                </c:pt>
                <c:pt idx="1311">
                  <c:v>400.51491486096205</c:v>
                </c:pt>
                <c:pt idx="1312">
                  <c:v>401</c:v>
                </c:pt>
                <c:pt idx="1313">
                  <c:v>-61</c:v>
                </c:pt>
                <c:pt idx="1314">
                  <c:v>-353</c:v>
                </c:pt>
                <c:pt idx="1315">
                  <c:v>2230</c:v>
                </c:pt>
                <c:pt idx="1316">
                  <c:v>2230</c:v>
                </c:pt>
                <c:pt idx="1317">
                  <c:v>2230</c:v>
                </c:pt>
                <c:pt idx="1318">
                  <c:v>110.9</c:v>
                </c:pt>
                <c:pt idx="1319">
                  <c:v>240.9</c:v>
                </c:pt>
                <c:pt idx="1320">
                  <c:v>110.1</c:v>
                </c:pt>
                <c:pt idx="1321">
                  <c:v>-646.1</c:v>
                </c:pt>
                <c:pt idx="1322">
                  <c:v>-457.2</c:v>
                </c:pt>
                <c:pt idx="1323">
                  <c:v>-457.2</c:v>
                </c:pt>
                <c:pt idx="1324">
                  <c:v>-457.2</c:v>
                </c:pt>
                <c:pt idx="1325">
                  <c:v>-232.3</c:v>
                </c:pt>
                <c:pt idx="1326">
                  <c:v>1322.1</c:v>
                </c:pt>
                <c:pt idx="1327">
                  <c:v>54.1</c:v>
                </c:pt>
                <c:pt idx="1328">
                  <c:v>7839.6</c:v>
                </c:pt>
                <c:pt idx="1329">
                  <c:v>-187</c:v>
                </c:pt>
                <c:pt idx="1330">
                  <c:v>-187</c:v>
                </c:pt>
                <c:pt idx="1331">
                  <c:v>-187</c:v>
                </c:pt>
                <c:pt idx="1332">
                  <c:v>-908.6</c:v>
                </c:pt>
                <c:pt idx="1333">
                  <c:v>230.1</c:v>
                </c:pt>
                <c:pt idx="1334">
                  <c:v>-1881.3</c:v>
                </c:pt>
                <c:pt idx="1335">
                  <c:v>-791.17</c:v>
                </c:pt>
                <c:pt idx="1336">
                  <c:v>-217.63</c:v>
                </c:pt>
                <c:pt idx="1337">
                  <c:v>-217.63</c:v>
                </c:pt>
                <c:pt idx="1338">
                  <c:v>-217.63</c:v>
                </c:pt>
                <c:pt idx="1339">
                  <c:v>475.17</c:v>
                </c:pt>
                <c:pt idx="1340">
                  <c:v>-527.01</c:v>
                </c:pt>
                <c:pt idx="1341">
                  <c:v>-705.4</c:v>
                </c:pt>
                <c:pt idx="1342">
                  <c:v>-655.04</c:v>
                </c:pt>
                <c:pt idx="1343">
                  <c:v>-655.04131633397674</c:v>
                </c:pt>
                <c:pt idx="1344">
                  <c:v>-655.04131633397674</c:v>
                </c:pt>
                <c:pt idx="1345">
                  <c:v>-655.04131633397674</c:v>
                </c:pt>
                <c:pt idx="1346">
                  <c:v>303.61029287602366</c:v>
                </c:pt>
                <c:pt idx="1347">
                  <c:v>-823.96840711397658</c:v>
                </c:pt>
                <c:pt idx="1348">
                  <c:v>-955.35772603397652</c:v>
                </c:pt>
                <c:pt idx="1349">
                  <c:v>-148.99974200397668</c:v>
                </c:pt>
                <c:pt idx="1350">
                  <c:v>-1468.8741265839767</c:v>
                </c:pt>
                <c:pt idx="1351">
                  <c:v>-1468.8741265839767</c:v>
                </c:pt>
                <c:pt idx="1352">
                  <c:v>-1468.8741265839767</c:v>
                </c:pt>
                <c:pt idx="1353">
                  <c:v>6253.6</c:v>
                </c:pt>
                <c:pt idx="1354">
                  <c:v>6233.55</c:v>
                </c:pt>
                <c:pt idx="1355">
                  <c:v>5922.79</c:v>
                </c:pt>
                <c:pt idx="1356">
                  <c:v>-1852.36</c:v>
                </c:pt>
                <c:pt idx="1357">
                  <c:v>-1904.76</c:v>
                </c:pt>
                <c:pt idx="1358">
                  <c:v>-1904.76</c:v>
                </c:pt>
                <c:pt idx="1359">
                  <c:v>-1904.76</c:v>
                </c:pt>
                <c:pt idx="1360">
                  <c:v>-2678.2</c:v>
                </c:pt>
                <c:pt idx="1361">
                  <c:v>-493.25</c:v>
                </c:pt>
                <c:pt idx="1362">
                  <c:v>-1476.73</c:v>
                </c:pt>
                <c:pt idx="1363">
                  <c:v>-1481.89</c:v>
                </c:pt>
                <c:pt idx="1364">
                  <c:v>-1291.28</c:v>
                </c:pt>
                <c:pt idx="1365">
                  <c:v>-1291.28</c:v>
                </c:pt>
                <c:pt idx="1366">
                  <c:v>-1291.28</c:v>
                </c:pt>
                <c:pt idx="1367">
                  <c:v>680.87</c:v>
                </c:pt>
                <c:pt idx="1368">
                  <c:v>-1059.56</c:v>
                </c:pt>
                <c:pt idx="1369">
                  <c:v>230.75</c:v>
                </c:pt>
                <c:pt idx="1370">
                  <c:v>45.32</c:v>
                </c:pt>
                <c:pt idx="1371">
                  <c:v>-451.07</c:v>
                </c:pt>
                <c:pt idx="1372">
                  <c:v>-451.07</c:v>
                </c:pt>
                <c:pt idx="1373">
                  <c:v>-451.07</c:v>
                </c:pt>
                <c:pt idx="1374">
                  <c:v>-108.5</c:v>
                </c:pt>
                <c:pt idx="1375">
                  <c:v>612.34</c:v>
                </c:pt>
                <c:pt idx="1376">
                  <c:v>1125.05</c:v>
                </c:pt>
                <c:pt idx="1377">
                  <c:v>416.25</c:v>
                </c:pt>
                <c:pt idx="1378">
                  <c:v>37.46</c:v>
                </c:pt>
                <c:pt idx="1379">
                  <c:v>37.46</c:v>
                </c:pt>
                <c:pt idx="1380">
                  <c:v>37.46</c:v>
                </c:pt>
                <c:pt idx="1381">
                  <c:v>-348.27</c:v>
                </c:pt>
                <c:pt idx="1382">
                  <c:v>443</c:v>
                </c:pt>
                <c:pt idx="1383">
                  <c:v>192.71</c:v>
                </c:pt>
                <c:pt idx="1384">
                  <c:v>-273.8</c:v>
                </c:pt>
                <c:pt idx="1385">
                  <c:v>480.79</c:v>
                </c:pt>
                <c:pt idx="1386">
                  <c:v>480.79</c:v>
                </c:pt>
                <c:pt idx="1387">
                  <c:v>480.79</c:v>
                </c:pt>
                <c:pt idx="1388">
                  <c:v>456.67</c:v>
                </c:pt>
                <c:pt idx="1389">
                  <c:v>476.06</c:v>
                </c:pt>
                <c:pt idx="1390">
                  <c:v>-151.72999999999999</c:v>
                </c:pt>
                <c:pt idx="1391">
                  <c:v>2122.4481088743623</c:v>
                </c:pt>
                <c:pt idx="1392">
                  <c:v>620.63</c:v>
                </c:pt>
                <c:pt idx="1393">
                  <c:v>620.63</c:v>
                </c:pt>
                <c:pt idx="1394">
                  <c:v>620.63</c:v>
                </c:pt>
                <c:pt idx="1395">
                  <c:v>1680.17</c:v>
                </c:pt>
                <c:pt idx="1396">
                  <c:v>-985.98</c:v>
                </c:pt>
                <c:pt idx="1397">
                  <c:v>-519.57000000000005</c:v>
                </c:pt>
                <c:pt idx="1398">
                  <c:v>132.87</c:v>
                </c:pt>
                <c:pt idx="1399">
                  <c:v>348.46</c:v>
                </c:pt>
                <c:pt idx="1400">
                  <c:v>348.46</c:v>
                </c:pt>
                <c:pt idx="1401">
                  <c:v>348.46</c:v>
                </c:pt>
                <c:pt idx="1402">
                  <c:v>1662.56</c:v>
                </c:pt>
                <c:pt idx="1403">
                  <c:v>-730.07</c:v>
                </c:pt>
                <c:pt idx="1404">
                  <c:v>-623.34</c:v>
                </c:pt>
                <c:pt idx="1405">
                  <c:v>-60.57</c:v>
                </c:pt>
                <c:pt idx="1406">
                  <c:v>-146.71</c:v>
                </c:pt>
                <c:pt idx="1407">
                  <c:v>-146.71</c:v>
                </c:pt>
                <c:pt idx="1408">
                  <c:v>-146.71</c:v>
                </c:pt>
                <c:pt idx="1409">
                  <c:v>151.80000000000001</c:v>
                </c:pt>
                <c:pt idx="1410">
                  <c:v>-2183.98</c:v>
                </c:pt>
                <c:pt idx="1411">
                  <c:v>-1346.01</c:v>
                </c:pt>
                <c:pt idx="1412">
                  <c:v>1216.1600000000001</c:v>
                </c:pt>
                <c:pt idx="1413">
                  <c:v>862.05</c:v>
                </c:pt>
                <c:pt idx="1414">
                  <c:v>862.05</c:v>
                </c:pt>
                <c:pt idx="1415">
                  <c:v>862.05</c:v>
                </c:pt>
                <c:pt idx="1416">
                  <c:v>-734.41</c:v>
                </c:pt>
                <c:pt idx="1417">
                  <c:v>-162.5</c:v>
                </c:pt>
                <c:pt idx="1418">
                  <c:v>-163.19</c:v>
                </c:pt>
                <c:pt idx="1419">
                  <c:v>628.13</c:v>
                </c:pt>
                <c:pt idx="1420">
                  <c:v>1161.55</c:v>
                </c:pt>
                <c:pt idx="1421">
                  <c:v>1161.55</c:v>
                </c:pt>
                <c:pt idx="1422">
                  <c:v>1161.55</c:v>
                </c:pt>
                <c:pt idx="1423">
                  <c:v>1305.74</c:v>
                </c:pt>
                <c:pt idx="1424">
                  <c:v>87.69</c:v>
                </c:pt>
                <c:pt idx="1425">
                  <c:v>-206.35</c:v>
                </c:pt>
                <c:pt idx="1426">
                  <c:v>485.81</c:v>
                </c:pt>
                <c:pt idx="1427">
                  <c:v>485.81</c:v>
                </c:pt>
                <c:pt idx="1428">
                  <c:v>485.81</c:v>
                </c:pt>
                <c:pt idx="1429">
                  <c:v>485.81</c:v>
                </c:pt>
                <c:pt idx="1430">
                  <c:v>6133.65</c:v>
                </c:pt>
                <c:pt idx="1431">
                  <c:v>6572.3</c:v>
                </c:pt>
                <c:pt idx="1432">
                  <c:v>-1766.19</c:v>
                </c:pt>
                <c:pt idx="1433">
                  <c:v>-1766.19</c:v>
                </c:pt>
                <c:pt idx="1434">
                  <c:v>2236.5500000000002</c:v>
                </c:pt>
                <c:pt idx="1435">
                  <c:v>2236.5500000000002</c:v>
                </c:pt>
                <c:pt idx="1436">
                  <c:v>2236.5500000000002</c:v>
                </c:pt>
                <c:pt idx="1437">
                  <c:v>-1340.95</c:v>
                </c:pt>
                <c:pt idx="1438">
                  <c:v>-1547.57</c:v>
                </c:pt>
                <c:pt idx="1439">
                  <c:v>-2139.6999999999998</c:v>
                </c:pt>
                <c:pt idx="1440">
                  <c:v>-166.28</c:v>
                </c:pt>
                <c:pt idx="1441">
                  <c:v>-499.44</c:v>
                </c:pt>
                <c:pt idx="1442">
                  <c:v>-499.44</c:v>
                </c:pt>
                <c:pt idx="1443">
                  <c:v>-499.44</c:v>
                </c:pt>
                <c:pt idx="1444">
                  <c:v>4316.5200000000004</c:v>
                </c:pt>
                <c:pt idx="1445">
                  <c:v>4353.3999999999996</c:v>
                </c:pt>
                <c:pt idx="1446">
                  <c:v>3219.41</c:v>
                </c:pt>
                <c:pt idx="1447">
                  <c:v>851.09</c:v>
                </c:pt>
                <c:pt idx="1448">
                  <c:v>-1104.1099999999999</c:v>
                </c:pt>
                <c:pt idx="1449">
                  <c:v>-1104.1099999999999</c:v>
                </c:pt>
                <c:pt idx="1450">
                  <c:v>-1104.1099999999999</c:v>
                </c:pt>
                <c:pt idx="1451">
                  <c:v>-2461.9499999999998</c:v>
                </c:pt>
                <c:pt idx="1452">
                  <c:v>-1711.83</c:v>
                </c:pt>
                <c:pt idx="1453">
                  <c:v>1695.08</c:v>
                </c:pt>
                <c:pt idx="1454">
                  <c:v>1695.08</c:v>
                </c:pt>
                <c:pt idx="1455">
                  <c:v>2692.27</c:v>
                </c:pt>
                <c:pt idx="1456">
                  <c:v>2692.27</c:v>
                </c:pt>
                <c:pt idx="1457">
                  <c:v>2692.27</c:v>
                </c:pt>
                <c:pt idx="1458">
                  <c:v>2315.5</c:v>
                </c:pt>
                <c:pt idx="1459">
                  <c:v>1522.91</c:v>
                </c:pt>
                <c:pt idx="1460">
                  <c:v>749.39</c:v>
                </c:pt>
                <c:pt idx="1461">
                  <c:v>749.39</c:v>
                </c:pt>
                <c:pt idx="1462">
                  <c:v>749.39</c:v>
                </c:pt>
                <c:pt idx="1463">
                  <c:v>749.39</c:v>
                </c:pt>
                <c:pt idx="1464">
                  <c:v>749.39</c:v>
                </c:pt>
                <c:pt idx="1465">
                  <c:v>17266.009999999998</c:v>
                </c:pt>
                <c:pt idx="1466">
                  <c:v>17366.93</c:v>
                </c:pt>
                <c:pt idx="1467">
                  <c:v>17375.41</c:v>
                </c:pt>
                <c:pt idx="1468">
                  <c:v>-437.3</c:v>
                </c:pt>
                <c:pt idx="1469">
                  <c:v>-1203.8599999999999</c:v>
                </c:pt>
                <c:pt idx="1470">
                  <c:v>-1203.8599999999999</c:v>
                </c:pt>
                <c:pt idx="1471">
                  <c:v>-1203.8599999999999</c:v>
                </c:pt>
                <c:pt idx="1472">
                  <c:v>-1359.77</c:v>
                </c:pt>
                <c:pt idx="1473">
                  <c:v>3722.22</c:v>
                </c:pt>
                <c:pt idx="1474">
                  <c:v>3560.28</c:v>
                </c:pt>
                <c:pt idx="1475">
                  <c:v>-1113.2</c:v>
                </c:pt>
                <c:pt idx="1476">
                  <c:v>-1351.9880752955746</c:v>
                </c:pt>
                <c:pt idx="1477">
                  <c:v>-1351.9880752955742</c:v>
                </c:pt>
                <c:pt idx="1478">
                  <c:v>-1351.9880752955742</c:v>
                </c:pt>
                <c:pt idx="1479">
                  <c:v>-1784.5726003178852</c:v>
                </c:pt>
                <c:pt idx="1480">
                  <c:v>60.94</c:v>
                </c:pt>
                <c:pt idx="1481">
                  <c:v>49.32</c:v>
                </c:pt>
                <c:pt idx="1482">
                  <c:v>927.11</c:v>
                </c:pt>
                <c:pt idx="1483">
                  <c:v>3355.5526965721156</c:v>
                </c:pt>
                <c:pt idx="1484">
                  <c:v>3355.5526965721156</c:v>
                </c:pt>
                <c:pt idx="1485">
                  <c:v>3355.5526965721156</c:v>
                </c:pt>
                <c:pt idx="1486">
                  <c:v>1704.29</c:v>
                </c:pt>
                <c:pt idx="1487">
                  <c:v>1236.8599999999999</c:v>
                </c:pt>
                <c:pt idx="1488">
                  <c:v>1356.89</c:v>
                </c:pt>
                <c:pt idx="1489">
                  <c:v>3227.95</c:v>
                </c:pt>
                <c:pt idx="1490">
                  <c:v>1026.25</c:v>
                </c:pt>
                <c:pt idx="1491">
                  <c:v>1026.25</c:v>
                </c:pt>
                <c:pt idx="1492">
                  <c:v>1026.25</c:v>
                </c:pt>
                <c:pt idx="1493">
                  <c:v>-616.97</c:v>
                </c:pt>
                <c:pt idx="1494">
                  <c:v>-405.57402779788447</c:v>
                </c:pt>
                <c:pt idx="1495">
                  <c:v>698.96305953211049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E2-43C2-A9E5-4CA04C7CD3C7}"/>
            </c:ext>
          </c:extLst>
        </c:ser>
        <c:ser>
          <c:idx val="2"/>
          <c:order val="2"/>
          <c:tx>
            <c:v>Bons du Trésor &lt; 1 an</c:v>
          </c:tx>
          <c:spPr>
            <a:solidFill>
              <a:schemeClr val="accent3">
                <a:alpha val="85000"/>
              </a:schemeClr>
            </a:solidFill>
            <a:ln w="25400"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BASE!$A$2:$A$1497</c:f>
              <c:numCache>
                <c:formatCode>m/d/yyyy</c:formatCode>
                <c:ptCount val="1496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  <c:pt idx="1495">
                  <c:v>46057</c:v>
                </c:pt>
              </c:numCache>
            </c:numRef>
          </c:cat>
          <c:val>
            <c:numRef>
              <c:f>BASE!$B$2:$B$1497</c:f>
              <c:numCache>
                <c:formatCode>_-* #\ ##0_-;\-* #\ ##0_-;_-* "-"??_-;_-@_-</c:formatCode>
                <c:ptCount val="1496"/>
                <c:pt idx="0">
                  <c:v>4660</c:v>
                </c:pt>
                <c:pt idx="1">
                  <c:v>4660</c:v>
                </c:pt>
                <c:pt idx="2">
                  <c:v>4660</c:v>
                </c:pt>
                <c:pt idx="3">
                  <c:v>4660</c:v>
                </c:pt>
                <c:pt idx="4">
                  <c:v>4610</c:v>
                </c:pt>
                <c:pt idx="5">
                  <c:v>4610</c:v>
                </c:pt>
                <c:pt idx="6">
                  <c:v>4610</c:v>
                </c:pt>
                <c:pt idx="7">
                  <c:v>4610</c:v>
                </c:pt>
                <c:pt idx="8">
                  <c:v>4610</c:v>
                </c:pt>
                <c:pt idx="9">
                  <c:v>4610</c:v>
                </c:pt>
                <c:pt idx="10">
                  <c:v>4610</c:v>
                </c:pt>
                <c:pt idx="11">
                  <c:v>4710</c:v>
                </c:pt>
                <c:pt idx="12">
                  <c:v>4710</c:v>
                </c:pt>
                <c:pt idx="13">
                  <c:v>4710</c:v>
                </c:pt>
                <c:pt idx="14">
                  <c:v>4710</c:v>
                </c:pt>
                <c:pt idx="15">
                  <c:v>4710</c:v>
                </c:pt>
                <c:pt idx="16">
                  <c:v>4710</c:v>
                </c:pt>
                <c:pt idx="17">
                  <c:v>4710</c:v>
                </c:pt>
                <c:pt idx="18">
                  <c:v>4808</c:v>
                </c:pt>
                <c:pt idx="19">
                  <c:v>4808</c:v>
                </c:pt>
                <c:pt idx="20">
                  <c:v>4808</c:v>
                </c:pt>
                <c:pt idx="21">
                  <c:v>4808</c:v>
                </c:pt>
                <c:pt idx="22">
                  <c:v>4808</c:v>
                </c:pt>
                <c:pt idx="23">
                  <c:v>4808</c:v>
                </c:pt>
                <c:pt idx="24">
                  <c:v>4808</c:v>
                </c:pt>
                <c:pt idx="25">
                  <c:v>4158</c:v>
                </c:pt>
                <c:pt idx="26">
                  <c:v>4158</c:v>
                </c:pt>
                <c:pt idx="27">
                  <c:v>4158</c:v>
                </c:pt>
                <c:pt idx="28">
                  <c:v>4158</c:v>
                </c:pt>
                <c:pt idx="29">
                  <c:v>4158</c:v>
                </c:pt>
                <c:pt idx="30">
                  <c:v>4158</c:v>
                </c:pt>
                <c:pt idx="31">
                  <c:v>4158</c:v>
                </c:pt>
                <c:pt idx="32">
                  <c:v>4159</c:v>
                </c:pt>
                <c:pt idx="33">
                  <c:v>4159</c:v>
                </c:pt>
                <c:pt idx="34">
                  <c:v>4159</c:v>
                </c:pt>
                <c:pt idx="35">
                  <c:v>4159</c:v>
                </c:pt>
                <c:pt idx="36">
                  <c:v>4159</c:v>
                </c:pt>
                <c:pt idx="37">
                  <c:v>4159</c:v>
                </c:pt>
                <c:pt idx="38">
                  <c:v>4159</c:v>
                </c:pt>
                <c:pt idx="39">
                  <c:v>4339</c:v>
                </c:pt>
                <c:pt idx="40">
                  <c:v>4339</c:v>
                </c:pt>
                <c:pt idx="41">
                  <c:v>4339</c:v>
                </c:pt>
                <c:pt idx="42">
                  <c:v>4339</c:v>
                </c:pt>
                <c:pt idx="43">
                  <c:v>4339</c:v>
                </c:pt>
                <c:pt idx="44">
                  <c:v>4339</c:v>
                </c:pt>
                <c:pt idx="45">
                  <c:v>4339</c:v>
                </c:pt>
                <c:pt idx="46">
                  <c:v>4639</c:v>
                </c:pt>
                <c:pt idx="47">
                  <c:v>4639</c:v>
                </c:pt>
                <c:pt idx="48">
                  <c:v>4639</c:v>
                </c:pt>
                <c:pt idx="49">
                  <c:v>4639</c:v>
                </c:pt>
                <c:pt idx="50">
                  <c:v>4639</c:v>
                </c:pt>
                <c:pt idx="51">
                  <c:v>4639</c:v>
                </c:pt>
                <c:pt idx="52">
                  <c:v>4639</c:v>
                </c:pt>
                <c:pt idx="53">
                  <c:v>4639</c:v>
                </c:pt>
                <c:pt idx="54">
                  <c:v>4639</c:v>
                </c:pt>
                <c:pt idx="55">
                  <c:v>4639</c:v>
                </c:pt>
                <c:pt idx="56">
                  <c:v>4639</c:v>
                </c:pt>
                <c:pt idx="57">
                  <c:v>4639</c:v>
                </c:pt>
                <c:pt idx="58">
                  <c:v>4639</c:v>
                </c:pt>
                <c:pt idx="59">
                  <c:v>4639</c:v>
                </c:pt>
                <c:pt idx="60">
                  <c:v>4759</c:v>
                </c:pt>
                <c:pt idx="61">
                  <c:v>4759</c:v>
                </c:pt>
                <c:pt idx="62">
                  <c:v>4759</c:v>
                </c:pt>
                <c:pt idx="63">
                  <c:v>4759</c:v>
                </c:pt>
                <c:pt idx="64">
                  <c:v>4759</c:v>
                </c:pt>
                <c:pt idx="65">
                  <c:v>4759</c:v>
                </c:pt>
                <c:pt idx="66">
                  <c:v>4759</c:v>
                </c:pt>
                <c:pt idx="67">
                  <c:v>4759</c:v>
                </c:pt>
                <c:pt idx="68">
                  <c:v>4759</c:v>
                </c:pt>
                <c:pt idx="69">
                  <c:v>4759</c:v>
                </c:pt>
                <c:pt idx="70">
                  <c:v>4759</c:v>
                </c:pt>
                <c:pt idx="71">
                  <c:v>4759</c:v>
                </c:pt>
                <c:pt idx="72">
                  <c:v>4759</c:v>
                </c:pt>
                <c:pt idx="73">
                  <c:v>4759</c:v>
                </c:pt>
                <c:pt idx="74">
                  <c:v>4759</c:v>
                </c:pt>
                <c:pt idx="75">
                  <c:v>4759</c:v>
                </c:pt>
                <c:pt idx="76">
                  <c:v>4759</c:v>
                </c:pt>
                <c:pt idx="77">
                  <c:v>4759</c:v>
                </c:pt>
                <c:pt idx="78">
                  <c:v>4759</c:v>
                </c:pt>
                <c:pt idx="79">
                  <c:v>4759</c:v>
                </c:pt>
                <c:pt idx="80">
                  <c:v>4759</c:v>
                </c:pt>
                <c:pt idx="81">
                  <c:v>4758</c:v>
                </c:pt>
                <c:pt idx="82">
                  <c:v>4758</c:v>
                </c:pt>
                <c:pt idx="83">
                  <c:v>4758</c:v>
                </c:pt>
                <c:pt idx="84">
                  <c:v>4758</c:v>
                </c:pt>
                <c:pt idx="85">
                  <c:v>4758</c:v>
                </c:pt>
                <c:pt idx="86">
                  <c:v>4758</c:v>
                </c:pt>
                <c:pt idx="87">
                  <c:v>4758</c:v>
                </c:pt>
                <c:pt idx="88">
                  <c:v>4858</c:v>
                </c:pt>
                <c:pt idx="89">
                  <c:v>4858</c:v>
                </c:pt>
                <c:pt idx="90">
                  <c:v>4858</c:v>
                </c:pt>
                <c:pt idx="91">
                  <c:v>4858</c:v>
                </c:pt>
                <c:pt idx="92">
                  <c:v>4858</c:v>
                </c:pt>
                <c:pt idx="93">
                  <c:v>4858</c:v>
                </c:pt>
                <c:pt idx="94">
                  <c:v>4858</c:v>
                </c:pt>
                <c:pt idx="95">
                  <c:v>4858</c:v>
                </c:pt>
                <c:pt idx="96">
                  <c:v>4858</c:v>
                </c:pt>
                <c:pt idx="97">
                  <c:v>4858</c:v>
                </c:pt>
                <c:pt idx="98">
                  <c:v>4858</c:v>
                </c:pt>
                <c:pt idx="99">
                  <c:v>4858</c:v>
                </c:pt>
                <c:pt idx="100">
                  <c:v>4858</c:v>
                </c:pt>
                <c:pt idx="101">
                  <c:v>4858</c:v>
                </c:pt>
                <c:pt idx="102">
                  <c:v>4858</c:v>
                </c:pt>
                <c:pt idx="103">
                  <c:v>4858</c:v>
                </c:pt>
                <c:pt idx="104">
                  <c:v>4858</c:v>
                </c:pt>
                <c:pt idx="105">
                  <c:v>4858</c:v>
                </c:pt>
                <c:pt idx="106">
                  <c:v>4858</c:v>
                </c:pt>
                <c:pt idx="107">
                  <c:v>4858</c:v>
                </c:pt>
                <c:pt idx="108">
                  <c:v>4858</c:v>
                </c:pt>
                <c:pt idx="109">
                  <c:v>4858</c:v>
                </c:pt>
                <c:pt idx="110">
                  <c:v>4858</c:v>
                </c:pt>
                <c:pt idx="111">
                  <c:v>4858</c:v>
                </c:pt>
                <c:pt idx="112">
                  <c:v>4858</c:v>
                </c:pt>
                <c:pt idx="113">
                  <c:v>4858</c:v>
                </c:pt>
                <c:pt idx="114">
                  <c:v>4858</c:v>
                </c:pt>
                <c:pt idx="115">
                  <c:v>4858</c:v>
                </c:pt>
                <c:pt idx="116">
                  <c:v>4858</c:v>
                </c:pt>
                <c:pt idx="117">
                  <c:v>4858</c:v>
                </c:pt>
                <c:pt idx="118">
                  <c:v>4858</c:v>
                </c:pt>
                <c:pt idx="119">
                  <c:v>4858</c:v>
                </c:pt>
                <c:pt idx="120">
                  <c:v>4858</c:v>
                </c:pt>
                <c:pt idx="121">
                  <c:v>4858</c:v>
                </c:pt>
                <c:pt idx="122">
                  <c:v>4858</c:v>
                </c:pt>
                <c:pt idx="123">
                  <c:v>4858</c:v>
                </c:pt>
                <c:pt idx="124">
                  <c:v>4858</c:v>
                </c:pt>
                <c:pt idx="125">
                  <c:v>4858</c:v>
                </c:pt>
                <c:pt idx="126">
                  <c:v>4858</c:v>
                </c:pt>
                <c:pt idx="127">
                  <c:v>4858</c:v>
                </c:pt>
                <c:pt idx="128">
                  <c:v>4858</c:v>
                </c:pt>
                <c:pt idx="129">
                  <c:v>4858</c:v>
                </c:pt>
                <c:pt idx="130">
                  <c:v>4858</c:v>
                </c:pt>
                <c:pt idx="131">
                  <c:v>4858</c:v>
                </c:pt>
                <c:pt idx="132">
                  <c:v>4858</c:v>
                </c:pt>
                <c:pt idx="133">
                  <c:v>4858</c:v>
                </c:pt>
                <c:pt idx="134">
                  <c:v>4858</c:v>
                </c:pt>
                <c:pt idx="135">
                  <c:v>4858</c:v>
                </c:pt>
                <c:pt idx="136">
                  <c:v>4858</c:v>
                </c:pt>
                <c:pt idx="137">
                  <c:v>4448</c:v>
                </c:pt>
                <c:pt idx="138">
                  <c:v>4448</c:v>
                </c:pt>
                <c:pt idx="139">
                  <c:v>4448</c:v>
                </c:pt>
                <c:pt idx="140">
                  <c:v>4448</c:v>
                </c:pt>
                <c:pt idx="141">
                  <c:v>4448</c:v>
                </c:pt>
                <c:pt idx="142">
                  <c:v>4448</c:v>
                </c:pt>
                <c:pt idx="143">
                  <c:v>4448</c:v>
                </c:pt>
                <c:pt idx="144">
                  <c:v>4348</c:v>
                </c:pt>
                <c:pt idx="145">
                  <c:v>4348</c:v>
                </c:pt>
                <c:pt idx="146">
                  <c:v>4348</c:v>
                </c:pt>
                <c:pt idx="147">
                  <c:v>4348</c:v>
                </c:pt>
                <c:pt idx="148">
                  <c:v>4348</c:v>
                </c:pt>
                <c:pt idx="149">
                  <c:v>4348</c:v>
                </c:pt>
                <c:pt idx="150">
                  <c:v>4348</c:v>
                </c:pt>
                <c:pt idx="151">
                  <c:v>4348</c:v>
                </c:pt>
                <c:pt idx="152">
                  <c:v>4348</c:v>
                </c:pt>
                <c:pt idx="153">
                  <c:v>4348</c:v>
                </c:pt>
                <c:pt idx="154">
                  <c:v>4348</c:v>
                </c:pt>
                <c:pt idx="155">
                  <c:v>4348</c:v>
                </c:pt>
                <c:pt idx="156">
                  <c:v>4348</c:v>
                </c:pt>
                <c:pt idx="157">
                  <c:v>4348</c:v>
                </c:pt>
                <c:pt idx="158">
                  <c:v>4402</c:v>
                </c:pt>
                <c:pt idx="159">
                  <c:v>4402</c:v>
                </c:pt>
                <c:pt idx="160">
                  <c:v>4402</c:v>
                </c:pt>
                <c:pt idx="161">
                  <c:v>4402</c:v>
                </c:pt>
                <c:pt idx="162">
                  <c:v>4402</c:v>
                </c:pt>
                <c:pt idx="163">
                  <c:v>4402</c:v>
                </c:pt>
                <c:pt idx="164">
                  <c:v>4402</c:v>
                </c:pt>
                <c:pt idx="165">
                  <c:v>4402</c:v>
                </c:pt>
                <c:pt idx="166">
                  <c:v>4402</c:v>
                </c:pt>
                <c:pt idx="167">
                  <c:v>4402</c:v>
                </c:pt>
                <c:pt idx="168">
                  <c:v>4402</c:v>
                </c:pt>
                <c:pt idx="169">
                  <c:v>4402</c:v>
                </c:pt>
                <c:pt idx="170">
                  <c:v>4402</c:v>
                </c:pt>
                <c:pt idx="171">
                  <c:v>4402</c:v>
                </c:pt>
                <c:pt idx="172">
                  <c:v>4402</c:v>
                </c:pt>
                <c:pt idx="173">
                  <c:v>4402</c:v>
                </c:pt>
                <c:pt idx="174">
                  <c:v>4402</c:v>
                </c:pt>
                <c:pt idx="175">
                  <c:v>4402</c:v>
                </c:pt>
                <c:pt idx="176">
                  <c:v>4402</c:v>
                </c:pt>
                <c:pt idx="177">
                  <c:v>4402</c:v>
                </c:pt>
                <c:pt idx="178">
                  <c:v>4402</c:v>
                </c:pt>
                <c:pt idx="179">
                  <c:v>4402</c:v>
                </c:pt>
                <c:pt idx="180">
                  <c:v>4402</c:v>
                </c:pt>
                <c:pt idx="181">
                  <c:v>4402</c:v>
                </c:pt>
                <c:pt idx="182">
                  <c:v>4402</c:v>
                </c:pt>
                <c:pt idx="183">
                  <c:v>4402</c:v>
                </c:pt>
                <c:pt idx="184">
                  <c:v>4402</c:v>
                </c:pt>
                <c:pt idx="185">
                  <c:v>4402</c:v>
                </c:pt>
                <c:pt idx="186">
                  <c:v>4402</c:v>
                </c:pt>
                <c:pt idx="187">
                  <c:v>4402</c:v>
                </c:pt>
                <c:pt idx="188">
                  <c:v>4402</c:v>
                </c:pt>
                <c:pt idx="189">
                  <c:v>4402</c:v>
                </c:pt>
                <c:pt idx="190">
                  <c:v>4402</c:v>
                </c:pt>
                <c:pt idx="191">
                  <c:v>4402</c:v>
                </c:pt>
                <c:pt idx="192">
                  <c:v>4402</c:v>
                </c:pt>
                <c:pt idx="193">
                  <c:v>4402</c:v>
                </c:pt>
                <c:pt idx="194">
                  <c:v>4402</c:v>
                </c:pt>
                <c:pt idx="195">
                  <c:v>4402</c:v>
                </c:pt>
                <c:pt idx="196">
                  <c:v>4402</c:v>
                </c:pt>
                <c:pt idx="197">
                  <c:v>4402</c:v>
                </c:pt>
                <c:pt idx="198">
                  <c:v>4402</c:v>
                </c:pt>
                <c:pt idx="199">
                  <c:v>4402</c:v>
                </c:pt>
                <c:pt idx="200">
                  <c:v>4402</c:v>
                </c:pt>
                <c:pt idx="201">
                  <c:v>4402</c:v>
                </c:pt>
                <c:pt idx="202">
                  <c:v>4402</c:v>
                </c:pt>
                <c:pt idx="203">
                  <c:v>4402</c:v>
                </c:pt>
                <c:pt idx="204">
                  <c:v>4402</c:v>
                </c:pt>
                <c:pt idx="205">
                  <c:v>4402</c:v>
                </c:pt>
                <c:pt idx="206">
                  <c:v>4402</c:v>
                </c:pt>
                <c:pt idx="207">
                  <c:v>3682</c:v>
                </c:pt>
                <c:pt idx="208">
                  <c:v>3682</c:v>
                </c:pt>
                <c:pt idx="209">
                  <c:v>3682</c:v>
                </c:pt>
                <c:pt idx="210">
                  <c:v>3682</c:v>
                </c:pt>
                <c:pt idx="211">
                  <c:v>3682</c:v>
                </c:pt>
                <c:pt idx="212">
                  <c:v>3682</c:v>
                </c:pt>
                <c:pt idx="213">
                  <c:v>3682</c:v>
                </c:pt>
                <c:pt idx="214">
                  <c:v>3655</c:v>
                </c:pt>
                <c:pt idx="215">
                  <c:v>3655</c:v>
                </c:pt>
                <c:pt idx="216">
                  <c:v>3655</c:v>
                </c:pt>
                <c:pt idx="217">
                  <c:v>3655</c:v>
                </c:pt>
                <c:pt idx="218">
                  <c:v>3655</c:v>
                </c:pt>
                <c:pt idx="219">
                  <c:v>3655</c:v>
                </c:pt>
                <c:pt idx="220">
                  <c:v>3655</c:v>
                </c:pt>
                <c:pt idx="221">
                  <c:v>3655</c:v>
                </c:pt>
                <c:pt idx="222">
                  <c:v>3655</c:v>
                </c:pt>
                <c:pt idx="223">
                  <c:v>3655</c:v>
                </c:pt>
                <c:pt idx="224">
                  <c:v>3655</c:v>
                </c:pt>
                <c:pt idx="225">
                  <c:v>3655</c:v>
                </c:pt>
                <c:pt idx="226">
                  <c:v>3655</c:v>
                </c:pt>
                <c:pt idx="227">
                  <c:v>3655</c:v>
                </c:pt>
                <c:pt idx="228">
                  <c:v>3655</c:v>
                </c:pt>
                <c:pt idx="229">
                  <c:v>3655</c:v>
                </c:pt>
                <c:pt idx="230">
                  <c:v>3655</c:v>
                </c:pt>
                <c:pt idx="231">
                  <c:v>3655</c:v>
                </c:pt>
                <c:pt idx="232">
                  <c:v>3655</c:v>
                </c:pt>
                <c:pt idx="233">
                  <c:v>3655</c:v>
                </c:pt>
                <c:pt idx="234">
                  <c:v>3655</c:v>
                </c:pt>
                <c:pt idx="235">
                  <c:v>3655</c:v>
                </c:pt>
                <c:pt idx="236">
                  <c:v>3655</c:v>
                </c:pt>
                <c:pt idx="237">
                  <c:v>3655</c:v>
                </c:pt>
                <c:pt idx="238">
                  <c:v>3655</c:v>
                </c:pt>
                <c:pt idx="239">
                  <c:v>3655</c:v>
                </c:pt>
                <c:pt idx="240">
                  <c:v>3655</c:v>
                </c:pt>
                <c:pt idx="241">
                  <c:v>3655</c:v>
                </c:pt>
                <c:pt idx="242">
                  <c:v>3535</c:v>
                </c:pt>
                <c:pt idx="243">
                  <c:v>3535</c:v>
                </c:pt>
                <c:pt idx="244">
                  <c:v>3535</c:v>
                </c:pt>
                <c:pt idx="245">
                  <c:v>3535</c:v>
                </c:pt>
                <c:pt idx="246">
                  <c:v>3535</c:v>
                </c:pt>
                <c:pt idx="247">
                  <c:v>3535</c:v>
                </c:pt>
                <c:pt idx="248">
                  <c:v>3535</c:v>
                </c:pt>
                <c:pt idx="249">
                  <c:v>3535</c:v>
                </c:pt>
                <c:pt idx="250">
                  <c:v>3535</c:v>
                </c:pt>
                <c:pt idx="251">
                  <c:v>3535</c:v>
                </c:pt>
                <c:pt idx="252">
                  <c:v>3535</c:v>
                </c:pt>
                <c:pt idx="253">
                  <c:v>3535</c:v>
                </c:pt>
                <c:pt idx="254">
                  <c:v>3535</c:v>
                </c:pt>
                <c:pt idx="255">
                  <c:v>3535</c:v>
                </c:pt>
                <c:pt idx="256">
                  <c:v>3435</c:v>
                </c:pt>
                <c:pt idx="257">
                  <c:v>3435</c:v>
                </c:pt>
                <c:pt idx="258">
                  <c:v>3435</c:v>
                </c:pt>
                <c:pt idx="259">
                  <c:v>3435</c:v>
                </c:pt>
                <c:pt idx="260">
                  <c:v>3435</c:v>
                </c:pt>
                <c:pt idx="261">
                  <c:v>3435</c:v>
                </c:pt>
                <c:pt idx="262">
                  <c:v>3435</c:v>
                </c:pt>
                <c:pt idx="263">
                  <c:v>3335</c:v>
                </c:pt>
                <c:pt idx="264">
                  <c:v>3335</c:v>
                </c:pt>
                <c:pt idx="265">
                  <c:v>3335</c:v>
                </c:pt>
                <c:pt idx="266">
                  <c:v>3335</c:v>
                </c:pt>
                <c:pt idx="267">
                  <c:v>3335</c:v>
                </c:pt>
                <c:pt idx="268">
                  <c:v>3335</c:v>
                </c:pt>
                <c:pt idx="269">
                  <c:v>3335</c:v>
                </c:pt>
                <c:pt idx="270">
                  <c:v>3335</c:v>
                </c:pt>
                <c:pt idx="271">
                  <c:v>3335</c:v>
                </c:pt>
                <c:pt idx="272">
                  <c:v>3335</c:v>
                </c:pt>
                <c:pt idx="273">
                  <c:v>3335</c:v>
                </c:pt>
                <c:pt idx="274">
                  <c:v>3335</c:v>
                </c:pt>
                <c:pt idx="275">
                  <c:v>3335</c:v>
                </c:pt>
                <c:pt idx="276">
                  <c:v>3335</c:v>
                </c:pt>
                <c:pt idx="277">
                  <c:v>3635</c:v>
                </c:pt>
                <c:pt idx="278">
                  <c:v>3635</c:v>
                </c:pt>
                <c:pt idx="279">
                  <c:v>3635</c:v>
                </c:pt>
                <c:pt idx="280">
                  <c:v>3635</c:v>
                </c:pt>
                <c:pt idx="281">
                  <c:v>3635</c:v>
                </c:pt>
                <c:pt idx="282">
                  <c:v>3635</c:v>
                </c:pt>
                <c:pt idx="283">
                  <c:v>3635</c:v>
                </c:pt>
                <c:pt idx="284">
                  <c:v>3735</c:v>
                </c:pt>
                <c:pt idx="285">
                  <c:v>3735</c:v>
                </c:pt>
                <c:pt idx="286">
                  <c:v>3735</c:v>
                </c:pt>
                <c:pt idx="287">
                  <c:v>3735</c:v>
                </c:pt>
                <c:pt idx="288">
                  <c:v>3735</c:v>
                </c:pt>
                <c:pt idx="289">
                  <c:v>3735</c:v>
                </c:pt>
                <c:pt idx="290">
                  <c:v>3735</c:v>
                </c:pt>
                <c:pt idx="291">
                  <c:v>3735</c:v>
                </c:pt>
                <c:pt idx="292">
                  <c:v>3735</c:v>
                </c:pt>
                <c:pt idx="293">
                  <c:v>3735</c:v>
                </c:pt>
                <c:pt idx="294">
                  <c:v>3735</c:v>
                </c:pt>
                <c:pt idx="295">
                  <c:v>3735</c:v>
                </c:pt>
                <c:pt idx="296">
                  <c:v>3735</c:v>
                </c:pt>
                <c:pt idx="297">
                  <c:v>3735</c:v>
                </c:pt>
                <c:pt idx="298">
                  <c:v>3735</c:v>
                </c:pt>
                <c:pt idx="299">
                  <c:v>3735</c:v>
                </c:pt>
                <c:pt idx="300">
                  <c:v>3735</c:v>
                </c:pt>
                <c:pt idx="301">
                  <c:v>3735</c:v>
                </c:pt>
                <c:pt idx="302">
                  <c:v>3735</c:v>
                </c:pt>
                <c:pt idx="303">
                  <c:v>3735</c:v>
                </c:pt>
                <c:pt idx="304">
                  <c:v>3735</c:v>
                </c:pt>
                <c:pt idx="305">
                  <c:v>3735</c:v>
                </c:pt>
                <c:pt idx="306">
                  <c:v>3735</c:v>
                </c:pt>
                <c:pt idx="307">
                  <c:v>3735</c:v>
                </c:pt>
                <c:pt idx="308">
                  <c:v>3735</c:v>
                </c:pt>
                <c:pt idx="309">
                  <c:v>3735</c:v>
                </c:pt>
                <c:pt idx="310">
                  <c:v>3735</c:v>
                </c:pt>
                <c:pt idx="311">
                  <c:v>3735</c:v>
                </c:pt>
                <c:pt idx="312">
                  <c:v>3635</c:v>
                </c:pt>
                <c:pt idx="313">
                  <c:v>3635</c:v>
                </c:pt>
                <c:pt idx="314">
                  <c:v>3635</c:v>
                </c:pt>
                <c:pt idx="315">
                  <c:v>3635</c:v>
                </c:pt>
                <c:pt idx="316">
                  <c:v>3635</c:v>
                </c:pt>
                <c:pt idx="317">
                  <c:v>3635</c:v>
                </c:pt>
                <c:pt idx="318">
                  <c:v>3635</c:v>
                </c:pt>
                <c:pt idx="319">
                  <c:v>3735</c:v>
                </c:pt>
                <c:pt idx="320">
                  <c:v>3735</c:v>
                </c:pt>
                <c:pt idx="321">
                  <c:v>3735</c:v>
                </c:pt>
                <c:pt idx="322">
                  <c:v>3735</c:v>
                </c:pt>
                <c:pt idx="323">
                  <c:v>3735</c:v>
                </c:pt>
                <c:pt idx="324">
                  <c:v>3735</c:v>
                </c:pt>
                <c:pt idx="325">
                  <c:v>3735</c:v>
                </c:pt>
                <c:pt idx="326">
                  <c:v>3735</c:v>
                </c:pt>
                <c:pt idx="327">
                  <c:v>3735</c:v>
                </c:pt>
                <c:pt idx="328">
                  <c:v>3735</c:v>
                </c:pt>
                <c:pt idx="329">
                  <c:v>3735</c:v>
                </c:pt>
                <c:pt idx="330">
                  <c:v>3735</c:v>
                </c:pt>
                <c:pt idx="331">
                  <c:v>3735</c:v>
                </c:pt>
                <c:pt idx="332">
                  <c:v>3735</c:v>
                </c:pt>
                <c:pt idx="333">
                  <c:v>3735</c:v>
                </c:pt>
                <c:pt idx="334">
                  <c:v>3735</c:v>
                </c:pt>
                <c:pt idx="335">
                  <c:v>3735</c:v>
                </c:pt>
                <c:pt idx="336">
                  <c:v>3735</c:v>
                </c:pt>
                <c:pt idx="337">
                  <c:v>3735</c:v>
                </c:pt>
                <c:pt idx="338">
                  <c:v>3735</c:v>
                </c:pt>
                <c:pt idx="339">
                  <c:v>3735</c:v>
                </c:pt>
                <c:pt idx="340">
                  <c:v>3834</c:v>
                </c:pt>
                <c:pt idx="341">
                  <c:v>3834</c:v>
                </c:pt>
                <c:pt idx="342">
                  <c:v>3834</c:v>
                </c:pt>
                <c:pt idx="343">
                  <c:v>3834</c:v>
                </c:pt>
                <c:pt idx="344">
                  <c:v>3834</c:v>
                </c:pt>
                <c:pt idx="345">
                  <c:v>3834</c:v>
                </c:pt>
                <c:pt idx="346">
                  <c:v>3834</c:v>
                </c:pt>
                <c:pt idx="347">
                  <c:v>3834</c:v>
                </c:pt>
                <c:pt idx="348">
                  <c:v>3834</c:v>
                </c:pt>
                <c:pt idx="349">
                  <c:v>3834</c:v>
                </c:pt>
                <c:pt idx="350">
                  <c:v>3834</c:v>
                </c:pt>
                <c:pt idx="351">
                  <c:v>3834</c:v>
                </c:pt>
                <c:pt idx="352">
                  <c:v>3834</c:v>
                </c:pt>
                <c:pt idx="353">
                  <c:v>3834</c:v>
                </c:pt>
                <c:pt idx="354">
                  <c:v>3834</c:v>
                </c:pt>
                <c:pt idx="355">
                  <c:v>3834</c:v>
                </c:pt>
                <c:pt idx="356">
                  <c:v>3834</c:v>
                </c:pt>
                <c:pt idx="357">
                  <c:v>3834</c:v>
                </c:pt>
                <c:pt idx="358">
                  <c:v>3834</c:v>
                </c:pt>
                <c:pt idx="359">
                  <c:v>3834</c:v>
                </c:pt>
                <c:pt idx="360">
                  <c:v>3834</c:v>
                </c:pt>
                <c:pt idx="361">
                  <c:v>3734</c:v>
                </c:pt>
                <c:pt idx="362">
                  <c:v>3734</c:v>
                </c:pt>
                <c:pt idx="363">
                  <c:v>3734</c:v>
                </c:pt>
                <c:pt idx="364">
                  <c:v>3734</c:v>
                </c:pt>
                <c:pt idx="365">
                  <c:v>3734</c:v>
                </c:pt>
                <c:pt idx="366">
                  <c:v>3734</c:v>
                </c:pt>
                <c:pt idx="367">
                  <c:v>3734</c:v>
                </c:pt>
                <c:pt idx="368">
                  <c:v>3854</c:v>
                </c:pt>
                <c:pt idx="369">
                  <c:v>3854</c:v>
                </c:pt>
                <c:pt idx="370">
                  <c:v>3854</c:v>
                </c:pt>
                <c:pt idx="371">
                  <c:v>3854</c:v>
                </c:pt>
                <c:pt idx="372">
                  <c:v>3854</c:v>
                </c:pt>
                <c:pt idx="373">
                  <c:v>3854</c:v>
                </c:pt>
                <c:pt idx="374">
                  <c:v>3854</c:v>
                </c:pt>
                <c:pt idx="375">
                  <c:v>3879</c:v>
                </c:pt>
                <c:pt idx="376">
                  <c:v>3879</c:v>
                </c:pt>
                <c:pt idx="377">
                  <c:v>3879</c:v>
                </c:pt>
                <c:pt idx="378">
                  <c:v>3879</c:v>
                </c:pt>
                <c:pt idx="379">
                  <c:v>3879</c:v>
                </c:pt>
                <c:pt idx="380">
                  <c:v>3879</c:v>
                </c:pt>
                <c:pt idx="381">
                  <c:v>3879</c:v>
                </c:pt>
                <c:pt idx="382">
                  <c:v>3879</c:v>
                </c:pt>
                <c:pt idx="383">
                  <c:v>3879</c:v>
                </c:pt>
                <c:pt idx="384">
                  <c:v>3879</c:v>
                </c:pt>
                <c:pt idx="385">
                  <c:v>3879</c:v>
                </c:pt>
                <c:pt idx="386">
                  <c:v>3879</c:v>
                </c:pt>
                <c:pt idx="387">
                  <c:v>3879</c:v>
                </c:pt>
                <c:pt idx="388">
                  <c:v>3879</c:v>
                </c:pt>
                <c:pt idx="389">
                  <c:v>3779</c:v>
                </c:pt>
                <c:pt idx="390">
                  <c:v>3779</c:v>
                </c:pt>
                <c:pt idx="391">
                  <c:v>3779</c:v>
                </c:pt>
                <c:pt idx="392">
                  <c:v>3779</c:v>
                </c:pt>
                <c:pt idx="393">
                  <c:v>3779</c:v>
                </c:pt>
                <c:pt idx="394">
                  <c:v>3779</c:v>
                </c:pt>
                <c:pt idx="395">
                  <c:v>3779</c:v>
                </c:pt>
                <c:pt idx="396">
                  <c:v>3319</c:v>
                </c:pt>
                <c:pt idx="397">
                  <c:v>3319</c:v>
                </c:pt>
                <c:pt idx="398">
                  <c:v>3319</c:v>
                </c:pt>
                <c:pt idx="399">
                  <c:v>3319</c:v>
                </c:pt>
                <c:pt idx="400">
                  <c:v>3319</c:v>
                </c:pt>
                <c:pt idx="401">
                  <c:v>3319</c:v>
                </c:pt>
                <c:pt idx="402">
                  <c:v>3319</c:v>
                </c:pt>
                <c:pt idx="403">
                  <c:v>3499</c:v>
                </c:pt>
                <c:pt idx="404">
                  <c:v>3499</c:v>
                </c:pt>
                <c:pt idx="405">
                  <c:v>3499</c:v>
                </c:pt>
                <c:pt idx="406">
                  <c:v>3499</c:v>
                </c:pt>
                <c:pt idx="407">
                  <c:v>3499</c:v>
                </c:pt>
                <c:pt idx="408">
                  <c:v>3499</c:v>
                </c:pt>
                <c:pt idx="409">
                  <c:v>3499</c:v>
                </c:pt>
                <c:pt idx="410">
                  <c:v>3666</c:v>
                </c:pt>
                <c:pt idx="411">
                  <c:v>3666</c:v>
                </c:pt>
                <c:pt idx="412">
                  <c:v>3666</c:v>
                </c:pt>
                <c:pt idx="413">
                  <c:v>3666</c:v>
                </c:pt>
                <c:pt idx="414">
                  <c:v>3666</c:v>
                </c:pt>
                <c:pt idx="415">
                  <c:v>3666</c:v>
                </c:pt>
                <c:pt idx="416">
                  <c:v>3666</c:v>
                </c:pt>
                <c:pt idx="417">
                  <c:v>3666</c:v>
                </c:pt>
                <c:pt idx="418">
                  <c:v>3666</c:v>
                </c:pt>
                <c:pt idx="419">
                  <c:v>3666</c:v>
                </c:pt>
                <c:pt idx="420">
                  <c:v>3666</c:v>
                </c:pt>
                <c:pt idx="421">
                  <c:v>3666</c:v>
                </c:pt>
                <c:pt idx="422">
                  <c:v>3666</c:v>
                </c:pt>
                <c:pt idx="423">
                  <c:v>3666</c:v>
                </c:pt>
                <c:pt idx="424">
                  <c:v>3886</c:v>
                </c:pt>
                <c:pt idx="425">
                  <c:v>3886</c:v>
                </c:pt>
                <c:pt idx="426">
                  <c:v>3886</c:v>
                </c:pt>
                <c:pt idx="427">
                  <c:v>3886</c:v>
                </c:pt>
                <c:pt idx="428">
                  <c:v>3886</c:v>
                </c:pt>
                <c:pt idx="429">
                  <c:v>3886</c:v>
                </c:pt>
                <c:pt idx="430">
                  <c:v>3886</c:v>
                </c:pt>
                <c:pt idx="431">
                  <c:v>3886</c:v>
                </c:pt>
                <c:pt idx="432">
                  <c:v>3886</c:v>
                </c:pt>
                <c:pt idx="433">
                  <c:v>3886</c:v>
                </c:pt>
                <c:pt idx="434">
                  <c:v>3886</c:v>
                </c:pt>
                <c:pt idx="435">
                  <c:v>3886</c:v>
                </c:pt>
                <c:pt idx="436">
                  <c:v>3886</c:v>
                </c:pt>
                <c:pt idx="437">
                  <c:v>3886</c:v>
                </c:pt>
                <c:pt idx="438">
                  <c:v>3886</c:v>
                </c:pt>
                <c:pt idx="439">
                  <c:v>3886</c:v>
                </c:pt>
                <c:pt idx="440">
                  <c:v>3886</c:v>
                </c:pt>
                <c:pt idx="441">
                  <c:v>3886</c:v>
                </c:pt>
                <c:pt idx="442">
                  <c:v>3886</c:v>
                </c:pt>
                <c:pt idx="443">
                  <c:v>3886</c:v>
                </c:pt>
                <c:pt idx="444">
                  <c:v>3886</c:v>
                </c:pt>
                <c:pt idx="445">
                  <c:v>3886</c:v>
                </c:pt>
                <c:pt idx="446">
                  <c:v>3886</c:v>
                </c:pt>
                <c:pt idx="447">
                  <c:v>3886</c:v>
                </c:pt>
                <c:pt idx="448">
                  <c:v>3886</c:v>
                </c:pt>
                <c:pt idx="449">
                  <c:v>3886</c:v>
                </c:pt>
                <c:pt idx="450">
                  <c:v>3886</c:v>
                </c:pt>
                <c:pt idx="451">
                  <c:v>3886</c:v>
                </c:pt>
                <c:pt idx="452">
                  <c:v>3646</c:v>
                </c:pt>
                <c:pt idx="453">
                  <c:v>3646</c:v>
                </c:pt>
                <c:pt idx="454">
                  <c:v>3646</c:v>
                </c:pt>
                <c:pt idx="455">
                  <c:v>3646</c:v>
                </c:pt>
                <c:pt idx="456">
                  <c:v>3646</c:v>
                </c:pt>
                <c:pt idx="457">
                  <c:v>3646</c:v>
                </c:pt>
                <c:pt idx="458">
                  <c:v>3646</c:v>
                </c:pt>
                <c:pt idx="459">
                  <c:v>3946</c:v>
                </c:pt>
                <c:pt idx="460">
                  <c:v>3946</c:v>
                </c:pt>
                <c:pt idx="461">
                  <c:v>3946</c:v>
                </c:pt>
                <c:pt idx="462">
                  <c:v>3946</c:v>
                </c:pt>
                <c:pt idx="463">
                  <c:v>3946</c:v>
                </c:pt>
                <c:pt idx="464">
                  <c:v>3946</c:v>
                </c:pt>
                <c:pt idx="465">
                  <c:v>3946</c:v>
                </c:pt>
                <c:pt idx="466">
                  <c:v>3886</c:v>
                </c:pt>
                <c:pt idx="467">
                  <c:v>3886</c:v>
                </c:pt>
                <c:pt idx="468">
                  <c:v>3886</c:v>
                </c:pt>
                <c:pt idx="469">
                  <c:v>3886</c:v>
                </c:pt>
                <c:pt idx="470">
                  <c:v>3886</c:v>
                </c:pt>
                <c:pt idx="471">
                  <c:v>3886</c:v>
                </c:pt>
                <c:pt idx="472">
                  <c:v>3886</c:v>
                </c:pt>
                <c:pt idx="473">
                  <c:v>4186</c:v>
                </c:pt>
                <c:pt idx="474">
                  <c:v>4186</c:v>
                </c:pt>
                <c:pt idx="475">
                  <c:v>4186</c:v>
                </c:pt>
                <c:pt idx="476">
                  <c:v>4186</c:v>
                </c:pt>
                <c:pt idx="477">
                  <c:v>4186</c:v>
                </c:pt>
                <c:pt idx="478">
                  <c:v>4186</c:v>
                </c:pt>
                <c:pt idx="479">
                  <c:v>4186</c:v>
                </c:pt>
                <c:pt idx="480">
                  <c:v>4276</c:v>
                </c:pt>
                <c:pt idx="481">
                  <c:v>4276</c:v>
                </c:pt>
                <c:pt idx="482">
                  <c:v>4276</c:v>
                </c:pt>
                <c:pt idx="483">
                  <c:v>4276</c:v>
                </c:pt>
                <c:pt idx="484">
                  <c:v>4276</c:v>
                </c:pt>
                <c:pt idx="485">
                  <c:v>4276</c:v>
                </c:pt>
                <c:pt idx="486">
                  <c:v>4276</c:v>
                </c:pt>
                <c:pt idx="487">
                  <c:v>4176</c:v>
                </c:pt>
                <c:pt idx="488">
                  <c:v>4176</c:v>
                </c:pt>
                <c:pt idx="489">
                  <c:v>4176</c:v>
                </c:pt>
                <c:pt idx="490">
                  <c:v>4176</c:v>
                </c:pt>
                <c:pt idx="491">
                  <c:v>4176</c:v>
                </c:pt>
                <c:pt idx="492">
                  <c:v>4176</c:v>
                </c:pt>
                <c:pt idx="493">
                  <c:v>4176</c:v>
                </c:pt>
                <c:pt idx="494">
                  <c:v>4396</c:v>
                </c:pt>
                <c:pt idx="495">
                  <c:v>4396</c:v>
                </c:pt>
                <c:pt idx="496">
                  <c:v>4396</c:v>
                </c:pt>
                <c:pt idx="497">
                  <c:v>4396</c:v>
                </c:pt>
                <c:pt idx="498">
                  <c:v>4396</c:v>
                </c:pt>
                <c:pt idx="499">
                  <c:v>4396</c:v>
                </c:pt>
                <c:pt idx="500">
                  <c:v>4396</c:v>
                </c:pt>
                <c:pt idx="501">
                  <c:v>4436</c:v>
                </c:pt>
                <c:pt idx="502">
                  <c:v>4436</c:v>
                </c:pt>
                <c:pt idx="503">
                  <c:v>4436</c:v>
                </c:pt>
                <c:pt idx="504">
                  <c:v>4436</c:v>
                </c:pt>
                <c:pt idx="505">
                  <c:v>4436</c:v>
                </c:pt>
                <c:pt idx="506">
                  <c:v>4436</c:v>
                </c:pt>
                <c:pt idx="507">
                  <c:v>4436</c:v>
                </c:pt>
                <c:pt idx="508">
                  <c:v>4478</c:v>
                </c:pt>
                <c:pt idx="509">
                  <c:v>4478</c:v>
                </c:pt>
                <c:pt idx="510">
                  <c:v>4478</c:v>
                </c:pt>
                <c:pt idx="511">
                  <c:v>4478</c:v>
                </c:pt>
                <c:pt idx="512">
                  <c:v>4478</c:v>
                </c:pt>
                <c:pt idx="513">
                  <c:v>4478</c:v>
                </c:pt>
                <c:pt idx="514">
                  <c:v>4478</c:v>
                </c:pt>
                <c:pt idx="515">
                  <c:v>4478</c:v>
                </c:pt>
                <c:pt idx="516">
                  <c:v>4478</c:v>
                </c:pt>
                <c:pt idx="517">
                  <c:v>4478</c:v>
                </c:pt>
                <c:pt idx="518">
                  <c:v>4478</c:v>
                </c:pt>
                <c:pt idx="519">
                  <c:v>4478</c:v>
                </c:pt>
                <c:pt idx="520">
                  <c:v>4478</c:v>
                </c:pt>
                <c:pt idx="521">
                  <c:v>4478</c:v>
                </c:pt>
                <c:pt idx="522">
                  <c:v>3978</c:v>
                </c:pt>
                <c:pt idx="523">
                  <c:v>3978</c:v>
                </c:pt>
                <c:pt idx="524">
                  <c:v>3978</c:v>
                </c:pt>
                <c:pt idx="525">
                  <c:v>3978</c:v>
                </c:pt>
                <c:pt idx="526">
                  <c:v>3978</c:v>
                </c:pt>
                <c:pt idx="527">
                  <c:v>3978</c:v>
                </c:pt>
                <c:pt idx="528">
                  <c:v>3978</c:v>
                </c:pt>
                <c:pt idx="529">
                  <c:v>4678</c:v>
                </c:pt>
                <c:pt idx="530">
                  <c:v>4678</c:v>
                </c:pt>
                <c:pt idx="531">
                  <c:v>4678</c:v>
                </c:pt>
                <c:pt idx="532">
                  <c:v>4678</c:v>
                </c:pt>
                <c:pt idx="533">
                  <c:v>4678</c:v>
                </c:pt>
                <c:pt idx="534">
                  <c:v>4678</c:v>
                </c:pt>
                <c:pt idx="535">
                  <c:v>4678</c:v>
                </c:pt>
                <c:pt idx="536">
                  <c:v>4946</c:v>
                </c:pt>
                <c:pt idx="537">
                  <c:v>4946</c:v>
                </c:pt>
                <c:pt idx="538">
                  <c:v>4946</c:v>
                </c:pt>
                <c:pt idx="539">
                  <c:v>4946</c:v>
                </c:pt>
                <c:pt idx="540">
                  <c:v>4946</c:v>
                </c:pt>
                <c:pt idx="541">
                  <c:v>4946</c:v>
                </c:pt>
                <c:pt idx="542">
                  <c:v>4946</c:v>
                </c:pt>
                <c:pt idx="543">
                  <c:v>4846</c:v>
                </c:pt>
                <c:pt idx="544">
                  <c:v>4846</c:v>
                </c:pt>
                <c:pt idx="545">
                  <c:v>4846</c:v>
                </c:pt>
                <c:pt idx="546">
                  <c:v>4846</c:v>
                </c:pt>
                <c:pt idx="547">
                  <c:v>4846</c:v>
                </c:pt>
                <c:pt idx="548">
                  <c:v>4846</c:v>
                </c:pt>
                <c:pt idx="549">
                  <c:v>4846</c:v>
                </c:pt>
                <c:pt idx="550">
                  <c:v>4766</c:v>
                </c:pt>
                <c:pt idx="551">
                  <c:v>4766</c:v>
                </c:pt>
                <c:pt idx="552">
                  <c:v>4766</c:v>
                </c:pt>
                <c:pt idx="553">
                  <c:v>4766</c:v>
                </c:pt>
                <c:pt idx="554">
                  <c:v>4766</c:v>
                </c:pt>
                <c:pt idx="555">
                  <c:v>4766</c:v>
                </c:pt>
                <c:pt idx="556">
                  <c:v>4766</c:v>
                </c:pt>
                <c:pt idx="557">
                  <c:v>4441</c:v>
                </c:pt>
                <c:pt idx="558">
                  <c:v>4441</c:v>
                </c:pt>
                <c:pt idx="559">
                  <c:v>4441</c:v>
                </c:pt>
                <c:pt idx="560">
                  <c:v>4441</c:v>
                </c:pt>
                <c:pt idx="561">
                  <c:v>4441</c:v>
                </c:pt>
                <c:pt idx="562">
                  <c:v>4441</c:v>
                </c:pt>
                <c:pt idx="563">
                  <c:v>4441</c:v>
                </c:pt>
                <c:pt idx="564">
                  <c:v>4401</c:v>
                </c:pt>
                <c:pt idx="565">
                  <c:v>4401</c:v>
                </c:pt>
                <c:pt idx="566">
                  <c:v>4401</c:v>
                </c:pt>
                <c:pt idx="567">
                  <c:v>4401</c:v>
                </c:pt>
                <c:pt idx="568">
                  <c:v>4401</c:v>
                </c:pt>
                <c:pt idx="569">
                  <c:v>4401</c:v>
                </c:pt>
                <c:pt idx="570">
                  <c:v>4401</c:v>
                </c:pt>
                <c:pt idx="571">
                  <c:v>4461</c:v>
                </c:pt>
                <c:pt idx="572">
                  <c:v>4461</c:v>
                </c:pt>
                <c:pt idx="573">
                  <c:v>4461</c:v>
                </c:pt>
                <c:pt idx="574">
                  <c:v>4461</c:v>
                </c:pt>
                <c:pt idx="575">
                  <c:v>4461</c:v>
                </c:pt>
                <c:pt idx="576">
                  <c:v>4461</c:v>
                </c:pt>
                <c:pt idx="577">
                  <c:v>4461</c:v>
                </c:pt>
                <c:pt idx="578">
                  <c:v>4556</c:v>
                </c:pt>
                <c:pt idx="579">
                  <c:v>4556</c:v>
                </c:pt>
                <c:pt idx="580">
                  <c:v>4556</c:v>
                </c:pt>
                <c:pt idx="581">
                  <c:v>4556</c:v>
                </c:pt>
                <c:pt idx="582">
                  <c:v>4556</c:v>
                </c:pt>
                <c:pt idx="583">
                  <c:v>4556</c:v>
                </c:pt>
                <c:pt idx="584">
                  <c:v>4556</c:v>
                </c:pt>
                <c:pt idx="585">
                  <c:v>4176</c:v>
                </c:pt>
                <c:pt idx="586">
                  <c:v>4176</c:v>
                </c:pt>
                <c:pt idx="587">
                  <c:v>4176</c:v>
                </c:pt>
                <c:pt idx="588">
                  <c:v>4176</c:v>
                </c:pt>
                <c:pt idx="589">
                  <c:v>4176</c:v>
                </c:pt>
                <c:pt idx="590">
                  <c:v>4176</c:v>
                </c:pt>
                <c:pt idx="591">
                  <c:v>4176</c:v>
                </c:pt>
                <c:pt idx="592">
                  <c:v>4029</c:v>
                </c:pt>
                <c:pt idx="593">
                  <c:v>4029</c:v>
                </c:pt>
                <c:pt idx="594">
                  <c:v>4029</c:v>
                </c:pt>
                <c:pt idx="595">
                  <c:v>4029</c:v>
                </c:pt>
                <c:pt idx="596">
                  <c:v>4029</c:v>
                </c:pt>
                <c:pt idx="597">
                  <c:v>4029</c:v>
                </c:pt>
                <c:pt idx="598">
                  <c:v>4029</c:v>
                </c:pt>
                <c:pt idx="599">
                  <c:v>4669</c:v>
                </c:pt>
                <c:pt idx="600">
                  <c:v>4669</c:v>
                </c:pt>
                <c:pt idx="601">
                  <c:v>4669</c:v>
                </c:pt>
                <c:pt idx="602">
                  <c:v>4669</c:v>
                </c:pt>
                <c:pt idx="603">
                  <c:v>4669</c:v>
                </c:pt>
                <c:pt idx="604">
                  <c:v>4669</c:v>
                </c:pt>
                <c:pt idx="605">
                  <c:v>4669</c:v>
                </c:pt>
                <c:pt idx="606">
                  <c:v>5249</c:v>
                </c:pt>
                <c:pt idx="607">
                  <c:v>5249</c:v>
                </c:pt>
                <c:pt idx="608">
                  <c:v>5249</c:v>
                </c:pt>
                <c:pt idx="609">
                  <c:v>5249</c:v>
                </c:pt>
                <c:pt idx="610">
                  <c:v>5249</c:v>
                </c:pt>
                <c:pt idx="611">
                  <c:v>5249</c:v>
                </c:pt>
                <c:pt idx="612">
                  <c:v>5249</c:v>
                </c:pt>
                <c:pt idx="613">
                  <c:v>4999</c:v>
                </c:pt>
                <c:pt idx="614">
                  <c:v>4999</c:v>
                </c:pt>
                <c:pt idx="615">
                  <c:v>4999</c:v>
                </c:pt>
                <c:pt idx="616">
                  <c:v>4999</c:v>
                </c:pt>
                <c:pt idx="617">
                  <c:v>4999</c:v>
                </c:pt>
                <c:pt idx="618">
                  <c:v>4999</c:v>
                </c:pt>
                <c:pt idx="619">
                  <c:v>4999</c:v>
                </c:pt>
                <c:pt idx="620">
                  <c:v>5099</c:v>
                </c:pt>
                <c:pt idx="621">
                  <c:v>5099</c:v>
                </c:pt>
                <c:pt idx="622">
                  <c:v>5099</c:v>
                </c:pt>
                <c:pt idx="623">
                  <c:v>5099</c:v>
                </c:pt>
                <c:pt idx="624">
                  <c:v>5099</c:v>
                </c:pt>
                <c:pt idx="625">
                  <c:v>5099</c:v>
                </c:pt>
                <c:pt idx="626">
                  <c:v>5099</c:v>
                </c:pt>
                <c:pt idx="627">
                  <c:v>5299</c:v>
                </c:pt>
                <c:pt idx="628">
                  <c:v>5299</c:v>
                </c:pt>
                <c:pt idx="629">
                  <c:v>5299</c:v>
                </c:pt>
                <c:pt idx="630">
                  <c:v>5299</c:v>
                </c:pt>
                <c:pt idx="631">
                  <c:v>5299</c:v>
                </c:pt>
                <c:pt idx="632">
                  <c:v>5299</c:v>
                </c:pt>
                <c:pt idx="633">
                  <c:v>5299</c:v>
                </c:pt>
                <c:pt idx="634">
                  <c:v>5514</c:v>
                </c:pt>
                <c:pt idx="635">
                  <c:v>5514</c:v>
                </c:pt>
                <c:pt idx="636">
                  <c:v>5514</c:v>
                </c:pt>
                <c:pt idx="637">
                  <c:v>5514</c:v>
                </c:pt>
                <c:pt idx="638">
                  <c:v>5514</c:v>
                </c:pt>
                <c:pt idx="639">
                  <c:v>5514</c:v>
                </c:pt>
                <c:pt idx="640">
                  <c:v>5514</c:v>
                </c:pt>
                <c:pt idx="641">
                  <c:v>5514</c:v>
                </c:pt>
                <c:pt idx="642">
                  <c:v>5514</c:v>
                </c:pt>
                <c:pt idx="643">
                  <c:v>5514</c:v>
                </c:pt>
                <c:pt idx="644">
                  <c:v>5514</c:v>
                </c:pt>
                <c:pt idx="645">
                  <c:v>5514</c:v>
                </c:pt>
                <c:pt idx="646">
                  <c:v>5514</c:v>
                </c:pt>
                <c:pt idx="647">
                  <c:v>5514</c:v>
                </c:pt>
                <c:pt idx="648">
                  <c:v>5714</c:v>
                </c:pt>
                <c:pt idx="649">
                  <c:v>5714</c:v>
                </c:pt>
                <c:pt idx="650">
                  <c:v>5714</c:v>
                </c:pt>
                <c:pt idx="651">
                  <c:v>5714</c:v>
                </c:pt>
                <c:pt idx="652">
                  <c:v>5714</c:v>
                </c:pt>
                <c:pt idx="653">
                  <c:v>5714</c:v>
                </c:pt>
                <c:pt idx="654">
                  <c:v>5714</c:v>
                </c:pt>
                <c:pt idx="655">
                  <c:v>5684</c:v>
                </c:pt>
                <c:pt idx="656">
                  <c:v>5684</c:v>
                </c:pt>
                <c:pt idx="657">
                  <c:v>5684</c:v>
                </c:pt>
                <c:pt idx="658">
                  <c:v>5684</c:v>
                </c:pt>
                <c:pt idx="659">
                  <c:v>5684</c:v>
                </c:pt>
                <c:pt idx="660">
                  <c:v>5684</c:v>
                </c:pt>
                <c:pt idx="661">
                  <c:v>5684</c:v>
                </c:pt>
                <c:pt idx="662">
                  <c:v>5689</c:v>
                </c:pt>
                <c:pt idx="663">
                  <c:v>5689</c:v>
                </c:pt>
                <c:pt idx="664">
                  <c:v>5689</c:v>
                </c:pt>
                <c:pt idx="665">
                  <c:v>5689</c:v>
                </c:pt>
                <c:pt idx="666">
                  <c:v>5689</c:v>
                </c:pt>
                <c:pt idx="667">
                  <c:v>5689</c:v>
                </c:pt>
                <c:pt idx="668">
                  <c:v>5689</c:v>
                </c:pt>
                <c:pt idx="669">
                  <c:v>5989</c:v>
                </c:pt>
                <c:pt idx="670">
                  <c:v>5989</c:v>
                </c:pt>
                <c:pt idx="671">
                  <c:v>5989</c:v>
                </c:pt>
                <c:pt idx="672">
                  <c:v>5989</c:v>
                </c:pt>
                <c:pt idx="673">
                  <c:v>5989</c:v>
                </c:pt>
                <c:pt idx="674">
                  <c:v>5989</c:v>
                </c:pt>
                <c:pt idx="675">
                  <c:v>5989</c:v>
                </c:pt>
                <c:pt idx="676">
                  <c:v>5989</c:v>
                </c:pt>
                <c:pt idx="677">
                  <c:v>5989</c:v>
                </c:pt>
                <c:pt idx="678">
                  <c:v>5989</c:v>
                </c:pt>
                <c:pt idx="679">
                  <c:v>5989</c:v>
                </c:pt>
                <c:pt idx="680">
                  <c:v>5989</c:v>
                </c:pt>
                <c:pt idx="681">
                  <c:v>5989</c:v>
                </c:pt>
                <c:pt idx="682">
                  <c:v>5989</c:v>
                </c:pt>
                <c:pt idx="683">
                  <c:v>5989</c:v>
                </c:pt>
                <c:pt idx="684">
                  <c:v>6109</c:v>
                </c:pt>
                <c:pt idx="685">
                  <c:v>6109</c:v>
                </c:pt>
                <c:pt idx="686">
                  <c:v>6109</c:v>
                </c:pt>
                <c:pt idx="687">
                  <c:v>6109</c:v>
                </c:pt>
                <c:pt idx="688">
                  <c:v>6109</c:v>
                </c:pt>
                <c:pt idx="689">
                  <c:v>6109</c:v>
                </c:pt>
                <c:pt idx="690">
                  <c:v>6109</c:v>
                </c:pt>
                <c:pt idx="691">
                  <c:v>6004</c:v>
                </c:pt>
                <c:pt idx="692">
                  <c:v>6004</c:v>
                </c:pt>
                <c:pt idx="693">
                  <c:v>6004</c:v>
                </c:pt>
                <c:pt idx="694">
                  <c:v>6004</c:v>
                </c:pt>
                <c:pt idx="695">
                  <c:v>6004</c:v>
                </c:pt>
                <c:pt idx="696">
                  <c:v>6004</c:v>
                </c:pt>
                <c:pt idx="697">
                  <c:v>6004</c:v>
                </c:pt>
                <c:pt idx="698">
                  <c:v>6024</c:v>
                </c:pt>
                <c:pt idx="699">
                  <c:v>6024</c:v>
                </c:pt>
                <c:pt idx="700">
                  <c:v>6024</c:v>
                </c:pt>
                <c:pt idx="701">
                  <c:v>6024</c:v>
                </c:pt>
                <c:pt idx="702">
                  <c:v>6024</c:v>
                </c:pt>
                <c:pt idx="703">
                  <c:v>6024</c:v>
                </c:pt>
                <c:pt idx="704">
                  <c:v>6024</c:v>
                </c:pt>
                <c:pt idx="705">
                  <c:v>6334</c:v>
                </c:pt>
                <c:pt idx="706">
                  <c:v>6334</c:v>
                </c:pt>
                <c:pt idx="707">
                  <c:v>6334</c:v>
                </c:pt>
                <c:pt idx="708">
                  <c:v>6334</c:v>
                </c:pt>
                <c:pt idx="709">
                  <c:v>6334</c:v>
                </c:pt>
                <c:pt idx="710">
                  <c:v>6334</c:v>
                </c:pt>
                <c:pt idx="711">
                  <c:v>6334</c:v>
                </c:pt>
                <c:pt idx="712">
                  <c:v>6534</c:v>
                </c:pt>
                <c:pt idx="713">
                  <c:v>6534</c:v>
                </c:pt>
                <c:pt idx="714">
                  <c:v>6534</c:v>
                </c:pt>
                <c:pt idx="715">
                  <c:v>6534</c:v>
                </c:pt>
                <c:pt idx="716">
                  <c:v>6534</c:v>
                </c:pt>
                <c:pt idx="717">
                  <c:v>6534</c:v>
                </c:pt>
                <c:pt idx="718">
                  <c:v>6534</c:v>
                </c:pt>
                <c:pt idx="719">
                  <c:v>6739</c:v>
                </c:pt>
                <c:pt idx="720">
                  <c:v>6739</c:v>
                </c:pt>
                <c:pt idx="721">
                  <c:v>6739</c:v>
                </c:pt>
                <c:pt idx="722">
                  <c:v>6739</c:v>
                </c:pt>
                <c:pt idx="723">
                  <c:v>6739</c:v>
                </c:pt>
                <c:pt idx="724">
                  <c:v>6739</c:v>
                </c:pt>
                <c:pt idx="725">
                  <c:v>6739</c:v>
                </c:pt>
                <c:pt idx="726">
                  <c:v>6829</c:v>
                </c:pt>
                <c:pt idx="727">
                  <c:v>6829</c:v>
                </c:pt>
                <c:pt idx="728">
                  <c:v>6829</c:v>
                </c:pt>
                <c:pt idx="729">
                  <c:v>6829</c:v>
                </c:pt>
                <c:pt idx="730">
                  <c:v>6829</c:v>
                </c:pt>
                <c:pt idx="731">
                  <c:v>6829</c:v>
                </c:pt>
                <c:pt idx="732">
                  <c:v>6829</c:v>
                </c:pt>
                <c:pt idx="733">
                  <c:v>7239</c:v>
                </c:pt>
                <c:pt idx="734">
                  <c:v>7239</c:v>
                </c:pt>
                <c:pt idx="735">
                  <c:v>7239</c:v>
                </c:pt>
                <c:pt idx="736">
                  <c:v>7239</c:v>
                </c:pt>
                <c:pt idx="737">
                  <c:v>7239</c:v>
                </c:pt>
                <c:pt idx="738">
                  <c:v>7239</c:v>
                </c:pt>
                <c:pt idx="739">
                  <c:v>7239</c:v>
                </c:pt>
                <c:pt idx="740">
                  <c:v>7439</c:v>
                </c:pt>
                <c:pt idx="741">
                  <c:v>7439</c:v>
                </c:pt>
                <c:pt idx="742">
                  <c:v>7439</c:v>
                </c:pt>
                <c:pt idx="743">
                  <c:v>7439</c:v>
                </c:pt>
                <c:pt idx="744">
                  <c:v>7439</c:v>
                </c:pt>
                <c:pt idx="745">
                  <c:v>7439</c:v>
                </c:pt>
                <c:pt idx="746">
                  <c:v>7439</c:v>
                </c:pt>
                <c:pt idx="747">
                  <c:v>7674</c:v>
                </c:pt>
                <c:pt idx="748">
                  <c:v>7674</c:v>
                </c:pt>
                <c:pt idx="749">
                  <c:v>7674</c:v>
                </c:pt>
                <c:pt idx="750">
                  <c:v>7674</c:v>
                </c:pt>
                <c:pt idx="751">
                  <c:v>7674</c:v>
                </c:pt>
                <c:pt idx="752">
                  <c:v>7674</c:v>
                </c:pt>
                <c:pt idx="753">
                  <c:v>7674</c:v>
                </c:pt>
                <c:pt idx="754">
                  <c:v>7774</c:v>
                </c:pt>
                <c:pt idx="755">
                  <c:v>7774</c:v>
                </c:pt>
                <c:pt idx="756">
                  <c:v>7774</c:v>
                </c:pt>
                <c:pt idx="757">
                  <c:v>7774</c:v>
                </c:pt>
                <c:pt idx="758">
                  <c:v>7774</c:v>
                </c:pt>
                <c:pt idx="759">
                  <c:v>7774</c:v>
                </c:pt>
                <c:pt idx="760">
                  <c:v>7774</c:v>
                </c:pt>
                <c:pt idx="761">
                  <c:v>8014</c:v>
                </c:pt>
                <c:pt idx="762">
                  <c:v>8014</c:v>
                </c:pt>
                <c:pt idx="763">
                  <c:v>8014</c:v>
                </c:pt>
                <c:pt idx="764">
                  <c:v>8014</c:v>
                </c:pt>
                <c:pt idx="765">
                  <c:v>8014</c:v>
                </c:pt>
                <c:pt idx="766">
                  <c:v>8014</c:v>
                </c:pt>
                <c:pt idx="767">
                  <c:v>8014</c:v>
                </c:pt>
                <c:pt idx="768">
                  <c:v>7914</c:v>
                </c:pt>
                <c:pt idx="769">
                  <c:v>7914</c:v>
                </c:pt>
                <c:pt idx="770">
                  <c:v>7914</c:v>
                </c:pt>
                <c:pt idx="771">
                  <c:v>7914</c:v>
                </c:pt>
                <c:pt idx="772">
                  <c:v>7914</c:v>
                </c:pt>
                <c:pt idx="773">
                  <c:v>7914</c:v>
                </c:pt>
                <c:pt idx="774">
                  <c:v>7914</c:v>
                </c:pt>
                <c:pt idx="775">
                  <c:v>7729</c:v>
                </c:pt>
                <c:pt idx="776">
                  <c:v>7729</c:v>
                </c:pt>
                <c:pt idx="777">
                  <c:v>7729</c:v>
                </c:pt>
                <c:pt idx="778">
                  <c:v>7729</c:v>
                </c:pt>
                <c:pt idx="779">
                  <c:v>7729</c:v>
                </c:pt>
                <c:pt idx="780">
                  <c:v>7729</c:v>
                </c:pt>
                <c:pt idx="781">
                  <c:v>7729</c:v>
                </c:pt>
                <c:pt idx="782">
                  <c:v>8029</c:v>
                </c:pt>
                <c:pt idx="783">
                  <c:v>8029</c:v>
                </c:pt>
                <c:pt idx="784">
                  <c:v>8029</c:v>
                </c:pt>
                <c:pt idx="785">
                  <c:v>8029</c:v>
                </c:pt>
                <c:pt idx="786">
                  <c:v>8029</c:v>
                </c:pt>
                <c:pt idx="787">
                  <c:v>8029</c:v>
                </c:pt>
                <c:pt idx="788">
                  <c:v>8029</c:v>
                </c:pt>
                <c:pt idx="789">
                  <c:v>8479</c:v>
                </c:pt>
                <c:pt idx="790">
                  <c:v>8479</c:v>
                </c:pt>
                <c:pt idx="791">
                  <c:v>8479</c:v>
                </c:pt>
                <c:pt idx="792">
                  <c:v>8479</c:v>
                </c:pt>
                <c:pt idx="793">
                  <c:v>8479</c:v>
                </c:pt>
                <c:pt idx="794">
                  <c:v>8479</c:v>
                </c:pt>
                <c:pt idx="795">
                  <c:v>8479</c:v>
                </c:pt>
                <c:pt idx="796">
                  <c:v>8659</c:v>
                </c:pt>
                <c:pt idx="797">
                  <c:v>8659</c:v>
                </c:pt>
                <c:pt idx="798">
                  <c:v>8659</c:v>
                </c:pt>
                <c:pt idx="799">
                  <c:v>8659</c:v>
                </c:pt>
                <c:pt idx="800">
                  <c:v>8659</c:v>
                </c:pt>
                <c:pt idx="801">
                  <c:v>8659</c:v>
                </c:pt>
                <c:pt idx="802">
                  <c:v>8659</c:v>
                </c:pt>
                <c:pt idx="803">
                  <c:v>8909</c:v>
                </c:pt>
                <c:pt idx="804">
                  <c:v>8909</c:v>
                </c:pt>
                <c:pt idx="805">
                  <c:v>8909</c:v>
                </c:pt>
                <c:pt idx="806">
                  <c:v>8909</c:v>
                </c:pt>
                <c:pt idx="807">
                  <c:v>8909</c:v>
                </c:pt>
                <c:pt idx="808">
                  <c:v>8909</c:v>
                </c:pt>
                <c:pt idx="809">
                  <c:v>8909</c:v>
                </c:pt>
                <c:pt idx="810">
                  <c:v>8909</c:v>
                </c:pt>
                <c:pt idx="811">
                  <c:v>8909</c:v>
                </c:pt>
                <c:pt idx="812">
                  <c:v>8909</c:v>
                </c:pt>
                <c:pt idx="813">
                  <c:v>8909</c:v>
                </c:pt>
                <c:pt idx="814">
                  <c:v>8909</c:v>
                </c:pt>
                <c:pt idx="815">
                  <c:v>8909</c:v>
                </c:pt>
                <c:pt idx="816">
                  <c:v>8909</c:v>
                </c:pt>
                <c:pt idx="817">
                  <c:v>9479</c:v>
                </c:pt>
                <c:pt idx="818">
                  <c:v>9479</c:v>
                </c:pt>
                <c:pt idx="819">
                  <c:v>9479</c:v>
                </c:pt>
                <c:pt idx="820">
                  <c:v>9479</c:v>
                </c:pt>
                <c:pt idx="821">
                  <c:v>9479</c:v>
                </c:pt>
                <c:pt idx="822">
                  <c:v>9479</c:v>
                </c:pt>
                <c:pt idx="823">
                  <c:v>9479</c:v>
                </c:pt>
                <c:pt idx="824">
                  <c:v>9529.4</c:v>
                </c:pt>
                <c:pt idx="825">
                  <c:v>9529.4</c:v>
                </c:pt>
                <c:pt idx="826">
                  <c:v>9529.4</c:v>
                </c:pt>
                <c:pt idx="827">
                  <c:v>9529.4</c:v>
                </c:pt>
                <c:pt idx="828">
                  <c:v>9529.4</c:v>
                </c:pt>
                <c:pt idx="829">
                  <c:v>9529.4</c:v>
                </c:pt>
                <c:pt idx="830">
                  <c:v>9529.4</c:v>
                </c:pt>
                <c:pt idx="831">
                  <c:v>9549.4</c:v>
                </c:pt>
                <c:pt idx="832">
                  <c:v>9549.4</c:v>
                </c:pt>
                <c:pt idx="833">
                  <c:v>9549.4</c:v>
                </c:pt>
                <c:pt idx="834">
                  <c:v>9549.4</c:v>
                </c:pt>
                <c:pt idx="835">
                  <c:v>9549.4</c:v>
                </c:pt>
                <c:pt idx="836">
                  <c:v>9549.4</c:v>
                </c:pt>
                <c:pt idx="837">
                  <c:v>9549.4</c:v>
                </c:pt>
                <c:pt idx="838">
                  <c:v>9449.4</c:v>
                </c:pt>
                <c:pt idx="839">
                  <c:v>9449.4</c:v>
                </c:pt>
                <c:pt idx="840">
                  <c:v>9449.4</c:v>
                </c:pt>
                <c:pt idx="841">
                  <c:v>9449.4</c:v>
                </c:pt>
                <c:pt idx="842">
                  <c:v>9449.4</c:v>
                </c:pt>
                <c:pt idx="843">
                  <c:v>9449.4</c:v>
                </c:pt>
                <c:pt idx="844">
                  <c:v>9449.4</c:v>
                </c:pt>
                <c:pt idx="845">
                  <c:v>9289.4</c:v>
                </c:pt>
                <c:pt idx="846">
                  <c:v>9289.4</c:v>
                </c:pt>
                <c:pt idx="847">
                  <c:v>9289.4</c:v>
                </c:pt>
                <c:pt idx="848">
                  <c:v>9289.4</c:v>
                </c:pt>
                <c:pt idx="849">
                  <c:v>9289.4</c:v>
                </c:pt>
                <c:pt idx="850">
                  <c:v>9289.4</c:v>
                </c:pt>
                <c:pt idx="851">
                  <c:v>9289.4</c:v>
                </c:pt>
                <c:pt idx="852">
                  <c:v>9219</c:v>
                </c:pt>
                <c:pt idx="853">
                  <c:v>9219</c:v>
                </c:pt>
                <c:pt idx="854">
                  <c:v>9219</c:v>
                </c:pt>
                <c:pt idx="855">
                  <c:v>9219</c:v>
                </c:pt>
                <c:pt idx="856">
                  <c:v>9219</c:v>
                </c:pt>
                <c:pt idx="857">
                  <c:v>9219</c:v>
                </c:pt>
                <c:pt idx="858">
                  <c:v>9219</c:v>
                </c:pt>
                <c:pt idx="859">
                  <c:v>9429</c:v>
                </c:pt>
                <c:pt idx="860">
                  <c:v>9429</c:v>
                </c:pt>
                <c:pt idx="861">
                  <c:v>9429</c:v>
                </c:pt>
                <c:pt idx="862">
                  <c:v>9429</c:v>
                </c:pt>
                <c:pt idx="863">
                  <c:v>9429</c:v>
                </c:pt>
                <c:pt idx="864">
                  <c:v>9429</c:v>
                </c:pt>
                <c:pt idx="865">
                  <c:v>9429</c:v>
                </c:pt>
                <c:pt idx="866">
                  <c:v>9329</c:v>
                </c:pt>
                <c:pt idx="867">
                  <c:v>9329</c:v>
                </c:pt>
                <c:pt idx="868">
                  <c:v>9329</c:v>
                </c:pt>
                <c:pt idx="869">
                  <c:v>9329</c:v>
                </c:pt>
                <c:pt idx="870">
                  <c:v>9329</c:v>
                </c:pt>
                <c:pt idx="871">
                  <c:v>9329</c:v>
                </c:pt>
                <c:pt idx="872">
                  <c:v>9329</c:v>
                </c:pt>
                <c:pt idx="873">
                  <c:v>9413.68</c:v>
                </c:pt>
                <c:pt idx="874">
                  <c:v>9413.68</c:v>
                </c:pt>
                <c:pt idx="875">
                  <c:v>9413.68</c:v>
                </c:pt>
                <c:pt idx="876">
                  <c:v>9413.68</c:v>
                </c:pt>
                <c:pt idx="877">
                  <c:v>9413.68</c:v>
                </c:pt>
                <c:pt idx="878">
                  <c:v>9413.68</c:v>
                </c:pt>
                <c:pt idx="879">
                  <c:v>9413.68</c:v>
                </c:pt>
                <c:pt idx="880">
                  <c:v>9413.68</c:v>
                </c:pt>
                <c:pt idx="881">
                  <c:v>9413.68</c:v>
                </c:pt>
                <c:pt idx="882">
                  <c:v>9413.68</c:v>
                </c:pt>
                <c:pt idx="883">
                  <c:v>9413.68</c:v>
                </c:pt>
                <c:pt idx="884">
                  <c:v>9413.68</c:v>
                </c:pt>
                <c:pt idx="885">
                  <c:v>9413.68</c:v>
                </c:pt>
                <c:pt idx="886">
                  <c:v>9413.68</c:v>
                </c:pt>
                <c:pt idx="887">
                  <c:v>9303.68</c:v>
                </c:pt>
                <c:pt idx="888">
                  <c:v>9303.68</c:v>
                </c:pt>
                <c:pt idx="889">
                  <c:v>9303.68</c:v>
                </c:pt>
                <c:pt idx="890">
                  <c:v>9303.68</c:v>
                </c:pt>
                <c:pt idx="891">
                  <c:v>9303.68</c:v>
                </c:pt>
                <c:pt idx="892">
                  <c:v>9303.68</c:v>
                </c:pt>
                <c:pt idx="893">
                  <c:v>9303.68</c:v>
                </c:pt>
                <c:pt idx="894">
                  <c:v>9360.08</c:v>
                </c:pt>
                <c:pt idx="895">
                  <c:v>9360.08</c:v>
                </c:pt>
                <c:pt idx="896">
                  <c:v>9360.08</c:v>
                </c:pt>
                <c:pt idx="897">
                  <c:v>9360.08</c:v>
                </c:pt>
                <c:pt idx="898">
                  <c:v>9360.08</c:v>
                </c:pt>
                <c:pt idx="899">
                  <c:v>9360.08</c:v>
                </c:pt>
                <c:pt idx="900">
                  <c:v>9360.08</c:v>
                </c:pt>
                <c:pt idx="901">
                  <c:v>8975.4</c:v>
                </c:pt>
                <c:pt idx="902">
                  <c:v>8975.4</c:v>
                </c:pt>
                <c:pt idx="903">
                  <c:v>8975.4</c:v>
                </c:pt>
                <c:pt idx="904">
                  <c:v>8975.4</c:v>
                </c:pt>
                <c:pt idx="905">
                  <c:v>8975.4</c:v>
                </c:pt>
                <c:pt idx="906">
                  <c:v>8975.4</c:v>
                </c:pt>
                <c:pt idx="907">
                  <c:v>8975.4</c:v>
                </c:pt>
                <c:pt idx="908">
                  <c:v>9055.4</c:v>
                </c:pt>
                <c:pt idx="909">
                  <c:v>9055.4</c:v>
                </c:pt>
                <c:pt idx="910">
                  <c:v>9055.4</c:v>
                </c:pt>
                <c:pt idx="911">
                  <c:v>9055.4</c:v>
                </c:pt>
                <c:pt idx="912">
                  <c:v>9055.4</c:v>
                </c:pt>
                <c:pt idx="913">
                  <c:v>9055.4</c:v>
                </c:pt>
                <c:pt idx="914">
                  <c:v>9055.4</c:v>
                </c:pt>
                <c:pt idx="915">
                  <c:v>9155.4</c:v>
                </c:pt>
                <c:pt idx="916">
                  <c:v>9155.4</c:v>
                </c:pt>
                <c:pt idx="917">
                  <c:v>9155.4</c:v>
                </c:pt>
                <c:pt idx="918">
                  <c:v>9155.4</c:v>
                </c:pt>
                <c:pt idx="919">
                  <c:v>9155.4</c:v>
                </c:pt>
                <c:pt idx="920">
                  <c:v>9155.4</c:v>
                </c:pt>
                <c:pt idx="921">
                  <c:v>9155.4</c:v>
                </c:pt>
                <c:pt idx="922">
                  <c:v>9099</c:v>
                </c:pt>
                <c:pt idx="923">
                  <c:v>9099</c:v>
                </c:pt>
                <c:pt idx="924">
                  <c:v>9099</c:v>
                </c:pt>
                <c:pt idx="925">
                  <c:v>9099</c:v>
                </c:pt>
                <c:pt idx="926">
                  <c:v>9099</c:v>
                </c:pt>
                <c:pt idx="927">
                  <c:v>9099</c:v>
                </c:pt>
                <c:pt idx="928">
                  <c:v>9099</c:v>
                </c:pt>
                <c:pt idx="929">
                  <c:v>9342.2000000000007</c:v>
                </c:pt>
                <c:pt idx="930">
                  <c:v>9342.2000000000007</c:v>
                </c:pt>
                <c:pt idx="931">
                  <c:v>9342.2000000000007</c:v>
                </c:pt>
                <c:pt idx="932">
                  <c:v>9342.2000000000007</c:v>
                </c:pt>
                <c:pt idx="933">
                  <c:v>9342.2000000000007</c:v>
                </c:pt>
                <c:pt idx="934">
                  <c:v>9342.2000000000007</c:v>
                </c:pt>
                <c:pt idx="935">
                  <c:v>9342.2000000000007</c:v>
                </c:pt>
                <c:pt idx="936">
                  <c:v>8802.2000000000007</c:v>
                </c:pt>
                <c:pt idx="937">
                  <c:v>8802.2000000000007</c:v>
                </c:pt>
                <c:pt idx="938">
                  <c:v>8802.2000000000007</c:v>
                </c:pt>
                <c:pt idx="939">
                  <c:v>8802.2000000000007</c:v>
                </c:pt>
                <c:pt idx="940">
                  <c:v>8802.2000000000007</c:v>
                </c:pt>
                <c:pt idx="941">
                  <c:v>8802.2000000000007</c:v>
                </c:pt>
                <c:pt idx="942">
                  <c:v>8802.2000000000007</c:v>
                </c:pt>
                <c:pt idx="943">
                  <c:v>8742.2000000000007</c:v>
                </c:pt>
                <c:pt idx="944">
                  <c:v>8742.2000000000007</c:v>
                </c:pt>
                <c:pt idx="945">
                  <c:v>8742.2000000000007</c:v>
                </c:pt>
                <c:pt idx="946">
                  <c:v>8742.2000000000007</c:v>
                </c:pt>
                <c:pt idx="947">
                  <c:v>8742.2000000000007</c:v>
                </c:pt>
                <c:pt idx="948">
                  <c:v>8742.2000000000007</c:v>
                </c:pt>
                <c:pt idx="949">
                  <c:v>8742.2000000000007</c:v>
                </c:pt>
                <c:pt idx="950">
                  <c:v>8798.2000000000007</c:v>
                </c:pt>
                <c:pt idx="951">
                  <c:v>8798.2000000000007</c:v>
                </c:pt>
                <c:pt idx="952">
                  <c:v>8798.2000000000007</c:v>
                </c:pt>
                <c:pt idx="953">
                  <c:v>8798.2000000000007</c:v>
                </c:pt>
                <c:pt idx="954">
                  <c:v>8798.2000000000007</c:v>
                </c:pt>
                <c:pt idx="955">
                  <c:v>8798.2000000000007</c:v>
                </c:pt>
                <c:pt idx="956">
                  <c:v>8798.2000000000007</c:v>
                </c:pt>
                <c:pt idx="957">
                  <c:v>8766.2000000000007</c:v>
                </c:pt>
                <c:pt idx="958">
                  <c:v>8766.2000000000007</c:v>
                </c:pt>
                <c:pt idx="959">
                  <c:v>8766.2000000000007</c:v>
                </c:pt>
                <c:pt idx="960">
                  <c:v>8766.2000000000007</c:v>
                </c:pt>
                <c:pt idx="961">
                  <c:v>8766.2000000000007</c:v>
                </c:pt>
                <c:pt idx="962">
                  <c:v>8766.2000000000007</c:v>
                </c:pt>
                <c:pt idx="963">
                  <c:v>8766.2000000000007</c:v>
                </c:pt>
                <c:pt idx="964">
                  <c:v>8633.17</c:v>
                </c:pt>
                <c:pt idx="965">
                  <c:v>8633.17</c:v>
                </c:pt>
                <c:pt idx="966">
                  <c:v>8633.17</c:v>
                </c:pt>
                <c:pt idx="967">
                  <c:v>8633.17</c:v>
                </c:pt>
                <c:pt idx="968">
                  <c:v>8633.17</c:v>
                </c:pt>
                <c:pt idx="969">
                  <c:v>8633.17</c:v>
                </c:pt>
                <c:pt idx="970">
                  <c:v>8633.17</c:v>
                </c:pt>
                <c:pt idx="971">
                  <c:v>8473.17</c:v>
                </c:pt>
                <c:pt idx="972">
                  <c:v>8473.17</c:v>
                </c:pt>
                <c:pt idx="973">
                  <c:v>8473.17</c:v>
                </c:pt>
                <c:pt idx="974">
                  <c:v>8473.17</c:v>
                </c:pt>
                <c:pt idx="975">
                  <c:v>8473.17</c:v>
                </c:pt>
                <c:pt idx="976">
                  <c:v>8473.17</c:v>
                </c:pt>
                <c:pt idx="977">
                  <c:v>8473.17</c:v>
                </c:pt>
                <c:pt idx="978">
                  <c:v>8773.17</c:v>
                </c:pt>
                <c:pt idx="979">
                  <c:v>8773.17</c:v>
                </c:pt>
                <c:pt idx="980">
                  <c:v>8773.17</c:v>
                </c:pt>
                <c:pt idx="981">
                  <c:v>8773.17</c:v>
                </c:pt>
                <c:pt idx="982">
                  <c:v>8773.17</c:v>
                </c:pt>
                <c:pt idx="983">
                  <c:v>8773.17</c:v>
                </c:pt>
                <c:pt idx="984">
                  <c:v>8773.17</c:v>
                </c:pt>
                <c:pt idx="985">
                  <c:v>8345.17</c:v>
                </c:pt>
                <c:pt idx="986">
                  <c:v>8345.17</c:v>
                </c:pt>
                <c:pt idx="987">
                  <c:v>8345.17</c:v>
                </c:pt>
                <c:pt idx="988">
                  <c:v>8345.17</c:v>
                </c:pt>
                <c:pt idx="989">
                  <c:v>8345.17</c:v>
                </c:pt>
                <c:pt idx="990">
                  <c:v>8345.17</c:v>
                </c:pt>
                <c:pt idx="991">
                  <c:v>8345.17</c:v>
                </c:pt>
                <c:pt idx="992">
                  <c:v>8705.17</c:v>
                </c:pt>
                <c:pt idx="993">
                  <c:v>8705.17</c:v>
                </c:pt>
                <c:pt idx="994">
                  <c:v>8705.17</c:v>
                </c:pt>
                <c:pt idx="995">
                  <c:v>8705.17</c:v>
                </c:pt>
                <c:pt idx="996">
                  <c:v>8705.17</c:v>
                </c:pt>
                <c:pt idx="997">
                  <c:v>8705.17</c:v>
                </c:pt>
                <c:pt idx="998">
                  <c:v>8705.17</c:v>
                </c:pt>
                <c:pt idx="999">
                  <c:v>8410.9699999999993</c:v>
                </c:pt>
                <c:pt idx="1000">
                  <c:v>8410.9699999999993</c:v>
                </c:pt>
                <c:pt idx="1001">
                  <c:v>8410.9699999999993</c:v>
                </c:pt>
                <c:pt idx="1002">
                  <c:v>8410.9699999999993</c:v>
                </c:pt>
                <c:pt idx="1003">
                  <c:v>8410.9699999999993</c:v>
                </c:pt>
                <c:pt idx="1004">
                  <c:v>8410.9699999999993</c:v>
                </c:pt>
                <c:pt idx="1005">
                  <c:v>8410.9699999999993</c:v>
                </c:pt>
                <c:pt idx="1006">
                  <c:v>8354.9699999999993</c:v>
                </c:pt>
                <c:pt idx="1007">
                  <c:v>8354.9699999999993</c:v>
                </c:pt>
                <c:pt idx="1008">
                  <c:v>8354.9699999999993</c:v>
                </c:pt>
                <c:pt idx="1009">
                  <c:v>8354.9699999999993</c:v>
                </c:pt>
                <c:pt idx="1010">
                  <c:v>8354.9699999999993</c:v>
                </c:pt>
                <c:pt idx="1011">
                  <c:v>8354.9699999999993</c:v>
                </c:pt>
                <c:pt idx="1012">
                  <c:v>8354.9699999999993</c:v>
                </c:pt>
                <c:pt idx="1013">
                  <c:v>8360.9699999999993</c:v>
                </c:pt>
                <c:pt idx="1014">
                  <c:v>8360.9699999999993</c:v>
                </c:pt>
                <c:pt idx="1015">
                  <c:v>8360.9699999999993</c:v>
                </c:pt>
                <c:pt idx="1016">
                  <c:v>8360.9699999999993</c:v>
                </c:pt>
                <c:pt idx="1017">
                  <c:v>8360.9699999999993</c:v>
                </c:pt>
                <c:pt idx="1018">
                  <c:v>8360.9699999999993</c:v>
                </c:pt>
                <c:pt idx="1019">
                  <c:v>8360.9699999999993</c:v>
                </c:pt>
                <c:pt idx="1020">
                  <c:v>8661.77</c:v>
                </c:pt>
                <c:pt idx="1021">
                  <c:v>8661.77</c:v>
                </c:pt>
                <c:pt idx="1022">
                  <c:v>8661.77</c:v>
                </c:pt>
                <c:pt idx="1023">
                  <c:v>8661.77</c:v>
                </c:pt>
                <c:pt idx="1024">
                  <c:v>8661.77</c:v>
                </c:pt>
                <c:pt idx="1025">
                  <c:v>8661.77</c:v>
                </c:pt>
                <c:pt idx="1026">
                  <c:v>8661.77</c:v>
                </c:pt>
                <c:pt idx="1027">
                  <c:v>8561.77</c:v>
                </c:pt>
                <c:pt idx="1028">
                  <c:v>8561.77</c:v>
                </c:pt>
                <c:pt idx="1029">
                  <c:v>8561.77</c:v>
                </c:pt>
                <c:pt idx="1030">
                  <c:v>8561.77</c:v>
                </c:pt>
                <c:pt idx="1031">
                  <c:v>8561.77</c:v>
                </c:pt>
                <c:pt idx="1032">
                  <c:v>8561.77</c:v>
                </c:pt>
                <c:pt idx="1033">
                  <c:v>8561.77</c:v>
                </c:pt>
                <c:pt idx="1034">
                  <c:v>9241.77</c:v>
                </c:pt>
                <c:pt idx="1035">
                  <c:v>9241.77</c:v>
                </c:pt>
                <c:pt idx="1036">
                  <c:v>9241.77</c:v>
                </c:pt>
                <c:pt idx="1037">
                  <c:v>9241.77</c:v>
                </c:pt>
                <c:pt idx="1038">
                  <c:v>9241.77</c:v>
                </c:pt>
                <c:pt idx="1039">
                  <c:v>9241.77</c:v>
                </c:pt>
                <c:pt idx="1040">
                  <c:v>9241.77</c:v>
                </c:pt>
                <c:pt idx="1041">
                  <c:v>8921.77</c:v>
                </c:pt>
                <c:pt idx="1042">
                  <c:v>8921.77</c:v>
                </c:pt>
                <c:pt idx="1043">
                  <c:v>8921.77</c:v>
                </c:pt>
                <c:pt idx="1044">
                  <c:v>8921.77</c:v>
                </c:pt>
                <c:pt idx="1045">
                  <c:v>8921.77</c:v>
                </c:pt>
                <c:pt idx="1046">
                  <c:v>8921.77</c:v>
                </c:pt>
                <c:pt idx="1047">
                  <c:v>8921.77</c:v>
                </c:pt>
                <c:pt idx="1048">
                  <c:v>8946.77</c:v>
                </c:pt>
                <c:pt idx="1049">
                  <c:v>8946.77</c:v>
                </c:pt>
                <c:pt idx="1050">
                  <c:v>8946.77</c:v>
                </c:pt>
                <c:pt idx="1051">
                  <c:v>8946.77</c:v>
                </c:pt>
                <c:pt idx="1052">
                  <c:v>8946.77</c:v>
                </c:pt>
                <c:pt idx="1053">
                  <c:v>8946.77</c:v>
                </c:pt>
                <c:pt idx="1054">
                  <c:v>8946.77</c:v>
                </c:pt>
                <c:pt idx="1055">
                  <c:v>8646.7999999999993</c:v>
                </c:pt>
                <c:pt idx="1056">
                  <c:v>8646.7999999999993</c:v>
                </c:pt>
                <c:pt idx="1057">
                  <c:v>8646.7999999999993</c:v>
                </c:pt>
                <c:pt idx="1058">
                  <c:v>8646.7999999999993</c:v>
                </c:pt>
                <c:pt idx="1059">
                  <c:v>8646.7999999999993</c:v>
                </c:pt>
                <c:pt idx="1060">
                  <c:v>8646.7999999999993</c:v>
                </c:pt>
                <c:pt idx="1061">
                  <c:v>8646.7999999999993</c:v>
                </c:pt>
                <c:pt idx="1062">
                  <c:v>8646.7999999999993</c:v>
                </c:pt>
                <c:pt idx="1063">
                  <c:v>8921</c:v>
                </c:pt>
                <c:pt idx="1064">
                  <c:v>8921</c:v>
                </c:pt>
                <c:pt idx="1065">
                  <c:v>8921</c:v>
                </c:pt>
                <c:pt idx="1066">
                  <c:v>8921</c:v>
                </c:pt>
                <c:pt idx="1067">
                  <c:v>8921</c:v>
                </c:pt>
                <c:pt idx="1068">
                  <c:v>8921</c:v>
                </c:pt>
                <c:pt idx="1069">
                  <c:v>9364</c:v>
                </c:pt>
                <c:pt idx="1070">
                  <c:v>9364</c:v>
                </c:pt>
                <c:pt idx="1071">
                  <c:v>9364</c:v>
                </c:pt>
                <c:pt idx="1072">
                  <c:v>9364</c:v>
                </c:pt>
                <c:pt idx="1073">
                  <c:v>9364</c:v>
                </c:pt>
                <c:pt idx="1074">
                  <c:v>9364</c:v>
                </c:pt>
                <c:pt idx="1075">
                  <c:v>9364</c:v>
                </c:pt>
                <c:pt idx="1076">
                  <c:v>9364</c:v>
                </c:pt>
                <c:pt idx="1077">
                  <c:v>9364</c:v>
                </c:pt>
                <c:pt idx="1078">
                  <c:v>9364</c:v>
                </c:pt>
                <c:pt idx="1079">
                  <c:v>9364</c:v>
                </c:pt>
                <c:pt idx="1080">
                  <c:v>9364</c:v>
                </c:pt>
                <c:pt idx="1081">
                  <c:v>9364</c:v>
                </c:pt>
                <c:pt idx="1082">
                  <c:v>9364</c:v>
                </c:pt>
                <c:pt idx="1083">
                  <c:v>9364.2000000000007</c:v>
                </c:pt>
                <c:pt idx="1084">
                  <c:v>9364.2000000000007</c:v>
                </c:pt>
                <c:pt idx="1085">
                  <c:v>9364.2000000000007</c:v>
                </c:pt>
                <c:pt idx="1086">
                  <c:v>9364.2000000000007</c:v>
                </c:pt>
                <c:pt idx="1087">
                  <c:v>9364.2000000000007</c:v>
                </c:pt>
                <c:pt idx="1088">
                  <c:v>9364.2000000000007</c:v>
                </c:pt>
                <c:pt idx="1089">
                  <c:v>9364.2000000000007</c:v>
                </c:pt>
                <c:pt idx="1090">
                  <c:v>9364.2000000000007</c:v>
                </c:pt>
                <c:pt idx="1091">
                  <c:v>8792</c:v>
                </c:pt>
                <c:pt idx="1092">
                  <c:v>8792</c:v>
                </c:pt>
                <c:pt idx="1093">
                  <c:v>8792</c:v>
                </c:pt>
                <c:pt idx="1094">
                  <c:v>8792</c:v>
                </c:pt>
                <c:pt idx="1095">
                  <c:v>8792</c:v>
                </c:pt>
                <c:pt idx="1096">
                  <c:v>8792</c:v>
                </c:pt>
                <c:pt idx="1097">
                  <c:v>8792</c:v>
                </c:pt>
                <c:pt idx="1098">
                  <c:v>8792</c:v>
                </c:pt>
                <c:pt idx="1099">
                  <c:v>8792</c:v>
                </c:pt>
                <c:pt idx="1100">
                  <c:v>8792</c:v>
                </c:pt>
                <c:pt idx="1101">
                  <c:v>8792</c:v>
                </c:pt>
                <c:pt idx="1102">
                  <c:v>8792</c:v>
                </c:pt>
                <c:pt idx="1103">
                  <c:v>8792</c:v>
                </c:pt>
                <c:pt idx="1104">
                  <c:v>8792</c:v>
                </c:pt>
                <c:pt idx="1105">
                  <c:v>8792</c:v>
                </c:pt>
                <c:pt idx="1106">
                  <c:v>8792</c:v>
                </c:pt>
                <c:pt idx="1107">
                  <c:v>8792</c:v>
                </c:pt>
                <c:pt idx="1108">
                  <c:v>8792</c:v>
                </c:pt>
                <c:pt idx="1109">
                  <c:v>8792</c:v>
                </c:pt>
                <c:pt idx="1110">
                  <c:v>8792</c:v>
                </c:pt>
                <c:pt idx="1111">
                  <c:v>8792</c:v>
                </c:pt>
                <c:pt idx="1112">
                  <c:v>8792</c:v>
                </c:pt>
                <c:pt idx="1113">
                  <c:v>8792</c:v>
                </c:pt>
                <c:pt idx="1114">
                  <c:v>8792</c:v>
                </c:pt>
                <c:pt idx="1115">
                  <c:v>8792</c:v>
                </c:pt>
                <c:pt idx="1116">
                  <c:v>8792</c:v>
                </c:pt>
                <c:pt idx="1117">
                  <c:v>8792</c:v>
                </c:pt>
                <c:pt idx="1118">
                  <c:v>8792</c:v>
                </c:pt>
                <c:pt idx="1119">
                  <c:v>8792</c:v>
                </c:pt>
                <c:pt idx="1120">
                  <c:v>8792</c:v>
                </c:pt>
                <c:pt idx="1121">
                  <c:v>8792</c:v>
                </c:pt>
                <c:pt idx="1122">
                  <c:v>8792</c:v>
                </c:pt>
                <c:pt idx="1123">
                  <c:v>8792</c:v>
                </c:pt>
                <c:pt idx="1124">
                  <c:v>8792</c:v>
                </c:pt>
                <c:pt idx="1125">
                  <c:v>8746</c:v>
                </c:pt>
                <c:pt idx="1126">
                  <c:v>8746</c:v>
                </c:pt>
                <c:pt idx="1127">
                  <c:v>8746</c:v>
                </c:pt>
                <c:pt idx="1128">
                  <c:v>8746</c:v>
                </c:pt>
                <c:pt idx="1129">
                  <c:v>8746</c:v>
                </c:pt>
                <c:pt idx="1130">
                  <c:v>8746</c:v>
                </c:pt>
                <c:pt idx="1131">
                  <c:v>8746</c:v>
                </c:pt>
                <c:pt idx="1132">
                  <c:v>8746</c:v>
                </c:pt>
                <c:pt idx="1133">
                  <c:v>8746</c:v>
                </c:pt>
                <c:pt idx="1134">
                  <c:v>8746</c:v>
                </c:pt>
                <c:pt idx="1135">
                  <c:v>8746</c:v>
                </c:pt>
                <c:pt idx="1136">
                  <c:v>8746</c:v>
                </c:pt>
                <c:pt idx="1137">
                  <c:v>8746</c:v>
                </c:pt>
                <c:pt idx="1138">
                  <c:v>8746</c:v>
                </c:pt>
                <c:pt idx="1139">
                  <c:v>9747</c:v>
                </c:pt>
                <c:pt idx="1140">
                  <c:v>9747</c:v>
                </c:pt>
                <c:pt idx="1141">
                  <c:v>9747</c:v>
                </c:pt>
                <c:pt idx="1142">
                  <c:v>9747</c:v>
                </c:pt>
                <c:pt idx="1143">
                  <c:v>9747</c:v>
                </c:pt>
                <c:pt idx="1144">
                  <c:v>9747</c:v>
                </c:pt>
                <c:pt idx="1145">
                  <c:v>9747</c:v>
                </c:pt>
                <c:pt idx="1146">
                  <c:v>9745</c:v>
                </c:pt>
                <c:pt idx="1147">
                  <c:v>9745</c:v>
                </c:pt>
                <c:pt idx="1148">
                  <c:v>9745</c:v>
                </c:pt>
                <c:pt idx="1149">
                  <c:v>9745</c:v>
                </c:pt>
                <c:pt idx="1150">
                  <c:v>9745</c:v>
                </c:pt>
                <c:pt idx="1151">
                  <c:v>9745</c:v>
                </c:pt>
                <c:pt idx="1152">
                  <c:v>9745</c:v>
                </c:pt>
                <c:pt idx="1153">
                  <c:v>10781</c:v>
                </c:pt>
                <c:pt idx="1154">
                  <c:v>10781</c:v>
                </c:pt>
                <c:pt idx="1155">
                  <c:v>10781</c:v>
                </c:pt>
                <c:pt idx="1156">
                  <c:v>10781</c:v>
                </c:pt>
                <c:pt idx="1157">
                  <c:v>10781</c:v>
                </c:pt>
                <c:pt idx="1158">
                  <c:v>10781</c:v>
                </c:pt>
                <c:pt idx="1159">
                  <c:v>10781</c:v>
                </c:pt>
                <c:pt idx="1160">
                  <c:v>10781</c:v>
                </c:pt>
                <c:pt idx="1161">
                  <c:v>10781</c:v>
                </c:pt>
                <c:pt idx="1162">
                  <c:v>10781</c:v>
                </c:pt>
                <c:pt idx="1163">
                  <c:v>10781</c:v>
                </c:pt>
                <c:pt idx="1164">
                  <c:v>10781</c:v>
                </c:pt>
                <c:pt idx="1165">
                  <c:v>10781</c:v>
                </c:pt>
                <c:pt idx="1166">
                  <c:v>10781</c:v>
                </c:pt>
                <c:pt idx="1167">
                  <c:v>10781</c:v>
                </c:pt>
                <c:pt idx="1168">
                  <c:v>10781</c:v>
                </c:pt>
                <c:pt idx="1169">
                  <c:v>10781</c:v>
                </c:pt>
                <c:pt idx="1170">
                  <c:v>10781</c:v>
                </c:pt>
                <c:pt idx="1171">
                  <c:v>10781</c:v>
                </c:pt>
                <c:pt idx="1172">
                  <c:v>10781</c:v>
                </c:pt>
                <c:pt idx="1173">
                  <c:v>10781</c:v>
                </c:pt>
                <c:pt idx="1174">
                  <c:v>10781</c:v>
                </c:pt>
                <c:pt idx="1175">
                  <c:v>10781</c:v>
                </c:pt>
                <c:pt idx="1176">
                  <c:v>10781</c:v>
                </c:pt>
                <c:pt idx="1177">
                  <c:v>10781</c:v>
                </c:pt>
                <c:pt idx="1178">
                  <c:v>10781</c:v>
                </c:pt>
                <c:pt idx="1179">
                  <c:v>10781</c:v>
                </c:pt>
                <c:pt idx="1180">
                  <c:v>10781</c:v>
                </c:pt>
                <c:pt idx="1181">
                  <c:v>10681</c:v>
                </c:pt>
                <c:pt idx="1182">
                  <c:v>10681</c:v>
                </c:pt>
                <c:pt idx="1183">
                  <c:v>10681</c:v>
                </c:pt>
                <c:pt idx="1184">
                  <c:v>10681</c:v>
                </c:pt>
                <c:pt idx="1185">
                  <c:v>10681</c:v>
                </c:pt>
                <c:pt idx="1186">
                  <c:v>10681</c:v>
                </c:pt>
                <c:pt idx="1187">
                  <c:v>10681</c:v>
                </c:pt>
                <c:pt idx="1188">
                  <c:v>10681</c:v>
                </c:pt>
                <c:pt idx="1189">
                  <c:v>10681</c:v>
                </c:pt>
                <c:pt idx="1190">
                  <c:v>10681</c:v>
                </c:pt>
                <c:pt idx="1191">
                  <c:v>10681</c:v>
                </c:pt>
                <c:pt idx="1192">
                  <c:v>10681</c:v>
                </c:pt>
                <c:pt idx="1193">
                  <c:v>10681</c:v>
                </c:pt>
                <c:pt idx="1194">
                  <c:v>10681</c:v>
                </c:pt>
                <c:pt idx="1195">
                  <c:v>10681</c:v>
                </c:pt>
                <c:pt idx="1196">
                  <c:v>10681</c:v>
                </c:pt>
                <c:pt idx="1197">
                  <c:v>10681</c:v>
                </c:pt>
                <c:pt idx="1198">
                  <c:v>10681</c:v>
                </c:pt>
                <c:pt idx="1199">
                  <c:v>10681</c:v>
                </c:pt>
                <c:pt idx="1200">
                  <c:v>10681</c:v>
                </c:pt>
                <c:pt idx="1201">
                  <c:v>10681</c:v>
                </c:pt>
                <c:pt idx="1202">
                  <c:v>10681</c:v>
                </c:pt>
                <c:pt idx="1203">
                  <c:v>10681</c:v>
                </c:pt>
                <c:pt idx="1204">
                  <c:v>10681</c:v>
                </c:pt>
                <c:pt idx="1205">
                  <c:v>10681</c:v>
                </c:pt>
                <c:pt idx="1206">
                  <c:v>10681</c:v>
                </c:pt>
                <c:pt idx="1207">
                  <c:v>10681</c:v>
                </c:pt>
                <c:pt idx="1208">
                  <c:v>10681</c:v>
                </c:pt>
                <c:pt idx="1209">
                  <c:v>10681</c:v>
                </c:pt>
                <c:pt idx="1210">
                  <c:v>10681</c:v>
                </c:pt>
                <c:pt idx="1211">
                  <c:v>10681</c:v>
                </c:pt>
                <c:pt idx="1212">
                  <c:v>10681</c:v>
                </c:pt>
                <c:pt idx="1213">
                  <c:v>10681</c:v>
                </c:pt>
                <c:pt idx="1214">
                  <c:v>10681</c:v>
                </c:pt>
                <c:pt idx="1215">
                  <c:v>10681</c:v>
                </c:pt>
                <c:pt idx="1216">
                  <c:v>10681</c:v>
                </c:pt>
                <c:pt idx="1217">
                  <c:v>10681</c:v>
                </c:pt>
                <c:pt idx="1218">
                  <c:v>10681</c:v>
                </c:pt>
                <c:pt idx="1219">
                  <c:v>10681</c:v>
                </c:pt>
                <c:pt idx="1220">
                  <c:v>10681</c:v>
                </c:pt>
                <c:pt idx="1221">
                  <c:v>10681</c:v>
                </c:pt>
                <c:pt idx="1222">
                  <c:v>10681</c:v>
                </c:pt>
                <c:pt idx="1223">
                  <c:v>10681</c:v>
                </c:pt>
                <c:pt idx="1224">
                  <c:v>10681</c:v>
                </c:pt>
                <c:pt idx="1225">
                  <c:v>10681</c:v>
                </c:pt>
                <c:pt idx="1226">
                  <c:v>10681</c:v>
                </c:pt>
                <c:pt idx="1227">
                  <c:v>10681</c:v>
                </c:pt>
                <c:pt idx="1228">
                  <c:v>10681</c:v>
                </c:pt>
                <c:pt idx="1229">
                  <c:v>10681</c:v>
                </c:pt>
                <c:pt idx="1230">
                  <c:v>10581</c:v>
                </c:pt>
                <c:pt idx="1231">
                  <c:v>10581</c:v>
                </c:pt>
                <c:pt idx="1232">
                  <c:v>10581</c:v>
                </c:pt>
                <c:pt idx="1233">
                  <c:v>10581</c:v>
                </c:pt>
                <c:pt idx="1234">
                  <c:v>10581</c:v>
                </c:pt>
                <c:pt idx="1235">
                  <c:v>10581</c:v>
                </c:pt>
                <c:pt idx="1236">
                  <c:v>10581</c:v>
                </c:pt>
                <c:pt idx="1237">
                  <c:v>10981</c:v>
                </c:pt>
                <c:pt idx="1238">
                  <c:v>10981</c:v>
                </c:pt>
                <c:pt idx="1239">
                  <c:v>10981</c:v>
                </c:pt>
                <c:pt idx="1240">
                  <c:v>10981</c:v>
                </c:pt>
                <c:pt idx="1241">
                  <c:v>10981</c:v>
                </c:pt>
                <c:pt idx="1242">
                  <c:v>10981</c:v>
                </c:pt>
                <c:pt idx="1243">
                  <c:v>10981</c:v>
                </c:pt>
                <c:pt idx="1244">
                  <c:v>10881</c:v>
                </c:pt>
                <c:pt idx="1245">
                  <c:v>10881</c:v>
                </c:pt>
                <c:pt idx="1246">
                  <c:v>10881</c:v>
                </c:pt>
                <c:pt idx="1247">
                  <c:v>10881</c:v>
                </c:pt>
                <c:pt idx="1248">
                  <c:v>10881</c:v>
                </c:pt>
                <c:pt idx="1249">
                  <c:v>10881</c:v>
                </c:pt>
                <c:pt idx="1250">
                  <c:v>10881</c:v>
                </c:pt>
                <c:pt idx="1251">
                  <c:v>10881</c:v>
                </c:pt>
                <c:pt idx="1252">
                  <c:v>10881</c:v>
                </c:pt>
                <c:pt idx="1253">
                  <c:v>10881</c:v>
                </c:pt>
                <c:pt idx="1254">
                  <c:v>10881</c:v>
                </c:pt>
                <c:pt idx="1255">
                  <c:v>10881</c:v>
                </c:pt>
                <c:pt idx="1256">
                  <c:v>10881</c:v>
                </c:pt>
                <c:pt idx="1257">
                  <c:v>10881</c:v>
                </c:pt>
                <c:pt idx="1258">
                  <c:v>10881</c:v>
                </c:pt>
                <c:pt idx="1259">
                  <c:v>10881</c:v>
                </c:pt>
                <c:pt idx="1260">
                  <c:v>10881</c:v>
                </c:pt>
                <c:pt idx="1261">
                  <c:v>10881</c:v>
                </c:pt>
                <c:pt idx="1262">
                  <c:v>10881</c:v>
                </c:pt>
                <c:pt idx="1263">
                  <c:v>10881</c:v>
                </c:pt>
                <c:pt idx="1264">
                  <c:v>10881</c:v>
                </c:pt>
                <c:pt idx="1265">
                  <c:v>10681</c:v>
                </c:pt>
                <c:pt idx="1266">
                  <c:v>10681</c:v>
                </c:pt>
                <c:pt idx="1267">
                  <c:v>10681</c:v>
                </c:pt>
                <c:pt idx="1268">
                  <c:v>10681</c:v>
                </c:pt>
                <c:pt idx="1269">
                  <c:v>10681</c:v>
                </c:pt>
                <c:pt idx="1270">
                  <c:v>10681</c:v>
                </c:pt>
                <c:pt idx="1271">
                  <c:v>10681</c:v>
                </c:pt>
                <c:pt idx="1272">
                  <c:v>10881</c:v>
                </c:pt>
                <c:pt idx="1273">
                  <c:v>10881</c:v>
                </c:pt>
                <c:pt idx="1274">
                  <c:v>10881</c:v>
                </c:pt>
                <c:pt idx="1275">
                  <c:v>10881</c:v>
                </c:pt>
                <c:pt idx="1276">
                  <c:v>10881</c:v>
                </c:pt>
                <c:pt idx="1277">
                  <c:v>10881</c:v>
                </c:pt>
                <c:pt idx="1278">
                  <c:v>10881</c:v>
                </c:pt>
                <c:pt idx="1279">
                  <c:v>10881</c:v>
                </c:pt>
                <c:pt idx="1280">
                  <c:v>10881</c:v>
                </c:pt>
                <c:pt idx="1281">
                  <c:v>10881</c:v>
                </c:pt>
                <c:pt idx="1282">
                  <c:v>10881</c:v>
                </c:pt>
                <c:pt idx="1283">
                  <c:v>10881</c:v>
                </c:pt>
                <c:pt idx="1284">
                  <c:v>10881</c:v>
                </c:pt>
                <c:pt idx="1285">
                  <c:v>10881</c:v>
                </c:pt>
                <c:pt idx="1286">
                  <c:v>10881</c:v>
                </c:pt>
                <c:pt idx="1287">
                  <c:v>10881</c:v>
                </c:pt>
                <c:pt idx="1288">
                  <c:v>10881</c:v>
                </c:pt>
                <c:pt idx="1289">
                  <c:v>10881</c:v>
                </c:pt>
                <c:pt idx="1290">
                  <c:v>10881</c:v>
                </c:pt>
                <c:pt idx="1291">
                  <c:v>10881</c:v>
                </c:pt>
                <c:pt idx="1292">
                  <c:v>10881</c:v>
                </c:pt>
                <c:pt idx="1293">
                  <c:v>10881</c:v>
                </c:pt>
                <c:pt idx="1294">
                  <c:v>10881</c:v>
                </c:pt>
                <c:pt idx="1295">
                  <c:v>10881</c:v>
                </c:pt>
                <c:pt idx="1296">
                  <c:v>10881</c:v>
                </c:pt>
                <c:pt idx="1297">
                  <c:v>10881</c:v>
                </c:pt>
                <c:pt idx="1298">
                  <c:v>10881</c:v>
                </c:pt>
                <c:pt idx="1299">
                  <c:v>10881</c:v>
                </c:pt>
                <c:pt idx="1300">
                  <c:v>10781</c:v>
                </c:pt>
                <c:pt idx="1301">
                  <c:v>10781</c:v>
                </c:pt>
                <c:pt idx="1302">
                  <c:v>10781</c:v>
                </c:pt>
                <c:pt idx="1303">
                  <c:v>10781</c:v>
                </c:pt>
                <c:pt idx="1304">
                  <c:v>10781</c:v>
                </c:pt>
                <c:pt idx="1305">
                  <c:v>10781</c:v>
                </c:pt>
                <c:pt idx="1306">
                  <c:v>10781</c:v>
                </c:pt>
                <c:pt idx="1307">
                  <c:v>10781</c:v>
                </c:pt>
                <c:pt idx="1308">
                  <c:v>10781</c:v>
                </c:pt>
                <c:pt idx="1309">
                  <c:v>10781</c:v>
                </c:pt>
                <c:pt idx="1310">
                  <c:v>10781</c:v>
                </c:pt>
                <c:pt idx="1311">
                  <c:v>10781</c:v>
                </c:pt>
                <c:pt idx="1312">
                  <c:v>10781</c:v>
                </c:pt>
                <c:pt idx="1313">
                  <c:v>10781</c:v>
                </c:pt>
                <c:pt idx="1314">
                  <c:v>10781</c:v>
                </c:pt>
                <c:pt idx="1315">
                  <c:v>10781</c:v>
                </c:pt>
                <c:pt idx="1316">
                  <c:v>10781</c:v>
                </c:pt>
                <c:pt idx="1317">
                  <c:v>10781</c:v>
                </c:pt>
                <c:pt idx="1318">
                  <c:v>10781</c:v>
                </c:pt>
                <c:pt idx="1319">
                  <c:v>10781</c:v>
                </c:pt>
                <c:pt idx="1320">
                  <c:v>10781</c:v>
                </c:pt>
                <c:pt idx="1321">
                  <c:v>10781</c:v>
                </c:pt>
                <c:pt idx="1322">
                  <c:v>10781</c:v>
                </c:pt>
                <c:pt idx="1323">
                  <c:v>10781</c:v>
                </c:pt>
                <c:pt idx="1324">
                  <c:v>10781</c:v>
                </c:pt>
                <c:pt idx="1325">
                  <c:v>10781</c:v>
                </c:pt>
                <c:pt idx="1326">
                  <c:v>10781</c:v>
                </c:pt>
                <c:pt idx="1327">
                  <c:v>10781</c:v>
                </c:pt>
                <c:pt idx="1328">
                  <c:v>10781</c:v>
                </c:pt>
                <c:pt idx="1329">
                  <c:v>10781</c:v>
                </c:pt>
                <c:pt idx="1330">
                  <c:v>10781</c:v>
                </c:pt>
                <c:pt idx="1331">
                  <c:v>10781</c:v>
                </c:pt>
                <c:pt idx="1332">
                  <c:v>10781</c:v>
                </c:pt>
                <c:pt idx="1333">
                  <c:v>10781</c:v>
                </c:pt>
                <c:pt idx="1334">
                  <c:v>10881</c:v>
                </c:pt>
                <c:pt idx="1335">
                  <c:v>10881</c:v>
                </c:pt>
                <c:pt idx="1336">
                  <c:v>10881</c:v>
                </c:pt>
                <c:pt idx="1337">
                  <c:v>10881</c:v>
                </c:pt>
                <c:pt idx="1338">
                  <c:v>10881</c:v>
                </c:pt>
                <c:pt idx="1339">
                  <c:v>10881</c:v>
                </c:pt>
                <c:pt idx="1340">
                  <c:v>10881</c:v>
                </c:pt>
                <c:pt idx="1341">
                  <c:v>10881</c:v>
                </c:pt>
                <c:pt idx="1342">
                  <c:v>10881</c:v>
                </c:pt>
                <c:pt idx="1343">
                  <c:v>10881</c:v>
                </c:pt>
                <c:pt idx="1344">
                  <c:v>10881</c:v>
                </c:pt>
                <c:pt idx="1345">
                  <c:v>10881</c:v>
                </c:pt>
                <c:pt idx="1346">
                  <c:v>10881</c:v>
                </c:pt>
                <c:pt idx="1347">
                  <c:v>10881</c:v>
                </c:pt>
                <c:pt idx="1348">
                  <c:v>10881</c:v>
                </c:pt>
                <c:pt idx="1349">
                  <c:v>10881</c:v>
                </c:pt>
                <c:pt idx="1350">
                  <c:v>10881</c:v>
                </c:pt>
                <c:pt idx="1351">
                  <c:v>10881</c:v>
                </c:pt>
                <c:pt idx="1352">
                  <c:v>10881</c:v>
                </c:pt>
                <c:pt idx="1353">
                  <c:v>10881</c:v>
                </c:pt>
                <c:pt idx="1354">
                  <c:v>10881</c:v>
                </c:pt>
                <c:pt idx="1355">
                  <c:v>10881</c:v>
                </c:pt>
                <c:pt idx="1356">
                  <c:v>10881.5</c:v>
                </c:pt>
                <c:pt idx="1357">
                  <c:v>10881.5</c:v>
                </c:pt>
                <c:pt idx="1358">
                  <c:v>10881.5</c:v>
                </c:pt>
                <c:pt idx="1359">
                  <c:v>10881.5</c:v>
                </c:pt>
                <c:pt idx="1360">
                  <c:v>10881.5</c:v>
                </c:pt>
                <c:pt idx="1361">
                  <c:v>10881.5</c:v>
                </c:pt>
                <c:pt idx="1362">
                  <c:v>10881.5</c:v>
                </c:pt>
                <c:pt idx="1363">
                  <c:v>10981.5</c:v>
                </c:pt>
                <c:pt idx="1364">
                  <c:v>10981.5</c:v>
                </c:pt>
                <c:pt idx="1365">
                  <c:v>10981.5</c:v>
                </c:pt>
                <c:pt idx="1366">
                  <c:v>10981.5</c:v>
                </c:pt>
                <c:pt idx="1367">
                  <c:v>10981.5</c:v>
                </c:pt>
                <c:pt idx="1368">
                  <c:v>10981.5</c:v>
                </c:pt>
                <c:pt idx="1369">
                  <c:v>10981.5</c:v>
                </c:pt>
                <c:pt idx="1370">
                  <c:v>10981.5</c:v>
                </c:pt>
                <c:pt idx="1371">
                  <c:v>10981.5</c:v>
                </c:pt>
                <c:pt idx="1372">
                  <c:v>10981.5</c:v>
                </c:pt>
                <c:pt idx="1373">
                  <c:v>10981.5</c:v>
                </c:pt>
                <c:pt idx="1374">
                  <c:v>10981.5</c:v>
                </c:pt>
                <c:pt idx="1375">
                  <c:v>10981.5</c:v>
                </c:pt>
                <c:pt idx="1376">
                  <c:v>10981.5</c:v>
                </c:pt>
                <c:pt idx="1377">
                  <c:v>10961.5</c:v>
                </c:pt>
                <c:pt idx="1378">
                  <c:v>10961.5</c:v>
                </c:pt>
                <c:pt idx="1379">
                  <c:v>10961.5</c:v>
                </c:pt>
                <c:pt idx="1380">
                  <c:v>10961.5</c:v>
                </c:pt>
                <c:pt idx="1381">
                  <c:v>10961.5</c:v>
                </c:pt>
                <c:pt idx="1382">
                  <c:v>10961.5</c:v>
                </c:pt>
                <c:pt idx="1383">
                  <c:v>10961.5</c:v>
                </c:pt>
                <c:pt idx="1384">
                  <c:v>10961.5</c:v>
                </c:pt>
                <c:pt idx="1385">
                  <c:v>10961.5</c:v>
                </c:pt>
                <c:pt idx="1386">
                  <c:v>10961.5</c:v>
                </c:pt>
                <c:pt idx="1387">
                  <c:v>10961.5</c:v>
                </c:pt>
                <c:pt idx="1388">
                  <c:v>10961.5</c:v>
                </c:pt>
                <c:pt idx="1389">
                  <c:v>10961.5</c:v>
                </c:pt>
                <c:pt idx="1390">
                  <c:v>10961.5</c:v>
                </c:pt>
                <c:pt idx="1391">
                  <c:v>10961.5</c:v>
                </c:pt>
                <c:pt idx="1392">
                  <c:v>10961.5</c:v>
                </c:pt>
                <c:pt idx="1393">
                  <c:v>10961.5</c:v>
                </c:pt>
                <c:pt idx="1394">
                  <c:v>10961.5</c:v>
                </c:pt>
                <c:pt idx="1395">
                  <c:v>10961.5</c:v>
                </c:pt>
                <c:pt idx="1396">
                  <c:v>10961.5</c:v>
                </c:pt>
                <c:pt idx="1397">
                  <c:v>10961.5</c:v>
                </c:pt>
                <c:pt idx="1398">
                  <c:v>10981.5</c:v>
                </c:pt>
                <c:pt idx="1399">
                  <c:v>10981.5</c:v>
                </c:pt>
                <c:pt idx="1400">
                  <c:v>10981.5</c:v>
                </c:pt>
                <c:pt idx="1401">
                  <c:v>10981.5</c:v>
                </c:pt>
                <c:pt idx="1402">
                  <c:v>10981.5</c:v>
                </c:pt>
                <c:pt idx="1403">
                  <c:v>10981.5</c:v>
                </c:pt>
                <c:pt idx="1404">
                  <c:v>10981.5</c:v>
                </c:pt>
                <c:pt idx="1405">
                  <c:v>12081.5</c:v>
                </c:pt>
                <c:pt idx="1406">
                  <c:v>12081.5</c:v>
                </c:pt>
                <c:pt idx="1407">
                  <c:v>12081.5</c:v>
                </c:pt>
                <c:pt idx="1408">
                  <c:v>12081.5</c:v>
                </c:pt>
                <c:pt idx="1409">
                  <c:v>12081.5</c:v>
                </c:pt>
                <c:pt idx="1410">
                  <c:v>12081.5</c:v>
                </c:pt>
                <c:pt idx="1411">
                  <c:v>12081.5</c:v>
                </c:pt>
                <c:pt idx="1412">
                  <c:v>11041.5</c:v>
                </c:pt>
                <c:pt idx="1413">
                  <c:v>11041.5</c:v>
                </c:pt>
                <c:pt idx="1414">
                  <c:v>11041.5</c:v>
                </c:pt>
                <c:pt idx="1415">
                  <c:v>11041.5</c:v>
                </c:pt>
                <c:pt idx="1416">
                  <c:v>11041.5</c:v>
                </c:pt>
                <c:pt idx="1417">
                  <c:v>11041.5</c:v>
                </c:pt>
                <c:pt idx="1418">
                  <c:v>11041.5</c:v>
                </c:pt>
                <c:pt idx="1419">
                  <c:v>11441.5</c:v>
                </c:pt>
                <c:pt idx="1420">
                  <c:v>11441.5</c:v>
                </c:pt>
                <c:pt idx="1421">
                  <c:v>11441.5</c:v>
                </c:pt>
                <c:pt idx="1422">
                  <c:v>11441.5</c:v>
                </c:pt>
                <c:pt idx="1423">
                  <c:v>11441.5</c:v>
                </c:pt>
                <c:pt idx="1424">
                  <c:v>11441.5</c:v>
                </c:pt>
                <c:pt idx="1425">
                  <c:v>11441.5</c:v>
                </c:pt>
                <c:pt idx="1426">
                  <c:v>10791.5</c:v>
                </c:pt>
                <c:pt idx="1427">
                  <c:v>10791.5</c:v>
                </c:pt>
                <c:pt idx="1428">
                  <c:v>10791.5</c:v>
                </c:pt>
                <c:pt idx="1429">
                  <c:v>10791.5</c:v>
                </c:pt>
                <c:pt idx="1430">
                  <c:v>10791.5</c:v>
                </c:pt>
                <c:pt idx="1431">
                  <c:v>10791.5</c:v>
                </c:pt>
                <c:pt idx="1432">
                  <c:v>10791.5</c:v>
                </c:pt>
                <c:pt idx="1433">
                  <c:v>11288</c:v>
                </c:pt>
                <c:pt idx="1434">
                  <c:v>11288</c:v>
                </c:pt>
                <c:pt idx="1435">
                  <c:v>11288</c:v>
                </c:pt>
                <c:pt idx="1436">
                  <c:v>11288</c:v>
                </c:pt>
                <c:pt idx="1437">
                  <c:v>11288</c:v>
                </c:pt>
                <c:pt idx="1438">
                  <c:v>11288</c:v>
                </c:pt>
                <c:pt idx="1439">
                  <c:v>11288</c:v>
                </c:pt>
                <c:pt idx="1440">
                  <c:v>11993</c:v>
                </c:pt>
                <c:pt idx="1441">
                  <c:v>11993</c:v>
                </c:pt>
                <c:pt idx="1442">
                  <c:v>11993</c:v>
                </c:pt>
                <c:pt idx="1443">
                  <c:v>11993</c:v>
                </c:pt>
                <c:pt idx="1444">
                  <c:v>11993</c:v>
                </c:pt>
                <c:pt idx="1445">
                  <c:v>11993</c:v>
                </c:pt>
                <c:pt idx="1446">
                  <c:v>11993</c:v>
                </c:pt>
                <c:pt idx="1447">
                  <c:v>13499.5</c:v>
                </c:pt>
                <c:pt idx="1448">
                  <c:v>13499.5</c:v>
                </c:pt>
                <c:pt idx="1449">
                  <c:v>13499.5</c:v>
                </c:pt>
                <c:pt idx="1450">
                  <c:v>13499.5</c:v>
                </c:pt>
                <c:pt idx="1451">
                  <c:v>13499.5</c:v>
                </c:pt>
                <c:pt idx="1452">
                  <c:v>13499.5</c:v>
                </c:pt>
                <c:pt idx="1453">
                  <c:v>13499.5</c:v>
                </c:pt>
                <c:pt idx="1454">
                  <c:v>12899.5</c:v>
                </c:pt>
                <c:pt idx="1455">
                  <c:v>12899.5</c:v>
                </c:pt>
                <c:pt idx="1456">
                  <c:v>12899.5</c:v>
                </c:pt>
                <c:pt idx="1457">
                  <c:v>12899.5</c:v>
                </c:pt>
                <c:pt idx="1458">
                  <c:v>12899.5</c:v>
                </c:pt>
                <c:pt idx="1459">
                  <c:v>12899.5</c:v>
                </c:pt>
                <c:pt idx="1460">
                  <c:v>14399.5</c:v>
                </c:pt>
                <c:pt idx="1461">
                  <c:v>14399.5</c:v>
                </c:pt>
                <c:pt idx="1462">
                  <c:v>14399.5</c:v>
                </c:pt>
                <c:pt idx="1463">
                  <c:v>14399.5</c:v>
                </c:pt>
                <c:pt idx="1464">
                  <c:v>14399.5</c:v>
                </c:pt>
                <c:pt idx="1465">
                  <c:v>14399.5</c:v>
                </c:pt>
                <c:pt idx="1466">
                  <c:v>14399.5</c:v>
                </c:pt>
                <c:pt idx="1467">
                  <c:v>14399.5</c:v>
                </c:pt>
                <c:pt idx="1468">
                  <c:v>14724.5</c:v>
                </c:pt>
                <c:pt idx="1469">
                  <c:v>14724.5</c:v>
                </c:pt>
                <c:pt idx="1470">
                  <c:v>14724.5</c:v>
                </c:pt>
                <c:pt idx="1471">
                  <c:v>14724.5</c:v>
                </c:pt>
                <c:pt idx="1472">
                  <c:v>14724.5</c:v>
                </c:pt>
                <c:pt idx="1473">
                  <c:v>14724.5</c:v>
                </c:pt>
                <c:pt idx="1474">
                  <c:v>14724.5</c:v>
                </c:pt>
                <c:pt idx="1475">
                  <c:v>14737.5</c:v>
                </c:pt>
                <c:pt idx="1476">
                  <c:v>14737.5</c:v>
                </c:pt>
                <c:pt idx="1477">
                  <c:v>14737.5</c:v>
                </c:pt>
                <c:pt idx="1478">
                  <c:v>14737.5</c:v>
                </c:pt>
                <c:pt idx="1479">
                  <c:v>14737.5</c:v>
                </c:pt>
                <c:pt idx="1480">
                  <c:v>14737.5</c:v>
                </c:pt>
                <c:pt idx="1481">
                  <c:v>14737.5</c:v>
                </c:pt>
                <c:pt idx="1482">
                  <c:v>15037.5</c:v>
                </c:pt>
                <c:pt idx="1483">
                  <c:v>15037.5</c:v>
                </c:pt>
                <c:pt idx="1484">
                  <c:v>15037.5</c:v>
                </c:pt>
                <c:pt idx="1485">
                  <c:v>15037.5</c:v>
                </c:pt>
                <c:pt idx="1486">
                  <c:v>15037.5</c:v>
                </c:pt>
                <c:pt idx="1487">
                  <c:v>15037.5</c:v>
                </c:pt>
                <c:pt idx="1488">
                  <c:v>15037.5</c:v>
                </c:pt>
                <c:pt idx="1489">
                  <c:v>14907.5</c:v>
                </c:pt>
                <c:pt idx="1490">
                  <c:v>14907.5</c:v>
                </c:pt>
                <c:pt idx="1491">
                  <c:v>14907.5</c:v>
                </c:pt>
                <c:pt idx="1492">
                  <c:v>14907.5</c:v>
                </c:pt>
                <c:pt idx="1493">
                  <c:v>14907.5</c:v>
                </c:pt>
                <c:pt idx="1494">
                  <c:v>14907.5</c:v>
                </c:pt>
                <c:pt idx="1495">
                  <c:v>14907.5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E2-43C2-A9E5-4CA04C7CD3C7}"/>
            </c:ext>
          </c:extLst>
        </c:ser>
        <c:ser>
          <c:idx val="3"/>
          <c:order val="3"/>
          <c:tx>
            <c:v>Bons Islamiques du Trésor &lt; 1 an</c:v>
          </c:tx>
          <c:spPr>
            <a:solidFill>
              <a:schemeClr val="accent4">
                <a:alpha val="85000"/>
              </a:schemeClr>
            </a:solidFill>
            <a:ln w="25400"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BASE!$A$2:$A$1497</c:f>
              <c:numCache>
                <c:formatCode>m/d/yyyy</c:formatCode>
                <c:ptCount val="1496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  <c:pt idx="1495">
                  <c:v>46057</c:v>
                </c:pt>
              </c:numCache>
            </c:numRef>
          </c:cat>
          <c:val>
            <c:numRef>
              <c:f>BASE!$E$2:$E$1497</c:f>
              <c:numCache>
                <c:formatCode>_-* #\ ##0_-;\-* #\ ##0_-;_-* "-"??_-;_-@_-</c:formatCode>
                <c:ptCount val="1496"/>
                <c:pt idx="0">
                  <c:v>1515</c:v>
                </c:pt>
                <c:pt idx="1">
                  <c:v>1515</c:v>
                </c:pt>
                <c:pt idx="2">
                  <c:v>1515</c:v>
                </c:pt>
                <c:pt idx="3">
                  <c:v>1515</c:v>
                </c:pt>
                <c:pt idx="4">
                  <c:v>1515</c:v>
                </c:pt>
                <c:pt idx="5">
                  <c:v>1515</c:v>
                </c:pt>
                <c:pt idx="6">
                  <c:v>1515</c:v>
                </c:pt>
                <c:pt idx="7">
                  <c:v>1515</c:v>
                </c:pt>
                <c:pt idx="8">
                  <c:v>1515</c:v>
                </c:pt>
                <c:pt idx="9">
                  <c:v>1515</c:v>
                </c:pt>
                <c:pt idx="10">
                  <c:v>1515</c:v>
                </c:pt>
                <c:pt idx="11">
                  <c:v>1515</c:v>
                </c:pt>
                <c:pt idx="12">
                  <c:v>1515</c:v>
                </c:pt>
                <c:pt idx="13">
                  <c:v>1515</c:v>
                </c:pt>
                <c:pt idx="14">
                  <c:v>1515</c:v>
                </c:pt>
                <c:pt idx="15">
                  <c:v>1515</c:v>
                </c:pt>
                <c:pt idx="16">
                  <c:v>1515</c:v>
                </c:pt>
                <c:pt idx="17">
                  <c:v>1515</c:v>
                </c:pt>
                <c:pt idx="18">
                  <c:v>1515</c:v>
                </c:pt>
                <c:pt idx="19">
                  <c:v>1515</c:v>
                </c:pt>
                <c:pt idx="20">
                  <c:v>1515</c:v>
                </c:pt>
                <c:pt idx="21">
                  <c:v>1515</c:v>
                </c:pt>
                <c:pt idx="22">
                  <c:v>1515</c:v>
                </c:pt>
                <c:pt idx="23">
                  <c:v>1515</c:v>
                </c:pt>
                <c:pt idx="24">
                  <c:v>1220</c:v>
                </c:pt>
                <c:pt idx="25">
                  <c:v>1220</c:v>
                </c:pt>
                <c:pt idx="26">
                  <c:v>1595</c:v>
                </c:pt>
                <c:pt idx="27">
                  <c:v>1595</c:v>
                </c:pt>
                <c:pt idx="28">
                  <c:v>1595</c:v>
                </c:pt>
                <c:pt idx="29">
                  <c:v>1595</c:v>
                </c:pt>
                <c:pt idx="30">
                  <c:v>1595</c:v>
                </c:pt>
                <c:pt idx="31">
                  <c:v>1475</c:v>
                </c:pt>
                <c:pt idx="32">
                  <c:v>1475</c:v>
                </c:pt>
                <c:pt idx="33">
                  <c:v>1475</c:v>
                </c:pt>
                <c:pt idx="34">
                  <c:v>1475</c:v>
                </c:pt>
                <c:pt idx="35">
                  <c:v>1475</c:v>
                </c:pt>
                <c:pt idx="36">
                  <c:v>1475</c:v>
                </c:pt>
                <c:pt idx="37">
                  <c:v>1475</c:v>
                </c:pt>
                <c:pt idx="38">
                  <c:v>1475</c:v>
                </c:pt>
                <c:pt idx="39">
                  <c:v>1475</c:v>
                </c:pt>
                <c:pt idx="40">
                  <c:v>1475</c:v>
                </c:pt>
                <c:pt idx="41">
                  <c:v>1475</c:v>
                </c:pt>
                <c:pt idx="42">
                  <c:v>1475</c:v>
                </c:pt>
                <c:pt idx="43">
                  <c:v>1475</c:v>
                </c:pt>
                <c:pt idx="44">
                  <c:v>1475</c:v>
                </c:pt>
                <c:pt idx="45">
                  <c:v>1475</c:v>
                </c:pt>
                <c:pt idx="46">
                  <c:v>1475</c:v>
                </c:pt>
                <c:pt idx="47">
                  <c:v>1475</c:v>
                </c:pt>
                <c:pt idx="48">
                  <c:v>1475</c:v>
                </c:pt>
                <c:pt idx="49">
                  <c:v>1475</c:v>
                </c:pt>
                <c:pt idx="50">
                  <c:v>1475</c:v>
                </c:pt>
                <c:pt idx="51">
                  <c:v>1475</c:v>
                </c:pt>
                <c:pt idx="52">
                  <c:v>1475</c:v>
                </c:pt>
                <c:pt idx="53">
                  <c:v>1475</c:v>
                </c:pt>
                <c:pt idx="54">
                  <c:v>1475</c:v>
                </c:pt>
                <c:pt idx="55">
                  <c:v>1475</c:v>
                </c:pt>
                <c:pt idx="56">
                  <c:v>1475</c:v>
                </c:pt>
                <c:pt idx="57">
                  <c:v>1475</c:v>
                </c:pt>
                <c:pt idx="58">
                  <c:v>1475</c:v>
                </c:pt>
                <c:pt idx="59">
                  <c:v>1475</c:v>
                </c:pt>
                <c:pt idx="60">
                  <c:v>1475</c:v>
                </c:pt>
                <c:pt idx="61">
                  <c:v>1475</c:v>
                </c:pt>
                <c:pt idx="62">
                  <c:v>1475</c:v>
                </c:pt>
                <c:pt idx="63">
                  <c:v>1475</c:v>
                </c:pt>
                <c:pt idx="64">
                  <c:v>1475</c:v>
                </c:pt>
                <c:pt idx="65">
                  <c:v>1475</c:v>
                </c:pt>
                <c:pt idx="66">
                  <c:v>1475</c:v>
                </c:pt>
                <c:pt idx="67">
                  <c:v>1475</c:v>
                </c:pt>
                <c:pt idx="68">
                  <c:v>1475</c:v>
                </c:pt>
                <c:pt idx="69">
                  <c:v>1475</c:v>
                </c:pt>
                <c:pt idx="70">
                  <c:v>1475</c:v>
                </c:pt>
                <c:pt idx="71">
                  <c:v>1475</c:v>
                </c:pt>
                <c:pt idx="72">
                  <c:v>1475</c:v>
                </c:pt>
                <c:pt idx="73">
                  <c:v>1475</c:v>
                </c:pt>
                <c:pt idx="74">
                  <c:v>1475</c:v>
                </c:pt>
                <c:pt idx="75">
                  <c:v>1475</c:v>
                </c:pt>
                <c:pt idx="76">
                  <c:v>1475</c:v>
                </c:pt>
                <c:pt idx="77">
                  <c:v>1475</c:v>
                </c:pt>
                <c:pt idx="78">
                  <c:v>1475</c:v>
                </c:pt>
                <c:pt idx="79">
                  <c:v>1475</c:v>
                </c:pt>
                <c:pt idx="80">
                  <c:v>1475</c:v>
                </c:pt>
                <c:pt idx="81">
                  <c:v>1475</c:v>
                </c:pt>
                <c:pt idx="82">
                  <c:v>1475</c:v>
                </c:pt>
                <c:pt idx="83">
                  <c:v>1475</c:v>
                </c:pt>
                <c:pt idx="84">
                  <c:v>1475</c:v>
                </c:pt>
                <c:pt idx="85">
                  <c:v>1475</c:v>
                </c:pt>
                <c:pt idx="86">
                  <c:v>1475</c:v>
                </c:pt>
                <c:pt idx="87">
                  <c:v>1225</c:v>
                </c:pt>
                <c:pt idx="88">
                  <c:v>1225</c:v>
                </c:pt>
                <c:pt idx="89">
                  <c:v>1475</c:v>
                </c:pt>
                <c:pt idx="90">
                  <c:v>1475</c:v>
                </c:pt>
                <c:pt idx="91">
                  <c:v>1475</c:v>
                </c:pt>
                <c:pt idx="92">
                  <c:v>1475</c:v>
                </c:pt>
                <c:pt idx="93">
                  <c:v>1475</c:v>
                </c:pt>
                <c:pt idx="94">
                  <c:v>1475</c:v>
                </c:pt>
                <c:pt idx="95">
                  <c:v>1475</c:v>
                </c:pt>
                <c:pt idx="96">
                  <c:v>1475</c:v>
                </c:pt>
                <c:pt idx="97">
                  <c:v>1475</c:v>
                </c:pt>
                <c:pt idx="98">
                  <c:v>1475</c:v>
                </c:pt>
                <c:pt idx="99">
                  <c:v>1475</c:v>
                </c:pt>
                <c:pt idx="100">
                  <c:v>1475</c:v>
                </c:pt>
                <c:pt idx="101">
                  <c:v>1475</c:v>
                </c:pt>
                <c:pt idx="102">
                  <c:v>1475</c:v>
                </c:pt>
                <c:pt idx="103">
                  <c:v>1475</c:v>
                </c:pt>
                <c:pt idx="104">
                  <c:v>1475</c:v>
                </c:pt>
                <c:pt idx="105">
                  <c:v>1475</c:v>
                </c:pt>
                <c:pt idx="106">
                  <c:v>1475</c:v>
                </c:pt>
                <c:pt idx="107">
                  <c:v>1475</c:v>
                </c:pt>
                <c:pt idx="108">
                  <c:v>1475</c:v>
                </c:pt>
                <c:pt idx="109">
                  <c:v>1475</c:v>
                </c:pt>
                <c:pt idx="110">
                  <c:v>1475</c:v>
                </c:pt>
                <c:pt idx="111">
                  <c:v>1475</c:v>
                </c:pt>
                <c:pt idx="112">
                  <c:v>1475</c:v>
                </c:pt>
                <c:pt idx="113">
                  <c:v>1475</c:v>
                </c:pt>
                <c:pt idx="114">
                  <c:v>1475</c:v>
                </c:pt>
                <c:pt idx="115">
                  <c:v>1475</c:v>
                </c:pt>
                <c:pt idx="116">
                  <c:v>1475</c:v>
                </c:pt>
                <c:pt idx="117">
                  <c:v>1475</c:v>
                </c:pt>
                <c:pt idx="118">
                  <c:v>1475</c:v>
                </c:pt>
                <c:pt idx="119">
                  <c:v>1475</c:v>
                </c:pt>
                <c:pt idx="120">
                  <c:v>1475</c:v>
                </c:pt>
                <c:pt idx="121">
                  <c:v>1475</c:v>
                </c:pt>
                <c:pt idx="122">
                  <c:v>1475</c:v>
                </c:pt>
                <c:pt idx="123">
                  <c:v>1475</c:v>
                </c:pt>
                <c:pt idx="124">
                  <c:v>1475</c:v>
                </c:pt>
                <c:pt idx="125">
                  <c:v>1475</c:v>
                </c:pt>
                <c:pt idx="126">
                  <c:v>1475</c:v>
                </c:pt>
                <c:pt idx="127">
                  <c:v>1475</c:v>
                </c:pt>
                <c:pt idx="128">
                  <c:v>1475</c:v>
                </c:pt>
                <c:pt idx="129">
                  <c:v>1475</c:v>
                </c:pt>
                <c:pt idx="130">
                  <c:v>1475</c:v>
                </c:pt>
                <c:pt idx="131">
                  <c:v>1475</c:v>
                </c:pt>
                <c:pt idx="132">
                  <c:v>1475</c:v>
                </c:pt>
                <c:pt idx="133">
                  <c:v>1475</c:v>
                </c:pt>
                <c:pt idx="134">
                  <c:v>1475</c:v>
                </c:pt>
                <c:pt idx="135">
                  <c:v>1475</c:v>
                </c:pt>
                <c:pt idx="136">
                  <c:v>1475</c:v>
                </c:pt>
                <c:pt idx="137">
                  <c:v>1475</c:v>
                </c:pt>
                <c:pt idx="138">
                  <c:v>1475</c:v>
                </c:pt>
                <c:pt idx="139">
                  <c:v>1475</c:v>
                </c:pt>
                <c:pt idx="140">
                  <c:v>1475</c:v>
                </c:pt>
                <c:pt idx="141">
                  <c:v>1475</c:v>
                </c:pt>
                <c:pt idx="142">
                  <c:v>1475</c:v>
                </c:pt>
                <c:pt idx="143">
                  <c:v>1195</c:v>
                </c:pt>
                <c:pt idx="144">
                  <c:v>1195</c:v>
                </c:pt>
                <c:pt idx="145">
                  <c:v>1475</c:v>
                </c:pt>
                <c:pt idx="146">
                  <c:v>1475</c:v>
                </c:pt>
                <c:pt idx="147">
                  <c:v>1475</c:v>
                </c:pt>
                <c:pt idx="148">
                  <c:v>1475</c:v>
                </c:pt>
                <c:pt idx="149">
                  <c:v>1475</c:v>
                </c:pt>
                <c:pt idx="150">
                  <c:v>1475</c:v>
                </c:pt>
                <c:pt idx="151">
                  <c:v>1475</c:v>
                </c:pt>
                <c:pt idx="152">
                  <c:v>1475</c:v>
                </c:pt>
                <c:pt idx="153">
                  <c:v>1475</c:v>
                </c:pt>
                <c:pt idx="154">
                  <c:v>1475</c:v>
                </c:pt>
                <c:pt idx="155">
                  <c:v>1475</c:v>
                </c:pt>
                <c:pt idx="156">
                  <c:v>1475</c:v>
                </c:pt>
                <c:pt idx="157">
                  <c:v>1475</c:v>
                </c:pt>
                <c:pt idx="158">
                  <c:v>1475</c:v>
                </c:pt>
                <c:pt idx="159">
                  <c:v>1475</c:v>
                </c:pt>
                <c:pt idx="160">
                  <c:v>1475</c:v>
                </c:pt>
                <c:pt idx="161">
                  <c:v>1475</c:v>
                </c:pt>
                <c:pt idx="162">
                  <c:v>1475</c:v>
                </c:pt>
                <c:pt idx="163">
                  <c:v>1475</c:v>
                </c:pt>
                <c:pt idx="164">
                  <c:v>1475</c:v>
                </c:pt>
                <c:pt idx="165">
                  <c:v>1475</c:v>
                </c:pt>
                <c:pt idx="166">
                  <c:v>1475</c:v>
                </c:pt>
                <c:pt idx="167">
                  <c:v>1475</c:v>
                </c:pt>
                <c:pt idx="168">
                  <c:v>1475</c:v>
                </c:pt>
                <c:pt idx="169">
                  <c:v>1475</c:v>
                </c:pt>
                <c:pt idx="170">
                  <c:v>1475</c:v>
                </c:pt>
                <c:pt idx="171">
                  <c:v>1475</c:v>
                </c:pt>
                <c:pt idx="172">
                  <c:v>1475</c:v>
                </c:pt>
                <c:pt idx="173">
                  <c:v>1475</c:v>
                </c:pt>
                <c:pt idx="174">
                  <c:v>1475</c:v>
                </c:pt>
                <c:pt idx="175">
                  <c:v>1475</c:v>
                </c:pt>
                <c:pt idx="176">
                  <c:v>1475</c:v>
                </c:pt>
                <c:pt idx="177">
                  <c:v>1475</c:v>
                </c:pt>
                <c:pt idx="178">
                  <c:v>1105</c:v>
                </c:pt>
                <c:pt idx="179">
                  <c:v>1445</c:v>
                </c:pt>
                <c:pt idx="180">
                  <c:v>1445</c:v>
                </c:pt>
                <c:pt idx="181">
                  <c:v>1445</c:v>
                </c:pt>
                <c:pt idx="182">
                  <c:v>1445</c:v>
                </c:pt>
                <c:pt idx="183">
                  <c:v>1445</c:v>
                </c:pt>
                <c:pt idx="184">
                  <c:v>1445</c:v>
                </c:pt>
                <c:pt idx="185">
                  <c:v>1445</c:v>
                </c:pt>
                <c:pt idx="186">
                  <c:v>1445</c:v>
                </c:pt>
                <c:pt idx="187">
                  <c:v>1445</c:v>
                </c:pt>
                <c:pt idx="188">
                  <c:v>1445</c:v>
                </c:pt>
                <c:pt idx="189">
                  <c:v>1445</c:v>
                </c:pt>
                <c:pt idx="190">
                  <c:v>1445</c:v>
                </c:pt>
                <c:pt idx="191">
                  <c:v>1445</c:v>
                </c:pt>
                <c:pt idx="192">
                  <c:v>1445</c:v>
                </c:pt>
                <c:pt idx="193">
                  <c:v>1445</c:v>
                </c:pt>
                <c:pt idx="194">
                  <c:v>1445</c:v>
                </c:pt>
                <c:pt idx="195">
                  <c:v>1445</c:v>
                </c:pt>
                <c:pt idx="196">
                  <c:v>1445</c:v>
                </c:pt>
                <c:pt idx="197">
                  <c:v>1445</c:v>
                </c:pt>
                <c:pt idx="198">
                  <c:v>1445</c:v>
                </c:pt>
                <c:pt idx="199">
                  <c:v>1445</c:v>
                </c:pt>
                <c:pt idx="200">
                  <c:v>1445</c:v>
                </c:pt>
                <c:pt idx="201">
                  <c:v>1445</c:v>
                </c:pt>
                <c:pt idx="202">
                  <c:v>1445</c:v>
                </c:pt>
                <c:pt idx="203">
                  <c:v>1445</c:v>
                </c:pt>
                <c:pt idx="204">
                  <c:v>1445</c:v>
                </c:pt>
                <c:pt idx="205">
                  <c:v>1445</c:v>
                </c:pt>
                <c:pt idx="206">
                  <c:v>1070</c:v>
                </c:pt>
                <c:pt idx="207">
                  <c:v>1370</c:v>
                </c:pt>
                <c:pt idx="208">
                  <c:v>1370</c:v>
                </c:pt>
                <c:pt idx="209">
                  <c:v>1370</c:v>
                </c:pt>
                <c:pt idx="210">
                  <c:v>1370</c:v>
                </c:pt>
                <c:pt idx="211">
                  <c:v>1370</c:v>
                </c:pt>
                <c:pt idx="212">
                  <c:v>1370</c:v>
                </c:pt>
                <c:pt idx="213">
                  <c:v>1370</c:v>
                </c:pt>
                <c:pt idx="214">
                  <c:v>1370</c:v>
                </c:pt>
                <c:pt idx="215">
                  <c:v>1370</c:v>
                </c:pt>
                <c:pt idx="216">
                  <c:v>1370</c:v>
                </c:pt>
                <c:pt idx="217">
                  <c:v>1370</c:v>
                </c:pt>
                <c:pt idx="218">
                  <c:v>1370</c:v>
                </c:pt>
                <c:pt idx="219">
                  <c:v>1370</c:v>
                </c:pt>
                <c:pt idx="220">
                  <c:v>1370</c:v>
                </c:pt>
                <c:pt idx="221">
                  <c:v>1370</c:v>
                </c:pt>
                <c:pt idx="222">
                  <c:v>1370</c:v>
                </c:pt>
                <c:pt idx="223">
                  <c:v>1370</c:v>
                </c:pt>
                <c:pt idx="224">
                  <c:v>1370</c:v>
                </c:pt>
                <c:pt idx="225">
                  <c:v>1370</c:v>
                </c:pt>
                <c:pt idx="226">
                  <c:v>1370</c:v>
                </c:pt>
                <c:pt idx="227">
                  <c:v>1370</c:v>
                </c:pt>
                <c:pt idx="228">
                  <c:v>1370</c:v>
                </c:pt>
                <c:pt idx="229">
                  <c:v>1370</c:v>
                </c:pt>
                <c:pt idx="230">
                  <c:v>1370</c:v>
                </c:pt>
                <c:pt idx="231">
                  <c:v>1370</c:v>
                </c:pt>
                <c:pt idx="232">
                  <c:v>1370</c:v>
                </c:pt>
                <c:pt idx="233">
                  <c:v>1370</c:v>
                </c:pt>
                <c:pt idx="234">
                  <c:v>1370</c:v>
                </c:pt>
                <c:pt idx="235">
                  <c:v>1370</c:v>
                </c:pt>
                <c:pt idx="236">
                  <c:v>1370</c:v>
                </c:pt>
                <c:pt idx="237">
                  <c:v>1370</c:v>
                </c:pt>
                <c:pt idx="238">
                  <c:v>1370</c:v>
                </c:pt>
                <c:pt idx="239">
                  <c:v>1370</c:v>
                </c:pt>
                <c:pt idx="240">
                  <c:v>1370</c:v>
                </c:pt>
                <c:pt idx="241">
                  <c:v>1370</c:v>
                </c:pt>
                <c:pt idx="242">
                  <c:v>1370</c:v>
                </c:pt>
                <c:pt idx="243">
                  <c:v>1370</c:v>
                </c:pt>
                <c:pt idx="244">
                  <c:v>1370</c:v>
                </c:pt>
                <c:pt idx="245">
                  <c:v>1370</c:v>
                </c:pt>
                <c:pt idx="246">
                  <c:v>1370</c:v>
                </c:pt>
                <c:pt idx="247">
                  <c:v>1370</c:v>
                </c:pt>
                <c:pt idx="248">
                  <c:v>1370</c:v>
                </c:pt>
                <c:pt idx="249">
                  <c:v>1370</c:v>
                </c:pt>
                <c:pt idx="250">
                  <c:v>1370</c:v>
                </c:pt>
                <c:pt idx="251">
                  <c:v>1370</c:v>
                </c:pt>
                <c:pt idx="252">
                  <c:v>1370</c:v>
                </c:pt>
                <c:pt idx="253">
                  <c:v>1370</c:v>
                </c:pt>
                <c:pt idx="254">
                  <c:v>1370</c:v>
                </c:pt>
                <c:pt idx="255">
                  <c:v>1370</c:v>
                </c:pt>
                <c:pt idx="256">
                  <c:v>1370</c:v>
                </c:pt>
                <c:pt idx="257">
                  <c:v>1370</c:v>
                </c:pt>
                <c:pt idx="258">
                  <c:v>1370</c:v>
                </c:pt>
                <c:pt idx="259">
                  <c:v>1370</c:v>
                </c:pt>
                <c:pt idx="260">
                  <c:v>1370</c:v>
                </c:pt>
                <c:pt idx="261">
                  <c:v>1370</c:v>
                </c:pt>
                <c:pt idx="262">
                  <c:v>1370</c:v>
                </c:pt>
                <c:pt idx="263">
                  <c:v>1370</c:v>
                </c:pt>
                <c:pt idx="264">
                  <c:v>1370</c:v>
                </c:pt>
                <c:pt idx="265">
                  <c:v>1370</c:v>
                </c:pt>
                <c:pt idx="266">
                  <c:v>1370</c:v>
                </c:pt>
                <c:pt idx="267">
                  <c:v>1370</c:v>
                </c:pt>
                <c:pt idx="268">
                  <c:v>1370</c:v>
                </c:pt>
                <c:pt idx="269">
                  <c:v>1120</c:v>
                </c:pt>
                <c:pt idx="270">
                  <c:v>1120</c:v>
                </c:pt>
                <c:pt idx="271">
                  <c:v>1390</c:v>
                </c:pt>
                <c:pt idx="272">
                  <c:v>1390</c:v>
                </c:pt>
                <c:pt idx="273">
                  <c:v>1390</c:v>
                </c:pt>
                <c:pt idx="274">
                  <c:v>1390</c:v>
                </c:pt>
                <c:pt idx="275">
                  <c:v>1390</c:v>
                </c:pt>
                <c:pt idx="276">
                  <c:v>1390</c:v>
                </c:pt>
                <c:pt idx="277">
                  <c:v>1390</c:v>
                </c:pt>
                <c:pt idx="278">
                  <c:v>1390</c:v>
                </c:pt>
                <c:pt idx="279">
                  <c:v>1390</c:v>
                </c:pt>
                <c:pt idx="280">
                  <c:v>1390</c:v>
                </c:pt>
                <c:pt idx="281">
                  <c:v>1390</c:v>
                </c:pt>
                <c:pt idx="282">
                  <c:v>1390</c:v>
                </c:pt>
                <c:pt idx="283">
                  <c:v>1390</c:v>
                </c:pt>
                <c:pt idx="284">
                  <c:v>1390</c:v>
                </c:pt>
                <c:pt idx="285">
                  <c:v>1390</c:v>
                </c:pt>
                <c:pt idx="286">
                  <c:v>1390</c:v>
                </c:pt>
                <c:pt idx="287">
                  <c:v>1390</c:v>
                </c:pt>
                <c:pt idx="288">
                  <c:v>1390</c:v>
                </c:pt>
                <c:pt idx="289">
                  <c:v>1390</c:v>
                </c:pt>
                <c:pt idx="290">
                  <c:v>1390</c:v>
                </c:pt>
                <c:pt idx="291">
                  <c:v>1390</c:v>
                </c:pt>
                <c:pt idx="292">
                  <c:v>1390</c:v>
                </c:pt>
                <c:pt idx="293">
                  <c:v>1390</c:v>
                </c:pt>
                <c:pt idx="294">
                  <c:v>1390</c:v>
                </c:pt>
                <c:pt idx="295">
                  <c:v>1390</c:v>
                </c:pt>
                <c:pt idx="296">
                  <c:v>1390</c:v>
                </c:pt>
                <c:pt idx="297">
                  <c:v>1390</c:v>
                </c:pt>
                <c:pt idx="298">
                  <c:v>1390</c:v>
                </c:pt>
                <c:pt idx="299">
                  <c:v>1510</c:v>
                </c:pt>
                <c:pt idx="300">
                  <c:v>1510</c:v>
                </c:pt>
                <c:pt idx="301">
                  <c:v>1510</c:v>
                </c:pt>
                <c:pt idx="302">
                  <c:v>1510</c:v>
                </c:pt>
                <c:pt idx="303">
                  <c:v>1510</c:v>
                </c:pt>
                <c:pt idx="304">
                  <c:v>1510</c:v>
                </c:pt>
                <c:pt idx="305">
                  <c:v>1510</c:v>
                </c:pt>
                <c:pt idx="306">
                  <c:v>1510</c:v>
                </c:pt>
                <c:pt idx="307">
                  <c:v>1510</c:v>
                </c:pt>
                <c:pt idx="308">
                  <c:v>1510</c:v>
                </c:pt>
                <c:pt idx="309">
                  <c:v>1510</c:v>
                </c:pt>
                <c:pt idx="310">
                  <c:v>1510</c:v>
                </c:pt>
                <c:pt idx="311">
                  <c:v>1510</c:v>
                </c:pt>
                <c:pt idx="312">
                  <c:v>1510</c:v>
                </c:pt>
                <c:pt idx="313">
                  <c:v>1510</c:v>
                </c:pt>
                <c:pt idx="314">
                  <c:v>1510</c:v>
                </c:pt>
                <c:pt idx="315">
                  <c:v>1510</c:v>
                </c:pt>
                <c:pt idx="316">
                  <c:v>1510</c:v>
                </c:pt>
                <c:pt idx="317">
                  <c:v>1510</c:v>
                </c:pt>
                <c:pt idx="318">
                  <c:v>1510</c:v>
                </c:pt>
                <c:pt idx="319">
                  <c:v>1510</c:v>
                </c:pt>
                <c:pt idx="320">
                  <c:v>1510</c:v>
                </c:pt>
                <c:pt idx="321">
                  <c:v>1510</c:v>
                </c:pt>
                <c:pt idx="322">
                  <c:v>1510</c:v>
                </c:pt>
                <c:pt idx="323">
                  <c:v>1510</c:v>
                </c:pt>
                <c:pt idx="324">
                  <c:v>1510</c:v>
                </c:pt>
                <c:pt idx="325">
                  <c:v>1510</c:v>
                </c:pt>
                <c:pt idx="326">
                  <c:v>1510</c:v>
                </c:pt>
                <c:pt idx="327">
                  <c:v>1510</c:v>
                </c:pt>
                <c:pt idx="328">
                  <c:v>1510</c:v>
                </c:pt>
                <c:pt idx="329">
                  <c:v>1510</c:v>
                </c:pt>
                <c:pt idx="330">
                  <c:v>1510</c:v>
                </c:pt>
                <c:pt idx="331">
                  <c:v>1510</c:v>
                </c:pt>
                <c:pt idx="332">
                  <c:v>1510</c:v>
                </c:pt>
                <c:pt idx="333">
                  <c:v>1510</c:v>
                </c:pt>
                <c:pt idx="334">
                  <c:v>1510</c:v>
                </c:pt>
                <c:pt idx="335">
                  <c:v>1510</c:v>
                </c:pt>
                <c:pt idx="336">
                  <c:v>1510</c:v>
                </c:pt>
                <c:pt idx="337">
                  <c:v>1510</c:v>
                </c:pt>
                <c:pt idx="338">
                  <c:v>1510</c:v>
                </c:pt>
                <c:pt idx="339">
                  <c:v>1510</c:v>
                </c:pt>
                <c:pt idx="340">
                  <c:v>1510</c:v>
                </c:pt>
                <c:pt idx="341">
                  <c:v>1510</c:v>
                </c:pt>
                <c:pt idx="342">
                  <c:v>1510</c:v>
                </c:pt>
                <c:pt idx="343">
                  <c:v>1510</c:v>
                </c:pt>
                <c:pt idx="344">
                  <c:v>1510</c:v>
                </c:pt>
                <c:pt idx="345">
                  <c:v>1510</c:v>
                </c:pt>
                <c:pt idx="346">
                  <c:v>1510</c:v>
                </c:pt>
                <c:pt idx="347">
                  <c:v>1510</c:v>
                </c:pt>
                <c:pt idx="348">
                  <c:v>1510</c:v>
                </c:pt>
                <c:pt idx="349">
                  <c:v>1510</c:v>
                </c:pt>
                <c:pt idx="350">
                  <c:v>1510</c:v>
                </c:pt>
                <c:pt idx="351">
                  <c:v>1510</c:v>
                </c:pt>
                <c:pt idx="352">
                  <c:v>1510</c:v>
                </c:pt>
                <c:pt idx="353">
                  <c:v>1510</c:v>
                </c:pt>
                <c:pt idx="354">
                  <c:v>1510</c:v>
                </c:pt>
                <c:pt idx="355">
                  <c:v>1510</c:v>
                </c:pt>
                <c:pt idx="356">
                  <c:v>1510</c:v>
                </c:pt>
                <c:pt idx="357">
                  <c:v>1510</c:v>
                </c:pt>
                <c:pt idx="358">
                  <c:v>1510</c:v>
                </c:pt>
                <c:pt idx="359">
                  <c:v>1510</c:v>
                </c:pt>
                <c:pt idx="360">
                  <c:v>1170</c:v>
                </c:pt>
                <c:pt idx="361">
                  <c:v>1170</c:v>
                </c:pt>
                <c:pt idx="362">
                  <c:v>2030</c:v>
                </c:pt>
                <c:pt idx="363">
                  <c:v>2030</c:v>
                </c:pt>
                <c:pt idx="364">
                  <c:v>2030</c:v>
                </c:pt>
                <c:pt idx="365">
                  <c:v>2030</c:v>
                </c:pt>
                <c:pt idx="366">
                  <c:v>2030</c:v>
                </c:pt>
                <c:pt idx="367">
                  <c:v>2030</c:v>
                </c:pt>
                <c:pt idx="368">
                  <c:v>2030</c:v>
                </c:pt>
                <c:pt idx="369">
                  <c:v>2030</c:v>
                </c:pt>
                <c:pt idx="370">
                  <c:v>2030</c:v>
                </c:pt>
                <c:pt idx="371">
                  <c:v>2030</c:v>
                </c:pt>
                <c:pt idx="372">
                  <c:v>2030</c:v>
                </c:pt>
                <c:pt idx="373">
                  <c:v>2030</c:v>
                </c:pt>
                <c:pt idx="374">
                  <c:v>2030</c:v>
                </c:pt>
                <c:pt idx="375">
                  <c:v>2030</c:v>
                </c:pt>
                <c:pt idx="376">
                  <c:v>2030</c:v>
                </c:pt>
                <c:pt idx="377">
                  <c:v>2030</c:v>
                </c:pt>
                <c:pt idx="378">
                  <c:v>2030</c:v>
                </c:pt>
                <c:pt idx="379">
                  <c:v>2030</c:v>
                </c:pt>
                <c:pt idx="380">
                  <c:v>2030</c:v>
                </c:pt>
                <c:pt idx="381">
                  <c:v>2030</c:v>
                </c:pt>
                <c:pt idx="382">
                  <c:v>2030</c:v>
                </c:pt>
                <c:pt idx="383">
                  <c:v>2030</c:v>
                </c:pt>
                <c:pt idx="384">
                  <c:v>2030</c:v>
                </c:pt>
                <c:pt idx="385">
                  <c:v>2030</c:v>
                </c:pt>
                <c:pt idx="386">
                  <c:v>2030</c:v>
                </c:pt>
                <c:pt idx="387">
                  <c:v>2030</c:v>
                </c:pt>
                <c:pt idx="388">
                  <c:v>1730</c:v>
                </c:pt>
                <c:pt idx="389">
                  <c:v>1730</c:v>
                </c:pt>
                <c:pt idx="390">
                  <c:v>1730</c:v>
                </c:pt>
                <c:pt idx="391">
                  <c:v>1730</c:v>
                </c:pt>
                <c:pt idx="392">
                  <c:v>1730</c:v>
                </c:pt>
                <c:pt idx="393">
                  <c:v>1730</c:v>
                </c:pt>
                <c:pt idx="394">
                  <c:v>1730</c:v>
                </c:pt>
                <c:pt idx="395">
                  <c:v>1730</c:v>
                </c:pt>
                <c:pt idx="396">
                  <c:v>1730</c:v>
                </c:pt>
                <c:pt idx="397">
                  <c:v>1730</c:v>
                </c:pt>
                <c:pt idx="398">
                  <c:v>1730</c:v>
                </c:pt>
                <c:pt idx="399">
                  <c:v>1730</c:v>
                </c:pt>
                <c:pt idx="400">
                  <c:v>1730</c:v>
                </c:pt>
                <c:pt idx="401">
                  <c:v>1730</c:v>
                </c:pt>
                <c:pt idx="402">
                  <c:v>1730</c:v>
                </c:pt>
                <c:pt idx="403">
                  <c:v>1730</c:v>
                </c:pt>
                <c:pt idx="404">
                  <c:v>1730</c:v>
                </c:pt>
                <c:pt idx="405">
                  <c:v>1730</c:v>
                </c:pt>
                <c:pt idx="406">
                  <c:v>1730</c:v>
                </c:pt>
                <c:pt idx="407">
                  <c:v>1730</c:v>
                </c:pt>
                <c:pt idx="408">
                  <c:v>1730</c:v>
                </c:pt>
                <c:pt idx="409">
                  <c:v>1730</c:v>
                </c:pt>
                <c:pt idx="410">
                  <c:v>1730</c:v>
                </c:pt>
                <c:pt idx="411">
                  <c:v>1730</c:v>
                </c:pt>
                <c:pt idx="412">
                  <c:v>1730</c:v>
                </c:pt>
                <c:pt idx="413">
                  <c:v>1730</c:v>
                </c:pt>
                <c:pt idx="414">
                  <c:v>1730</c:v>
                </c:pt>
                <c:pt idx="415">
                  <c:v>1730</c:v>
                </c:pt>
                <c:pt idx="416">
                  <c:v>1730</c:v>
                </c:pt>
                <c:pt idx="417">
                  <c:v>1730</c:v>
                </c:pt>
                <c:pt idx="418">
                  <c:v>2330</c:v>
                </c:pt>
                <c:pt idx="419">
                  <c:v>2330</c:v>
                </c:pt>
                <c:pt idx="420">
                  <c:v>2330</c:v>
                </c:pt>
                <c:pt idx="421">
                  <c:v>2330</c:v>
                </c:pt>
                <c:pt idx="422">
                  <c:v>2330</c:v>
                </c:pt>
                <c:pt idx="423">
                  <c:v>2330</c:v>
                </c:pt>
                <c:pt idx="424">
                  <c:v>2330</c:v>
                </c:pt>
                <c:pt idx="425">
                  <c:v>2330</c:v>
                </c:pt>
                <c:pt idx="426">
                  <c:v>2330</c:v>
                </c:pt>
                <c:pt idx="427">
                  <c:v>2330</c:v>
                </c:pt>
                <c:pt idx="428">
                  <c:v>2330</c:v>
                </c:pt>
                <c:pt idx="429">
                  <c:v>2330</c:v>
                </c:pt>
                <c:pt idx="430">
                  <c:v>2330</c:v>
                </c:pt>
                <c:pt idx="431">
                  <c:v>2330</c:v>
                </c:pt>
                <c:pt idx="432">
                  <c:v>2330</c:v>
                </c:pt>
                <c:pt idx="433">
                  <c:v>2330</c:v>
                </c:pt>
                <c:pt idx="434">
                  <c:v>2330</c:v>
                </c:pt>
                <c:pt idx="435">
                  <c:v>2330</c:v>
                </c:pt>
                <c:pt idx="436">
                  <c:v>2330</c:v>
                </c:pt>
                <c:pt idx="437">
                  <c:v>2330</c:v>
                </c:pt>
                <c:pt idx="438">
                  <c:v>2330</c:v>
                </c:pt>
                <c:pt idx="439">
                  <c:v>2330</c:v>
                </c:pt>
                <c:pt idx="440">
                  <c:v>2330</c:v>
                </c:pt>
                <c:pt idx="441">
                  <c:v>2330</c:v>
                </c:pt>
                <c:pt idx="442">
                  <c:v>2330</c:v>
                </c:pt>
                <c:pt idx="443">
                  <c:v>2330</c:v>
                </c:pt>
                <c:pt idx="444">
                  <c:v>2330</c:v>
                </c:pt>
                <c:pt idx="445">
                  <c:v>2330</c:v>
                </c:pt>
                <c:pt idx="446">
                  <c:v>2330</c:v>
                </c:pt>
                <c:pt idx="447">
                  <c:v>2330</c:v>
                </c:pt>
                <c:pt idx="448">
                  <c:v>2330</c:v>
                </c:pt>
                <c:pt idx="449">
                  <c:v>2330</c:v>
                </c:pt>
                <c:pt idx="450">
                  <c:v>2330</c:v>
                </c:pt>
                <c:pt idx="451">
                  <c:v>1660</c:v>
                </c:pt>
                <c:pt idx="452">
                  <c:v>1660</c:v>
                </c:pt>
                <c:pt idx="453">
                  <c:v>2460</c:v>
                </c:pt>
                <c:pt idx="454">
                  <c:v>2460</c:v>
                </c:pt>
                <c:pt idx="455">
                  <c:v>2460</c:v>
                </c:pt>
                <c:pt idx="456">
                  <c:v>2460</c:v>
                </c:pt>
                <c:pt idx="457">
                  <c:v>2460</c:v>
                </c:pt>
                <c:pt idx="458">
                  <c:v>2460</c:v>
                </c:pt>
                <c:pt idx="459">
                  <c:v>2460</c:v>
                </c:pt>
                <c:pt idx="460">
                  <c:v>2460</c:v>
                </c:pt>
                <c:pt idx="461">
                  <c:v>2460</c:v>
                </c:pt>
                <c:pt idx="462">
                  <c:v>2460</c:v>
                </c:pt>
                <c:pt idx="463">
                  <c:v>2460</c:v>
                </c:pt>
                <c:pt idx="464">
                  <c:v>2460</c:v>
                </c:pt>
                <c:pt idx="465">
                  <c:v>2460</c:v>
                </c:pt>
                <c:pt idx="466">
                  <c:v>2460</c:v>
                </c:pt>
                <c:pt idx="467">
                  <c:v>2460</c:v>
                </c:pt>
                <c:pt idx="468">
                  <c:v>2460</c:v>
                </c:pt>
                <c:pt idx="469">
                  <c:v>2460</c:v>
                </c:pt>
                <c:pt idx="470">
                  <c:v>2460</c:v>
                </c:pt>
                <c:pt idx="471">
                  <c:v>2460</c:v>
                </c:pt>
                <c:pt idx="472">
                  <c:v>2460</c:v>
                </c:pt>
                <c:pt idx="473">
                  <c:v>2460</c:v>
                </c:pt>
                <c:pt idx="474">
                  <c:v>2460</c:v>
                </c:pt>
                <c:pt idx="475">
                  <c:v>2460</c:v>
                </c:pt>
                <c:pt idx="476">
                  <c:v>2460</c:v>
                </c:pt>
                <c:pt idx="477">
                  <c:v>2460</c:v>
                </c:pt>
                <c:pt idx="478">
                  <c:v>2460</c:v>
                </c:pt>
                <c:pt idx="479">
                  <c:v>2340</c:v>
                </c:pt>
                <c:pt idx="480">
                  <c:v>2340</c:v>
                </c:pt>
                <c:pt idx="481">
                  <c:v>2390</c:v>
                </c:pt>
                <c:pt idx="482">
                  <c:v>2390</c:v>
                </c:pt>
                <c:pt idx="483">
                  <c:v>2390</c:v>
                </c:pt>
                <c:pt idx="484">
                  <c:v>2390</c:v>
                </c:pt>
                <c:pt idx="485">
                  <c:v>2390</c:v>
                </c:pt>
                <c:pt idx="486">
                  <c:v>2390</c:v>
                </c:pt>
                <c:pt idx="487">
                  <c:v>2390</c:v>
                </c:pt>
                <c:pt idx="488">
                  <c:v>2390</c:v>
                </c:pt>
                <c:pt idx="489">
                  <c:v>2390</c:v>
                </c:pt>
                <c:pt idx="490">
                  <c:v>2390</c:v>
                </c:pt>
                <c:pt idx="491">
                  <c:v>2390</c:v>
                </c:pt>
                <c:pt idx="492">
                  <c:v>2390</c:v>
                </c:pt>
                <c:pt idx="493">
                  <c:v>2390</c:v>
                </c:pt>
                <c:pt idx="494">
                  <c:v>2390</c:v>
                </c:pt>
                <c:pt idx="495">
                  <c:v>2390</c:v>
                </c:pt>
                <c:pt idx="496">
                  <c:v>2390</c:v>
                </c:pt>
                <c:pt idx="497">
                  <c:v>2390</c:v>
                </c:pt>
                <c:pt idx="498">
                  <c:v>2390</c:v>
                </c:pt>
                <c:pt idx="499">
                  <c:v>2390</c:v>
                </c:pt>
                <c:pt idx="500">
                  <c:v>2390</c:v>
                </c:pt>
                <c:pt idx="501">
                  <c:v>2390</c:v>
                </c:pt>
                <c:pt idx="502">
                  <c:v>2390</c:v>
                </c:pt>
                <c:pt idx="503">
                  <c:v>2390</c:v>
                </c:pt>
                <c:pt idx="504">
                  <c:v>2390</c:v>
                </c:pt>
                <c:pt idx="505">
                  <c:v>2390</c:v>
                </c:pt>
                <c:pt idx="506">
                  <c:v>2390</c:v>
                </c:pt>
                <c:pt idx="507">
                  <c:v>2390</c:v>
                </c:pt>
                <c:pt idx="508">
                  <c:v>2390</c:v>
                </c:pt>
                <c:pt idx="509">
                  <c:v>2090</c:v>
                </c:pt>
                <c:pt idx="510">
                  <c:v>2090</c:v>
                </c:pt>
                <c:pt idx="511">
                  <c:v>2090</c:v>
                </c:pt>
                <c:pt idx="512">
                  <c:v>2090</c:v>
                </c:pt>
                <c:pt idx="513">
                  <c:v>2090</c:v>
                </c:pt>
                <c:pt idx="514">
                  <c:v>2090</c:v>
                </c:pt>
                <c:pt idx="515">
                  <c:v>2090</c:v>
                </c:pt>
                <c:pt idx="516">
                  <c:v>2090</c:v>
                </c:pt>
                <c:pt idx="517">
                  <c:v>2090</c:v>
                </c:pt>
                <c:pt idx="518">
                  <c:v>2090</c:v>
                </c:pt>
                <c:pt idx="519">
                  <c:v>2090</c:v>
                </c:pt>
                <c:pt idx="520">
                  <c:v>2090</c:v>
                </c:pt>
                <c:pt idx="521">
                  <c:v>2090</c:v>
                </c:pt>
                <c:pt idx="522">
                  <c:v>2090</c:v>
                </c:pt>
                <c:pt idx="523">
                  <c:v>2090</c:v>
                </c:pt>
                <c:pt idx="524">
                  <c:v>2090</c:v>
                </c:pt>
                <c:pt idx="525">
                  <c:v>2090</c:v>
                </c:pt>
                <c:pt idx="526">
                  <c:v>2090</c:v>
                </c:pt>
                <c:pt idx="527">
                  <c:v>2090</c:v>
                </c:pt>
                <c:pt idx="528">
                  <c:v>2090</c:v>
                </c:pt>
                <c:pt idx="529">
                  <c:v>2090</c:v>
                </c:pt>
                <c:pt idx="530">
                  <c:v>2090</c:v>
                </c:pt>
                <c:pt idx="531">
                  <c:v>2090</c:v>
                </c:pt>
                <c:pt idx="532">
                  <c:v>2090</c:v>
                </c:pt>
                <c:pt idx="533">
                  <c:v>2090</c:v>
                </c:pt>
                <c:pt idx="534">
                  <c:v>2090</c:v>
                </c:pt>
                <c:pt idx="535">
                  <c:v>2090</c:v>
                </c:pt>
                <c:pt idx="536">
                  <c:v>2090</c:v>
                </c:pt>
                <c:pt idx="537">
                  <c:v>2090</c:v>
                </c:pt>
                <c:pt idx="538">
                  <c:v>2090</c:v>
                </c:pt>
                <c:pt idx="539">
                  <c:v>2090</c:v>
                </c:pt>
                <c:pt idx="540">
                  <c:v>2090</c:v>
                </c:pt>
                <c:pt idx="541">
                  <c:v>2090</c:v>
                </c:pt>
                <c:pt idx="542">
                  <c:v>1950</c:v>
                </c:pt>
                <c:pt idx="543">
                  <c:v>1950</c:v>
                </c:pt>
                <c:pt idx="544">
                  <c:v>2350</c:v>
                </c:pt>
                <c:pt idx="545">
                  <c:v>2350</c:v>
                </c:pt>
                <c:pt idx="546">
                  <c:v>2350</c:v>
                </c:pt>
                <c:pt idx="547">
                  <c:v>2350</c:v>
                </c:pt>
                <c:pt idx="548">
                  <c:v>2350</c:v>
                </c:pt>
                <c:pt idx="549">
                  <c:v>2350</c:v>
                </c:pt>
                <c:pt idx="550">
                  <c:v>2350</c:v>
                </c:pt>
                <c:pt idx="551">
                  <c:v>2350</c:v>
                </c:pt>
                <c:pt idx="552">
                  <c:v>2350</c:v>
                </c:pt>
                <c:pt idx="553">
                  <c:v>2350</c:v>
                </c:pt>
                <c:pt idx="554">
                  <c:v>2350</c:v>
                </c:pt>
                <c:pt idx="555">
                  <c:v>2350</c:v>
                </c:pt>
                <c:pt idx="556">
                  <c:v>2350</c:v>
                </c:pt>
                <c:pt idx="557">
                  <c:v>2350</c:v>
                </c:pt>
                <c:pt idx="558">
                  <c:v>2350</c:v>
                </c:pt>
                <c:pt idx="559">
                  <c:v>2350</c:v>
                </c:pt>
                <c:pt idx="560">
                  <c:v>2350</c:v>
                </c:pt>
                <c:pt idx="561">
                  <c:v>2350</c:v>
                </c:pt>
                <c:pt idx="562">
                  <c:v>2350</c:v>
                </c:pt>
                <c:pt idx="563">
                  <c:v>2350</c:v>
                </c:pt>
                <c:pt idx="564">
                  <c:v>2350</c:v>
                </c:pt>
                <c:pt idx="565">
                  <c:v>2350</c:v>
                </c:pt>
                <c:pt idx="566">
                  <c:v>2350</c:v>
                </c:pt>
                <c:pt idx="567">
                  <c:v>2350</c:v>
                </c:pt>
                <c:pt idx="568">
                  <c:v>2350</c:v>
                </c:pt>
                <c:pt idx="569">
                  <c:v>2350</c:v>
                </c:pt>
                <c:pt idx="570">
                  <c:v>1850</c:v>
                </c:pt>
                <c:pt idx="571">
                  <c:v>1850</c:v>
                </c:pt>
                <c:pt idx="572">
                  <c:v>2350</c:v>
                </c:pt>
                <c:pt idx="573">
                  <c:v>2350</c:v>
                </c:pt>
                <c:pt idx="574">
                  <c:v>2350</c:v>
                </c:pt>
                <c:pt idx="575">
                  <c:v>2350</c:v>
                </c:pt>
                <c:pt idx="576">
                  <c:v>2350</c:v>
                </c:pt>
                <c:pt idx="577">
                  <c:v>2350</c:v>
                </c:pt>
                <c:pt idx="578">
                  <c:v>2350</c:v>
                </c:pt>
                <c:pt idx="579">
                  <c:v>2350</c:v>
                </c:pt>
                <c:pt idx="580">
                  <c:v>2350</c:v>
                </c:pt>
                <c:pt idx="581">
                  <c:v>2350</c:v>
                </c:pt>
                <c:pt idx="582">
                  <c:v>2350</c:v>
                </c:pt>
                <c:pt idx="583">
                  <c:v>2350</c:v>
                </c:pt>
                <c:pt idx="584">
                  <c:v>2350</c:v>
                </c:pt>
                <c:pt idx="585">
                  <c:v>2350</c:v>
                </c:pt>
                <c:pt idx="586">
                  <c:v>2350</c:v>
                </c:pt>
                <c:pt idx="587">
                  <c:v>2350</c:v>
                </c:pt>
                <c:pt idx="588">
                  <c:v>2350</c:v>
                </c:pt>
                <c:pt idx="589">
                  <c:v>2350</c:v>
                </c:pt>
                <c:pt idx="590">
                  <c:v>2350</c:v>
                </c:pt>
                <c:pt idx="591">
                  <c:v>2350</c:v>
                </c:pt>
                <c:pt idx="592">
                  <c:v>2350</c:v>
                </c:pt>
                <c:pt idx="593">
                  <c:v>2350</c:v>
                </c:pt>
                <c:pt idx="594">
                  <c:v>2350</c:v>
                </c:pt>
                <c:pt idx="595">
                  <c:v>2350</c:v>
                </c:pt>
                <c:pt idx="596">
                  <c:v>2350</c:v>
                </c:pt>
                <c:pt idx="597">
                  <c:v>2350</c:v>
                </c:pt>
                <c:pt idx="598">
                  <c:v>2350</c:v>
                </c:pt>
                <c:pt idx="599">
                  <c:v>2350</c:v>
                </c:pt>
                <c:pt idx="600">
                  <c:v>2350</c:v>
                </c:pt>
                <c:pt idx="601">
                  <c:v>2350</c:v>
                </c:pt>
                <c:pt idx="602">
                  <c:v>2350</c:v>
                </c:pt>
                <c:pt idx="603">
                  <c:v>2350</c:v>
                </c:pt>
                <c:pt idx="604">
                  <c:v>2350</c:v>
                </c:pt>
                <c:pt idx="605">
                  <c:v>2350</c:v>
                </c:pt>
                <c:pt idx="606">
                  <c:v>2350</c:v>
                </c:pt>
                <c:pt idx="607">
                  <c:v>2350</c:v>
                </c:pt>
                <c:pt idx="608">
                  <c:v>2350</c:v>
                </c:pt>
                <c:pt idx="609">
                  <c:v>2350</c:v>
                </c:pt>
                <c:pt idx="610">
                  <c:v>2350</c:v>
                </c:pt>
                <c:pt idx="611">
                  <c:v>2350</c:v>
                </c:pt>
                <c:pt idx="612">
                  <c:v>2350</c:v>
                </c:pt>
                <c:pt idx="613">
                  <c:v>2350</c:v>
                </c:pt>
                <c:pt idx="614">
                  <c:v>2350</c:v>
                </c:pt>
                <c:pt idx="615">
                  <c:v>2350</c:v>
                </c:pt>
                <c:pt idx="616">
                  <c:v>2350</c:v>
                </c:pt>
                <c:pt idx="617">
                  <c:v>2350</c:v>
                </c:pt>
                <c:pt idx="618">
                  <c:v>2350</c:v>
                </c:pt>
                <c:pt idx="619">
                  <c:v>2350</c:v>
                </c:pt>
                <c:pt idx="620">
                  <c:v>2350</c:v>
                </c:pt>
                <c:pt idx="621">
                  <c:v>2350</c:v>
                </c:pt>
                <c:pt idx="622">
                  <c:v>2350</c:v>
                </c:pt>
                <c:pt idx="623">
                  <c:v>2350</c:v>
                </c:pt>
                <c:pt idx="624">
                  <c:v>2350</c:v>
                </c:pt>
                <c:pt idx="625">
                  <c:v>2350</c:v>
                </c:pt>
                <c:pt idx="626">
                  <c:v>2350</c:v>
                </c:pt>
                <c:pt idx="627">
                  <c:v>2350</c:v>
                </c:pt>
                <c:pt idx="628">
                  <c:v>2350</c:v>
                </c:pt>
                <c:pt idx="629">
                  <c:v>2350</c:v>
                </c:pt>
                <c:pt idx="630">
                  <c:v>2350</c:v>
                </c:pt>
                <c:pt idx="631">
                  <c:v>2350</c:v>
                </c:pt>
                <c:pt idx="632">
                  <c:v>2350</c:v>
                </c:pt>
                <c:pt idx="633">
                  <c:v>2350</c:v>
                </c:pt>
                <c:pt idx="634">
                  <c:v>2350</c:v>
                </c:pt>
                <c:pt idx="635">
                  <c:v>2350</c:v>
                </c:pt>
                <c:pt idx="636">
                  <c:v>2350</c:v>
                </c:pt>
                <c:pt idx="637">
                  <c:v>2350</c:v>
                </c:pt>
                <c:pt idx="638">
                  <c:v>2350</c:v>
                </c:pt>
                <c:pt idx="639">
                  <c:v>2350</c:v>
                </c:pt>
                <c:pt idx="640">
                  <c:v>2350</c:v>
                </c:pt>
                <c:pt idx="641">
                  <c:v>2350</c:v>
                </c:pt>
                <c:pt idx="642">
                  <c:v>2350</c:v>
                </c:pt>
                <c:pt idx="643">
                  <c:v>2350</c:v>
                </c:pt>
                <c:pt idx="644">
                  <c:v>2350</c:v>
                </c:pt>
                <c:pt idx="645">
                  <c:v>2350</c:v>
                </c:pt>
                <c:pt idx="646">
                  <c:v>2350</c:v>
                </c:pt>
                <c:pt idx="647">
                  <c:v>2350</c:v>
                </c:pt>
                <c:pt idx="648">
                  <c:v>2350</c:v>
                </c:pt>
                <c:pt idx="649">
                  <c:v>2350</c:v>
                </c:pt>
                <c:pt idx="650">
                  <c:v>2350</c:v>
                </c:pt>
                <c:pt idx="651">
                  <c:v>2350</c:v>
                </c:pt>
                <c:pt idx="652">
                  <c:v>2350</c:v>
                </c:pt>
                <c:pt idx="653">
                  <c:v>2350</c:v>
                </c:pt>
                <c:pt idx="654">
                  <c:v>2350</c:v>
                </c:pt>
                <c:pt idx="655">
                  <c:v>2350</c:v>
                </c:pt>
                <c:pt idx="656">
                  <c:v>2350</c:v>
                </c:pt>
                <c:pt idx="657">
                  <c:v>2350</c:v>
                </c:pt>
                <c:pt idx="658">
                  <c:v>2350</c:v>
                </c:pt>
                <c:pt idx="659">
                  <c:v>2350</c:v>
                </c:pt>
                <c:pt idx="660">
                  <c:v>2350</c:v>
                </c:pt>
                <c:pt idx="661">
                  <c:v>1800</c:v>
                </c:pt>
                <c:pt idx="662">
                  <c:v>1800</c:v>
                </c:pt>
                <c:pt idx="663">
                  <c:v>1950</c:v>
                </c:pt>
                <c:pt idx="664">
                  <c:v>1950</c:v>
                </c:pt>
                <c:pt idx="665">
                  <c:v>1950</c:v>
                </c:pt>
                <c:pt idx="666">
                  <c:v>1950</c:v>
                </c:pt>
                <c:pt idx="667">
                  <c:v>1950</c:v>
                </c:pt>
                <c:pt idx="668">
                  <c:v>1950</c:v>
                </c:pt>
                <c:pt idx="669">
                  <c:v>1950</c:v>
                </c:pt>
                <c:pt idx="670">
                  <c:v>1950</c:v>
                </c:pt>
                <c:pt idx="671">
                  <c:v>1950</c:v>
                </c:pt>
                <c:pt idx="672">
                  <c:v>1950</c:v>
                </c:pt>
                <c:pt idx="673">
                  <c:v>1950</c:v>
                </c:pt>
                <c:pt idx="674">
                  <c:v>1950</c:v>
                </c:pt>
                <c:pt idx="675">
                  <c:v>1950</c:v>
                </c:pt>
                <c:pt idx="676">
                  <c:v>1950</c:v>
                </c:pt>
                <c:pt idx="677">
                  <c:v>1950</c:v>
                </c:pt>
                <c:pt idx="678">
                  <c:v>1950</c:v>
                </c:pt>
                <c:pt idx="679">
                  <c:v>1950</c:v>
                </c:pt>
                <c:pt idx="680">
                  <c:v>1950</c:v>
                </c:pt>
                <c:pt idx="681">
                  <c:v>1950</c:v>
                </c:pt>
                <c:pt idx="682">
                  <c:v>1950</c:v>
                </c:pt>
                <c:pt idx="683">
                  <c:v>1950</c:v>
                </c:pt>
                <c:pt idx="684">
                  <c:v>1950</c:v>
                </c:pt>
                <c:pt idx="685">
                  <c:v>1950</c:v>
                </c:pt>
                <c:pt idx="686">
                  <c:v>1950</c:v>
                </c:pt>
                <c:pt idx="687">
                  <c:v>1950</c:v>
                </c:pt>
                <c:pt idx="688">
                  <c:v>1950</c:v>
                </c:pt>
                <c:pt idx="689">
                  <c:v>1950</c:v>
                </c:pt>
                <c:pt idx="690">
                  <c:v>1950</c:v>
                </c:pt>
                <c:pt idx="691">
                  <c:v>1950</c:v>
                </c:pt>
                <c:pt idx="692">
                  <c:v>1950</c:v>
                </c:pt>
                <c:pt idx="693">
                  <c:v>1950</c:v>
                </c:pt>
                <c:pt idx="694">
                  <c:v>1950</c:v>
                </c:pt>
                <c:pt idx="695">
                  <c:v>1950</c:v>
                </c:pt>
                <c:pt idx="696">
                  <c:v>1950</c:v>
                </c:pt>
                <c:pt idx="697">
                  <c:v>1950</c:v>
                </c:pt>
                <c:pt idx="698">
                  <c:v>1950</c:v>
                </c:pt>
                <c:pt idx="699">
                  <c:v>1950</c:v>
                </c:pt>
                <c:pt idx="700">
                  <c:v>1950</c:v>
                </c:pt>
                <c:pt idx="701">
                  <c:v>1950</c:v>
                </c:pt>
                <c:pt idx="702">
                  <c:v>1950</c:v>
                </c:pt>
                <c:pt idx="703">
                  <c:v>1950</c:v>
                </c:pt>
                <c:pt idx="704">
                  <c:v>1950</c:v>
                </c:pt>
                <c:pt idx="705">
                  <c:v>1950</c:v>
                </c:pt>
                <c:pt idx="706">
                  <c:v>1950</c:v>
                </c:pt>
                <c:pt idx="707">
                  <c:v>1950</c:v>
                </c:pt>
                <c:pt idx="708">
                  <c:v>1950</c:v>
                </c:pt>
                <c:pt idx="709">
                  <c:v>1950</c:v>
                </c:pt>
                <c:pt idx="710">
                  <c:v>1950</c:v>
                </c:pt>
                <c:pt idx="711">
                  <c:v>1950</c:v>
                </c:pt>
                <c:pt idx="712">
                  <c:v>1950</c:v>
                </c:pt>
                <c:pt idx="713">
                  <c:v>1950</c:v>
                </c:pt>
                <c:pt idx="714">
                  <c:v>1950</c:v>
                </c:pt>
                <c:pt idx="715">
                  <c:v>1950</c:v>
                </c:pt>
                <c:pt idx="716">
                  <c:v>1950</c:v>
                </c:pt>
                <c:pt idx="717">
                  <c:v>1950</c:v>
                </c:pt>
                <c:pt idx="718">
                  <c:v>1950</c:v>
                </c:pt>
                <c:pt idx="719">
                  <c:v>1950</c:v>
                </c:pt>
                <c:pt idx="720">
                  <c:v>1950</c:v>
                </c:pt>
                <c:pt idx="721">
                  <c:v>1950</c:v>
                </c:pt>
                <c:pt idx="722">
                  <c:v>1950</c:v>
                </c:pt>
                <c:pt idx="723">
                  <c:v>1950</c:v>
                </c:pt>
                <c:pt idx="724">
                  <c:v>1950</c:v>
                </c:pt>
                <c:pt idx="725">
                  <c:v>1950</c:v>
                </c:pt>
                <c:pt idx="726">
                  <c:v>1950</c:v>
                </c:pt>
                <c:pt idx="727">
                  <c:v>1950</c:v>
                </c:pt>
                <c:pt idx="728">
                  <c:v>1950</c:v>
                </c:pt>
                <c:pt idx="729">
                  <c:v>1950</c:v>
                </c:pt>
                <c:pt idx="730">
                  <c:v>1950</c:v>
                </c:pt>
                <c:pt idx="731">
                  <c:v>1950</c:v>
                </c:pt>
                <c:pt idx="732">
                  <c:v>1950</c:v>
                </c:pt>
                <c:pt idx="733">
                  <c:v>1950</c:v>
                </c:pt>
                <c:pt idx="734">
                  <c:v>1950</c:v>
                </c:pt>
                <c:pt idx="735">
                  <c:v>1950</c:v>
                </c:pt>
                <c:pt idx="736">
                  <c:v>1950</c:v>
                </c:pt>
                <c:pt idx="737">
                  <c:v>1950</c:v>
                </c:pt>
                <c:pt idx="738">
                  <c:v>1950</c:v>
                </c:pt>
                <c:pt idx="739">
                  <c:v>1950</c:v>
                </c:pt>
                <c:pt idx="740">
                  <c:v>1950</c:v>
                </c:pt>
                <c:pt idx="741">
                  <c:v>1950</c:v>
                </c:pt>
                <c:pt idx="742">
                  <c:v>1950</c:v>
                </c:pt>
                <c:pt idx="743">
                  <c:v>1950</c:v>
                </c:pt>
                <c:pt idx="744">
                  <c:v>1950</c:v>
                </c:pt>
                <c:pt idx="745">
                  <c:v>1950</c:v>
                </c:pt>
                <c:pt idx="746">
                  <c:v>1950</c:v>
                </c:pt>
                <c:pt idx="747">
                  <c:v>1950</c:v>
                </c:pt>
                <c:pt idx="748">
                  <c:v>1950</c:v>
                </c:pt>
                <c:pt idx="749">
                  <c:v>1950</c:v>
                </c:pt>
                <c:pt idx="750">
                  <c:v>1950</c:v>
                </c:pt>
                <c:pt idx="751">
                  <c:v>1950</c:v>
                </c:pt>
                <c:pt idx="752">
                  <c:v>1950</c:v>
                </c:pt>
                <c:pt idx="753">
                  <c:v>1450</c:v>
                </c:pt>
                <c:pt idx="754">
                  <c:v>1950</c:v>
                </c:pt>
                <c:pt idx="755">
                  <c:v>1950</c:v>
                </c:pt>
                <c:pt idx="756">
                  <c:v>1950</c:v>
                </c:pt>
                <c:pt idx="757">
                  <c:v>1950</c:v>
                </c:pt>
                <c:pt idx="758">
                  <c:v>1950</c:v>
                </c:pt>
                <c:pt idx="759">
                  <c:v>1950</c:v>
                </c:pt>
                <c:pt idx="760">
                  <c:v>1950</c:v>
                </c:pt>
                <c:pt idx="761">
                  <c:v>1950</c:v>
                </c:pt>
                <c:pt idx="762">
                  <c:v>1950</c:v>
                </c:pt>
                <c:pt idx="763">
                  <c:v>1950</c:v>
                </c:pt>
                <c:pt idx="764">
                  <c:v>1950</c:v>
                </c:pt>
                <c:pt idx="765">
                  <c:v>1950</c:v>
                </c:pt>
                <c:pt idx="766">
                  <c:v>1950</c:v>
                </c:pt>
                <c:pt idx="767">
                  <c:v>1950</c:v>
                </c:pt>
                <c:pt idx="768">
                  <c:v>1950</c:v>
                </c:pt>
                <c:pt idx="769">
                  <c:v>1950</c:v>
                </c:pt>
                <c:pt idx="770">
                  <c:v>1950</c:v>
                </c:pt>
                <c:pt idx="771">
                  <c:v>1950</c:v>
                </c:pt>
                <c:pt idx="772">
                  <c:v>1950</c:v>
                </c:pt>
                <c:pt idx="773">
                  <c:v>1950</c:v>
                </c:pt>
                <c:pt idx="774">
                  <c:v>1950</c:v>
                </c:pt>
                <c:pt idx="775">
                  <c:v>1950</c:v>
                </c:pt>
                <c:pt idx="776">
                  <c:v>1950</c:v>
                </c:pt>
                <c:pt idx="777">
                  <c:v>1950</c:v>
                </c:pt>
                <c:pt idx="778">
                  <c:v>1950</c:v>
                </c:pt>
                <c:pt idx="779">
                  <c:v>1950</c:v>
                </c:pt>
                <c:pt idx="780">
                  <c:v>1950</c:v>
                </c:pt>
                <c:pt idx="781">
                  <c:v>1950</c:v>
                </c:pt>
                <c:pt idx="782">
                  <c:v>1950</c:v>
                </c:pt>
                <c:pt idx="783">
                  <c:v>1950</c:v>
                </c:pt>
                <c:pt idx="784">
                  <c:v>1950</c:v>
                </c:pt>
                <c:pt idx="785">
                  <c:v>1950</c:v>
                </c:pt>
                <c:pt idx="786">
                  <c:v>1950</c:v>
                </c:pt>
                <c:pt idx="787">
                  <c:v>1950</c:v>
                </c:pt>
                <c:pt idx="788">
                  <c:v>1950</c:v>
                </c:pt>
                <c:pt idx="789">
                  <c:v>2050</c:v>
                </c:pt>
                <c:pt idx="790">
                  <c:v>2050</c:v>
                </c:pt>
                <c:pt idx="791">
                  <c:v>2050</c:v>
                </c:pt>
                <c:pt idx="792">
                  <c:v>2050</c:v>
                </c:pt>
                <c:pt idx="793">
                  <c:v>2050</c:v>
                </c:pt>
                <c:pt idx="794">
                  <c:v>2050</c:v>
                </c:pt>
                <c:pt idx="795">
                  <c:v>2050</c:v>
                </c:pt>
                <c:pt idx="796">
                  <c:v>2050</c:v>
                </c:pt>
                <c:pt idx="797">
                  <c:v>2050</c:v>
                </c:pt>
                <c:pt idx="798">
                  <c:v>2050</c:v>
                </c:pt>
                <c:pt idx="799">
                  <c:v>2050</c:v>
                </c:pt>
                <c:pt idx="800">
                  <c:v>2050</c:v>
                </c:pt>
                <c:pt idx="801">
                  <c:v>2050</c:v>
                </c:pt>
                <c:pt idx="802">
                  <c:v>2050</c:v>
                </c:pt>
                <c:pt idx="803">
                  <c:v>2050</c:v>
                </c:pt>
                <c:pt idx="804">
                  <c:v>2050</c:v>
                </c:pt>
                <c:pt idx="805">
                  <c:v>2050</c:v>
                </c:pt>
                <c:pt idx="806">
                  <c:v>2050</c:v>
                </c:pt>
                <c:pt idx="807">
                  <c:v>2050</c:v>
                </c:pt>
                <c:pt idx="808">
                  <c:v>2050</c:v>
                </c:pt>
                <c:pt idx="809">
                  <c:v>2050</c:v>
                </c:pt>
                <c:pt idx="810">
                  <c:v>2050</c:v>
                </c:pt>
                <c:pt idx="811">
                  <c:v>2050</c:v>
                </c:pt>
                <c:pt idx="812">
                  <c:v>2050</c:v>
                </c:pt>
                <c:pt idx="813">
                  <c:v>2050</c:v>
                </c:pt>
                <c:pt idx="814">
                  <c:v>2050</c:v>
                </c:pt>
                <c:pt idx="815">
                  <c:v>1650</c:v>
                </c:pt>
                <c:pt idx="816">
                  <c:v>1650</c:v>
                </c:pt>
                <c:pt idx="817">
                  <c:v>2250</c:v>
                </c:pt>
                <c:pt idx="818">
                  <c:v>2250</c:v>
                </c:pt>
                <c:pt idx="819">
                  <c:v>2250</c:v>
                </c:pt>
                <c:pt idx="820">
                  <c:v>2250</c:v>
                </c:pt>
                <c:pt idx="821">
                  <c:v>2250</c:v>
                </c:pt>
                <c:pt idx="822">
                  <c:v>2250</c:v>
                </c:pt>
                <c:pt idx="823">
                  <c:v>2250</c:v>
                </c:pt>
                <c:pt idx="824">
                  <c:v>2250</c:v>
                </c:pt>
                <c:pt idx="825">
                  <c:v>2250</c:v>
                </c:pt>
                <c:pt idx="826">
                  <c:v>2250</c:v>
                </c:pt>
                <c:pt idx="827">
                  <c:v>2250</c:v>
                </c:pt>
                <c:pt idx="828">
                  <c:v>2250</c:v>
                </c:pt>
                <c:pt idx="829">
                  <c:v>2250</c:v>
                </c:pt>
                <c:pt idx="830">
                  <c:v>2250</c:v>
                </c:pt>
                <c:pt idx="831">
                  <c:v>2250</c:v>
                </c:pt>
                <c:pt idx="832">
                  <c:v>2250</c:v>
                </c:pt>
                <c:pt idx="833">
                  <c:v>2250</c:v>
                </c:pt>
                <c:pt idx="834">
                  <c:v>2250</c:v>
                </c:pt>
                <c:pt idx="835">
                  <c:v>2250</c:v>
                </c:pt>
                <c:pt idx="836">
                  <c:v>2250</c:v>
                </c:pt>
                <c:pt idx="837">
                  <c:v>2250</c:v>
                </c:pt>
                <c:pt idx="838">
                  <c:v>2250</c:v>
                </c:pt>
                <c:pt idx="839">
                  <c:v>2250</c:v>
                </c:pt>
                <c:pt idx="840">
                  <c:v>2250</c:v>
                </c:pt>
                <c:pt idx="841">
                  <c:v>2250</c:v>
                </c:pt>
                <c:pt idx="842">
                  <c:v>2250</c:v>
                </c:pt>
                <c:pt idx="843">
                  <c:v>2100</c:v>
                </c:pt>
                <c:pt idx="844">
                  <c:v>2100</c:v>
                </c:pt>
                <c:pt idx="845">
                  <c:v>2600</c:v>
                </c:pt>
                <c:pt idx="846">
                  <c:v>2600</c:v>
                </c:pt>
                <c:pt idx="847">
                  <c:v>2600</c:v>
                </c:pt>
                <c:pt idx="848">
                  <c:v>2600</c:v>
                </c:pt>
                <c:pt idx="849">
                  <c:v>2600</c:v>
                </c:pt>
                <c:pt idx="850">
                  <c:v>2600</c:v>
                </c:pt>
                <c:pt idx="851">
                  <c:v>2600</c:v>
                </c:pt>
                <c:pt idx="852">
                  <c:v>2600</c:v>
                </c:pt>
                <c:pt idx="853">
                  <c:v>2600</c:v>
                </c:pt>
                <c:pt idx="854">
                  <c:v>2600</c:v>
                </c:pt>
                <c:pt idx="855">
                  <c:v>2600</c:v>
                </c:pt>
                <c:pt idx="856">
                  <c:v>2600</c:v>
                </c:pt>
                <c:pt idx="857">
                  <c:v>2600</c:v>
                </c:pt>
                <c:pt idx="858">
                  <c:v>2600</c:v>
                </c:pt>
                <c:pt idx="859">
                  <c:v>2600</c:v>
                </c:pt>
                <c:pt idx="860">
                  <c:v>2600</c:v>
                </c:pt>
                <c:pt idx="861">
                  <c:v>2600</c:v>
                </c:pt>
                <c:pt idx="862">
                  <c:v>2600</c:v>
                </c:pt>
                <c:pt idx="863">
                  <c:v>2600</c:v>
                </c:pt>
                <c:pt idx="864">
                  <c:v>2600</c:v>
                </c:pt>
                <c:pt idx="865">
                  <c:v>2600</c:v>
                </c:pt>
                <c:pt idx="866">
                  <c:v>2600</c:v>
                </c:pt>
                <c:pt idx="867">
                  <c:v>2600</c:v>
                </c:pt>
                <c:pt idx="868">
                  <c:v>2600</c:v>
                </c:pt>
                <c:pt idx="869">
                  <c:v>2600</c:v>
                </c:pt>
                <c:pt idx="870">
                  <c:v>2600</c:v>
                </c:pt>
                <c:pt idx="871">
                  <c:v>2600</c:v>
                </c:pt>
                <c:pt idx="872">
                  <c:v>2600</c:v>
                </c:pt>
                <c:pt idx="873">
                  <c:v>2600</c:v>
                </c:pt>
                <c:pt idx="874">
                  <c:v>2600</c:v>
                </c:pt>
                <c:pt idx="875">
                  <c:v>2600</c:v>
                </c:pt>
                <c:pt idx="876">
                  <c:v>2600</c:v>
                </c:pt>
                <c:pt idx="877">
                  <c:v>2600</c:v>
                </c:pt>
                <c:pt idx="878">
                  <c:v>2600</c:v>
                </c:pt>
                <c:pt idx="879">
                  <c:v>2600</c:v>
                </c:pt>
                <c:pt idx="880">
                  <c:v>2600</c:v>
                </c:pt>
                <c:pt idx="881">
                  <c:v>2600</c:v>
                </c:pt>
                <c:pt idx="882">
                  <c:v>2600</c:v>
                </c:pt>
                <c:pt idx="883">
                  <c:v>2600</c:v>
                </c:pt>
                <c:pt idx="884">
                  <c:v>2600</c:v>
                </c:pt>
                <c:pt idx="885">
                  <c:v>2600</c:v>
                </c:pt>
                <c:pt idx="886">
                  <c:v>2600</c:v>
                </c:pt>
                <c:pt idx="887">
                  <c:v>2600</c:v>
                </c:pt>
                <c:pt idx="888">
                  <c:v>2600</c:v>
                </c:pt>
                <c:pt idx="889">
                  <c:v>2600</c:v>
                </c:pt>
                <c:pt idx="890">
                  <c:v>2600</c:v>
                </c:pt>
                <c:pt idx="891">
                  <c:v>2600</c:v>
                </c:pt>
                <c:pt idx="892">
                  <c:v>2600</c:v>
                </c:pt>
                <c:pt idx="893">
                  <c:v>2600</c:v>
                </c:pt>
                <c:pt idx="894">
                  <c:v>2600</c:v>
                </c:pt>
                <c:pt idx="895">
                  <c:v>2600</c:v>
                </c:pt>
                <c:pt idx="896">
                  <c:v>2600</c:v>
                </c:pt>
                <c:pt idx="897">
                  <c:v>2600</c:v>
                </c:pt>
                <c:pt idx="898">
                  <c:v>2600</c:v>
                </c:pt>
                <c:pt idx="899">
                  <c:v>2600</c:v>
                </c:pt>
                <c:pt idx="900">
                  <c:v>2600</c:v>
                </c:pt>
                <c:pt idx="901">
                  <c:v>2600</c:v>
                </c:pt>
                <c:pt idx="902">
                  <c:v>2600</c:v>
                </c:pt>
                <c:pt idx="903">
                  <c:v>2600</c:v>
                </c:pt>
                <c:pt idx="904">
                  <c:v>2600</c:v>
                </c:pt>
                <c:pt idx="905">
                  <c:v>2600</c:v>
                </c:pt>
                <c:pt idx="906">
                  <c:v>2000</c:v>
                </c:pt>
                <c:pt idx="907">
                  <c:v>2000</c:v>
                </c:pt>
                <c:pt idx="908">
                  <c:v>2600</c:v>
                </c:pt>
                <c:pt idx="909">
                  <c:v>2600</c:v>
                </c:pt>
                <c:pt idx="910">
                  <c:v>2600</c:v>
                </c:pt>
                <c:pt idx="911">
                  <c:v>2600</c:v>
                </c:pt>
                <c:pt idx="912">
                  <c:v>2600</c:v>
                </c:pt>
                <c:pt idx="913">
                  <c:v>2600</c:v>
                </c:pt>
                <c:pt idx="914">
                  <c:v>2600</c:v>
                </c:pt>
                <c:pt idx="915">
                  <c:v>2600</c:v>
                </c:pt>
                <c:pt idx="916">
                  <c:v>2600</c:v>
                </c:pt>
                <c:pt idx="917">
                  <c:v>2600</c:v>
                </c:pt>
                <c:pt idx="918">
                  <c:v>2600</c:v>
                </c:pt>
                <c:pt idx="919">
                  <c:v>2600</c:v>
                </c:pt>
                <c:pt idx="920">
                  <c:v>2600</c:v>
                </c:pt>
                <c:pt idx="921">
                  <c:v>2600</c:v>
                </c:pt>
                <c:pt idx="922">
                  <c:v>2600</c:v>
                </c:pt>
                <c:pt idx="923">
                  <c:v>2600</c:v>
                </c:pt>
                <c:pt idx="924">
                  <c:v>2600</c:v>
                </c:pt>
                <c:pt idx="925">
                  <c:v>2600</c:v>
                </c:pt>
                <c:pt idx="926">
                  <c:v>2600</c:v>
                </c:pt>
                <c:pt idx="927">
                  <c:v>2600</c:v>
                </c:pt>
                <c:pt idx="928">
                  <c:v>2600</c:v>
                </c:pt>
                <c:pt idx="929">
                  <c:v>2600</c:v>
                </c:pt>
                <c:pt idx="930">
                  <c:v>2600</c:v>
                </c:pt>
                <c:pt idx="931">
                  <c:v>2600</c:v>
                </c:pt>
                <c:pt idx="932">
                  <c:v>2600</c:v>
                </c:pt>
                <c:pt idx="933">
                  <c:v>2600</c:v>
                </c:pt>
                <c:pt idx="934">
                  <c:v>2600</c:v>
                </c:pt>
                <c:pt idx="935">
                  <c:v>2600</c:v>
                </c:pt>
                <c:pt idx="936">
                  <c:v>2100</c:v>
                </c:pt>
                <c:pt idx="937">
                  <c:v>2100</c:v>
                </c:pt>
                <c:pt idx="938">
                  <c:v>2100</c:v>
                </c:pt>
                <c:pt idx="939">
                  <c:v>2100</c:v>
                </c:pt>
                <c:pt idx="940">
                  <c:v>2100</c:v>
                </c:pt>
                <c:pt idx="941">
                  <c:v>2100</c:v>
                </c:pt>
                <c:pt idx="942">
                  <c:v>2100</c:v>
                </c:pt>
                <c:pt idx="943">
                  <c:v>3100</c:v>
                </c:pt>
                <c:pt idx="944">
                  <c:v>3100</c:v>
                </c:pt>
                <c:pt idx="945">
                  <c:v>3100</c:v>
                </c:pt>
                <c:pt idx="946">
                  <c:v>3100</c:v>
                </c:pt>
                <c:pt idx="947">
                  <c:v>3100</c:v>
                </c:pt>
                <c:pt idx="948">
                  <c:v>3100</c:v>
                </c:pt>
                <c:pt idx="949">
                  <c:v>3100</c:v>
                </c:pt>
                <c:pt idx="950">
                  <c:v>3100</c:v>
                </c:pt>
                <c:pt idx="951">
                  <c:v>3100</c:v>
                </c:pt>
                <c:pt idx="952">
                  <c:v>3100</c:v>
                </c:pt>
                <c:pt idx="953">
                  <c:v>3100</c:v>
                </c:pt>
                <c:pt idx="954">
                  <c:v>3100</c:v>
                </c:pt>
                <c:pt idx="955">
                  <c:v>3100</c:v>
                </c:pt>
                <c:pt idx="956">
                  <c:v>3100</c:v>
                </c:pt>
                <c:pt idx="957">
                  <c:v>3100</c:v>
                </c:pt>
                <c:pt idx="958">
                  <c:v>3100</c:v>
                </c:pt>
                <c:pt idx="959">
                  <c:v>3100</c:v>
                </c:pt>
                <c:pt idx="960">
                  <c:v>3100</c:v>
                </c:pt>
                <c:pt idx="961">
                  <c:v>3100</c:v>
                </c:pt>
                <c:pt idx="962">
                  <c:v>3100</c:v>
                </c:pt>
                <c:pt idx="963">
                  <c:v>3100</c:v>
                </c:pt>
                <c:pt idx="964">
                  <c:v>3100</c:v>
                </c:pt>
                <c:pt idx="965">
                  <c:v>3100</c:v>
                </c:pt>
                <c:pt idx="966">
                  <c:v>3100</c:v>
                </c:pt>
                <c:pt idx="967">
                  <c:v>3100</c:v>
                </c:pt>
                <c:pt idx="968">
                  <c:v>3100</c:v>
                </c:pt>
                <c:pt idx="969">
                  <c:v>3100</c:v>
                </c:pt>
                <c:pt idx="970">
                  <c:v>3100</c:v>
                </c:pt>
                <c:pt idx="971">
                  <c:v>3400</c:v>
                </c:pt>
                <c:pt idx="972">
                  <c:v>3400</c:v>
                </c:pt>
                <c:pt idx="973">
                  <c:v>3400</c:v>
                </c:pt>
                <c:pt idx="974">
                  <c:v>3400</c:v>
                </c:pt>
                <c:pt idx="975">
                  <c:v>3400</c:v>
                </c:pt>
                <c:pt idx="976">
                  <c:v>3400</c:v>
                </c:pt>
                <c:pt idx="977">
                  <c:v>3400</c:v>
                </c:pt>
                <c:pt idx="978">
                  <c:v>3400</c:v>
                </c:pt>
                <c:pt idx="979">
                  <c:v>3400</c:v>
                </c:pt>
                <c:pt idx="980">
                  <c:v>3400</c:v>
                </c:pt>
                <c:pt idx="981">
                  <c:v>3400</c:v>
                </c:pt>
                <c:pt idx="982">
                  <c:v>3400</c:v>
                </c:pt>
                <c:pt idx="983">
                  <c:v>3400</c:v>
                </c:pt>
                <c:pt idx="984">
                  <c:v>3400</c:v>
                </c:pt>
                <c:pt idx="985">
                  <c:v>3400</c:v>
                </c:pt>
                <c:pt idx="986">
                  <c:v>3400</c:v>
                </c:pt>
                <c:pt idx="987">
                  <c:v>3400</c:v>
                </c:pt>
                <c:pt idx="988">
                  <c:v>3400</c:v>
                </c:pt>
                <c:pt idx="989">
                  <c:v>3400</c:v>
                </c:pt>
                <c:pt idx="990">
                  <c:v>3400</c:v>
                </c:pt>
                <c:pt idx="991">
                  <c:v>3400</c:v>
                </c:pt>
                <c:pt idx="992">
                  <c:v>3400</c:v>
                </c:pt>
                <c:pt idx="993">
                  <c:v>3400</c:v>
                </c:pt>
                <c:pt idx="994">
                  <c:v>3400</c:v>
                </c:pt>
                <c:pt idx="995">
                  <c:v>3400</c:v>
                </c:pt>
                <c:pt idx="996">
                  <c:v>3400</c:v>
                </c:pt>
                <c:pt idx="997">
                  <c:v>2800</c:v>
                </c:pt>
                <c:pt idx="998">
                  <c:v>2800</c:v>
                </c:pt>
                <c:pt idx="999">
                  <c:v>3200</c:v>
                </c:pt>
                <c:pt idx="1000">
                  <c:v>3200</c:v>
                </c:pt>
                <c:pt idx="1001">
                  <c:v>3200</c:v>
                </c:pt>
                <c:pt idx="1002">
                  <c:v>3200</c:v>
                </c:pt>
                <c:pt idx="1003">
                  <c:v>3200</c:v>
                </c:pt>
                <c:pt idx="1004">
                  <c:v>3200</c:v>
                </c:pt>
                <c:pt idx="1005">
                  <c:v>3200</c:v>
                </c:pt>
                <c:pt idx="1006">
                  <c:v>3200</c:v>
                </c:pt>
                <c:pt idx="1007">
                  <c:v>3200</c:v>
                </c:pt>
                <c:pt idx="1008">
                  <c:v>3200</c:v>
                </c:pt>
                <c:pt idx="1009">
                  <c:v>3200</c:v>
                </c:pt>
                <c:pt idx="1010">
                  <c:v>3200</c:v>
                </c:pt>
                <c:pt idx="1011">
                  <c:v>3200</c:v>
                </c:pt>
                <c:pt idx="1012">
                  <c:v>3200</c:v>
                </c:pt>
                <c:pt idx="1013">
                  <c:v>3200</c:v>
                </c:pt>
                <c:pt idx="1014">
                  <c:v>3200</c:v>
                </c:pt>
                <c:pt idx="1015">
                  <c:v>3200</c:v>
                </c:pt>
                <c:pt idx="1016">
                  <c:v>3200</c:v>
                </c:pt>
                <c:pt idx="1017">
                  <c:v>3200</c:v>
                </c:pt>
                <c:pt idx="1018">
                  <c:v>3200</c:v>
                </c:pt>
                <c:pt idx="1019">
                  <c:v>3200</c:v>
                </c:pt>
                <c:pt idx="1020">
                  <c:v>3200</c:v>
                </c:pt>
                <c:pt idx="1021">
                  <c:v>3200</c:v>
                </c:pt>
                <c:pt idx="1022">
                  <c:v>3200</c:v>
                </c:pt>
                <c:pt idx="1023">
                  <c:v>3200</c:v>
                </c:pt>
                <c:pt idx="1024">
                  <c:v>3200</c:v>
                </c:pt>
                <c:pt idx="1025">
                  <c:v>3200</c:v>
                </c:pt>
                <c:pt idx="1026">
                  <c:v>2700</c:v>
                </c:pt>
                <c:pt idx="1027">
                  <c:v>2915</c:v>
                </c:pt>
                <c:pt idx="1028">
                  <c:v>2915</c:v>
                </c:pt>
                <c:pt idx="1029">
                  <c:v>2915</c:v>
                </c:pt>
                <c:pt idx="1030">
                  <c:v>2915</c:v>
                </c:pt>
                <c:pt idx="1031">
                  <c:v>2915</c:v>
                </c:pt>
                <c:pt idx="1032">
                  <c:v>2915</c:v>
                </c:pt>
                <c:pt idx="1033">
                  <c:v>2915</c:v>
                </c:pt>
                <c:pt idx="1034">
                  <c:v>2915</c:v>
                </c:pt>
                <c:pt idx="1035">
                  <c:v>2915</c:v>
                </c:pt>
                <c:pt idx="1036">
                  <c:v>2915</c:v>
                </c:pt>
                <c:pt idx="1037">
                  <c:v>2915</c:v>
                </c:pt>
                <c:pt idx="1038">
                  <c:v>2915</c:v>
                </c:pt>
                <c:pt idx="1039">
                  <c:v>2915</c:v>
                </c:pt>
                <c:pt idx="1040">
                  <c:v>2915</c:v>
                </c:pt>
                <c:pt idx="1041">
                  <c:v>2915</c:v>
                </c:pt>
                <c:pt idx="1042">
                  <c:v>2915</c:v>
                </c:pt>
                <c:pt idx="1043">
                  <c:v>2915</c:v>
                </c:pt>
                <c:pt idx="1044">
                  <c:v>2915</c:v>
                </c:pt>
                <c:pt idx="1045">
                  <c:v>2915</c:v>
                </c:pt>
                <c:pt idx="1046">
                  <c:v>2915</c:v>
                </c:pt>
                <c:pt idx="1047">
                  <c:v>2915</c:v>
                </c:pt>
                <c:pt idx="1048">
                  <c:v>2915</c:v>
                </c:pt>
                <c:pt idx="1049">
                  <c:v>2915</c:v>
                </c:pt>
                <c:pt idx="1050">
                  <c:v>2915</c:v>
                </c:pt>
                <c:pt idx="1051">
                  <c:v>2915</c:v>
                </c:pt>
                <c:pt idx="1052">
                  <c:v>2915</c:v>
                </c:pt>
                <c:pt idx="1053">
                  <c:v>2915</c:v>
                </c:pt>
                <c:pt idx="1054">
                  <c:v>2915</c:v>
                </c:pt>
                <c:pt idx="1055">
                  <c:v>2915</c:v>
                </c:pt>
                <c:pt idx="1056">
                  <c:v>2915</c:v>
                </c:pt>
                <c:pt idx="1057">
                  <c:v>2915</c:v>
                </c:pt>
                <c:pt idx="1058">
                  <c:v>2915</c:v>
                </c:pt>
                <c:pt idx="1059">
                  <c:v>2915</c:v>
                </c:pt>
                <c:pt idx="1060">
                  <c:v>2915</c:v>
                </c:pt>
                <c:pt idx="1061">
                  <c:v>2915</c:v>
                </c:pt>
                <c:pt idx="1062">
                  <c:v>2915</c:v>
                </c:pt>
                <c:pt idx="1063">
                  <c:v>3315</c:v>
                </c:pt>
                <c:pt idx="1064">
                  <c:v>3315</c:v>
                </c:pt>
                <c:pt idx="1065">
                  <c:v>3315</c:v>
                </c:pt>
                <c:pt idx="1066">
                  <c:v>3315</c:v>
                </c:pt>
                <c:pt idx="1067">
                  <c:v>3315</c:v>
                </c:pt>
                <c:pt idx="1068">
                  <c:v>3315</c:v>
                </c:pt>
                <c:pt idx="1069">
                  <c:v>3315</c:v>
                </c:pt>
                <c:pt idx="1070">
                  <c:v>3315</c:v>
                </c:pt>
                <c:pt idx="1071">
                  <c:v>3315</c:v>
                </c:pt>
                <c:pt idx="1072">
                  <c:v>3315</c:v>
                </c:pt>
                <c:pt idx="1073">
                  <c:v>3315</c:v>
                </c:pt>
                <c:pt idx="1074">
                  <c:v>3315</c:v>
                </c:pt>
                <c:pt idx="1075">
                  <c:v>3315</c:v>
                </c:pt>
                <c:pt idx="1076">
                  <c:v>3315</c:v>
                </c:pt>
                <c:pt idx="1077">
                  <c:v>3315</c:v>
                </c:pt>
                <c:pt idx="1078">
                  <c:v>3315</c:v>
                </c:pt>
                <c:pt idx="1079">
                  <c:v>3315</c:v>
                </c:pt>
                <c:pt idx="1080">
                  <c:v>3315</c:v>
                </c:pt>
                <c:pt idx="1081">
                  <c:v>3315</c:v>
                </c:pt>
                <c:pt idx="1082">
                  <c:v>3315</c:v>
                </c:pt>
                <c:pt idx="1083">
                  <c:v>3315</c:v>
                </c:pt>
                <c:pt idx="1084">
                  <c:v>3315</c:v>
                </c:pt>
                <c:pt idx="1085">
                  <c:v>3315</c:v>
                </c:pt>
                <c:pt idx="1086">
                  <c:v>3315</c:v>
                </c:pt>
                <c:pt idx="1087">
                  <c:v>3315</c:v>
                </c:pt>
                <c:pt idx="1088">
                  <c:v>3315</c:v>
                </c:pt>
                <c:pt idx="1089">
                  <c:v>3315</c:v>
                </c:pt>
                <c:pt idx="1090">
                  <c:v>3315</c:v>
                </c:pt>
                <c:pt idx="1091">
                  <c:v>3985</c:v>
                </c:pt>
                <c:pt idx="1092">
                  <c:v>3985</c:v>
                </c:pt>
                <c:pt idx="1093">
                  <c:v>3985</c:v>
                </c:pt>
                <c:pt idx="1094">
                  <c:v>3985</c:v>
                </c:pt>
                <c:pt idx="1095">
                  <c:v>3985</c:v>
                </c:pt>
                <c:pt idx="1096">
                  <c:v>3985</c:v>
                </c:pt>
                <c:pt idx="1097">
                  <c:v>3985</c:v>
                </c:pt>
                <c:pt idx="1098">
                  <c:v>3985</c:v>
                </c:pt>
                <c:pt idx="1099">
                  <c:v>3985</c:v>
                </c:pt>
                <c:pt idx="1100">
                  <c:v>3985</c:v>
                </c:pt>
                <c:pt idx="1101">
                  <c:v>3985</c:v>
                </c:pt>
                <c:pt idx="1102">
                  <c:v>3985</c:v>
                </c:pt>
                <c:pt idx="1103">
                  <c:v>3985</c:v>
                </c:pt>
                <c:pt idx="1104">
                  <c:v>3985</c:v>
                </c:pt>
                <c:pt idx="1105">
                  <c:v>3985</c:v>
                </c:pt>
                <c:pt idx="1106">
                  <c:v>3985</c:v>
                </c:pt>
                <c:pt idx="1107">
                  <c:v>3985</c:v>
                </c:pt>
                <c:pt idx="1108">
                  <c:v>3985</c:v>
                </c:pt>
                <c:pt idx="1109">
                  <c:v>3985</c:v>
                </c:pt>
                <c:pt idx="1110">
                  <c:v>3985</c:v>
                </c:pt>
                <c:pt idx="1111">
                  <c:v>3985</c:v>
                </c:pt>
                <c:pt idx="1112">
                  <c:v>3985</c:v>
                </c:pt>
                <c:pt idx="1113">
                  <c:v>3985</c:v>
                </c:pt>
                <c:pt idx="1114">
                  <c:v>3985</c:v>
                </c:pt>
                <c:pt idx="1115">
                  <c:v>3985</c:v>
                </c:pt>
                <c:pt idx="1116">
                  <c:v>3985</c:v>
                </c:pt>
                <c:pt idx="1117">
                  <c:v>3985</c:v>
                </c:pt>
                <c:pt idx="1118">
                  <c:v>3985</c:v>
                </c:pt>
                <c:pt idx="1119">
                  <c:v>3985</c:v>
                </c:pt>
                <c:pt idx="1120">
                  <c:v>3985</c:v>
                </c:pt>
                <c:pt idx="1121">
                  <c:v>3985</c:v>
                </c:pt>
                <c:pt idx="1122">
                  <c:v>3985</c:v>
                </c:pt>
                <c:pt idx="1123">
                  <c:v>3985</c:v>
                </c:pt>
                <c:pt idx="1124">
                  <c:v>3985</c:v>
                </c:pt>
                <c:pt idx="1125">
                  <c:v>3985</c:v>
                </c:pt>
                <c:pt idx="1126">
                  <c:v>3985</c:v>
                </c:pt>
                <c:pt idx="1127">
                  <c:v>3985</c:v>
                </c:pt>
                <c:pt idx="1128">
                  <c:v>3985</c:v>
                </c:pt>
                <c:pt idx="1129">
                  <c:v>3985</c:v>
                </c:pt>
                <c:pt idx="1130">
                  <c:v>3985</c:v>
                </c:pt>
                <c:pt idx="1131">
                  <c:v>3985</c:v>
                </c:pt>
                <c:pt idx="1132">
                  <c:v>3985</c:v>
                </c:pt>
                <c:pt idx="1133">
                  <c:v>3985</c:v>
                </c:pt>
                <c:pt idx="1134">
                  <c:v>3985</c:v>
                </c:pt>
                <c:pt idx="1135">
                  <c:v>3985</c:v>
                </c:pt>
                <c:pt idx="1136">
                  <c:v>3985</c:v>
                </c:pt>
                <c:pt idx="1137">
                  <c:v>3985</c:v>
                </c:pt>
                <c:pt idx="1138">
                  <c:v>3985</c:v>
                </c:pt>
                <c:pt idx="1139">
                  <c:v>3985</c:v>
                </c:pt>
                <c:pt idx="1140">
                  <c:v>3985</c:v>
                </c:pt>
                <c:pt idx="1141">
                  <c:v>3985</c:v>
                </c:pt>
                <c:pt idx="1142">
                  <c:v>3985</c:v>
                </c:pt>
                <c:pt idx="1143">
                  <c:v>3985</c:v>
                </c:pt>
                <c:pt idx="1144">
                  <c:v>3985</c:v>
                </c:pt>
                <c:pt idx="1145">
                  <c:v>3985</c:v>
                </c:pt>
                <c:pt idx="1146">
                  <c:v>3985</c:v>
                </c:pt>
                <c:pt idx="1147">
                  <c:v>3985</c:v>
                </c:pt>
                <c:pt idx="1148">
                  <c:v>3985</c:v>
                </c:pt>
                <c:pt idx="1149">
                  <c:v>3985</c:v>
                </c:pt>
                <c:pt idx="1150">
                  <c:v>3985</c:v>
                </c:pt>
                <c:pt idx="1151">
                  <c:v>3985</c:v>
                </c:pt>
                <c:pt idx="1152">
                  <c:v>3985</c:v>
                </c:pt>
                <c:pt idx="1153">
                  <c:v>4085</c:v>
                </c:pt>
                <c:pt idx="1154">
                  <c:v>4085</c:v>
                </c:pt>
                <c:pt idx="1155">
                  <c:v>4085</c:v>
                </c:pt>
                <c:pt idx="1156">
                  <c:v>4085</c:v>
                </c:pt>
                <c:pt idx="1157">
                  <c:v>4085</c:v>
                </c:pt>
                <c:pt idx="1158">
                  <c:v>4085</c:v>
                </c:pt>
                <c:pt idx="1159">
                  <c:v>4085</c:v>
                </c:pt>
                <c:pt idx="1160">
                  <c:v>4085</c:v>
                </c:pt>
                <c:pt idx="1161">
                  <c:v>4085</c:v>
                </c:pt>
                <c:pt idx="1162">
                  <c:v>4085</c:v>
                </c:pt>
                <c:pt idx="1163">
                  <c:v>4085</c:v>
                </c:pt>
                <c:pt idx="1164">
                  <c:v>4085</c:v>
                </c:pt>
                <c:pt idx="1165">
                  <c:v>4085</c:v>
                </c:pt>
                <c:pt idx="1166">
                  <c:v>4085</c:v>
                </c:pt>
                <c:pt idx="1167">
                  <c:v>4085</c:v>
                </c:pt>
                <c:pt idx="1168">
                  <c:v>4085</c:v>
                </c:pt>
                <c:pt idx="1169">
                  <c:v>4085</c:v>
                </c:pt>
                <c:pt idx="1170">
                  <c:v>4085</c:v>
                </c:pt>
                <c:pt idx="1171">
                  <c:v>4085</c:v>
                </c:pt>
                <c:pt idx="1172">
                  <c:v>4085</c:v>
                </c:pt>
                <c:pt idx="1173">
                  <c:v>4085</c:v>
                </c:pt>
                <c:pt idx="1174">
                  <c:v>4085</c:v>
                </c:pt>
                <c:pt idx="1175">
                  <c:v>4085</c:v>
                </c:pt>
                <c:pt idx="1176">
                  <c:v>4085</c:v>
                </c:pt>
                <c:pt idx="1177">
                  <c:v>4085</c:v>
                </c:pt>
                <c:pt idx="1178">
                  <c:v>4085</c:v>
                </c:pt>
                <c:pt idx="1179">
                  <c:v>4085</c:v>
                </c:pt>
                <c:pt idx="1180">
                  <c:v>4085</c:v>
                </c:pt>
                <c:pt idx="1181">
                  <c:v>4085</c:v>
                </c:pt>
                <c:pt idx="1182">
                  <c:v>4085</c:v>
                </c:pt>
                <c:pt idx="1183">
                  <c:v>4085</c:v>
                </c:pt>
                <c:pt idx="1184">
                  <c:v>4085</c:v>
                </c:pt>
                <c:pt idx="1185">
                  <c:v>4085</c:v>
                </c:pt>
                <c:pt idx="1186">
                  <c:v>4085</c:v>
                </c:pt>
                <c:pt idx="1187">
                  <c:v>4085</c:v>
                </c:pt>
                <c:pt idx="1188">
                  <c:v>4085</c:v>
                </c:pt>
                <c:pt idx="1189">
                  <c:v>4085</c:v>
                </c:pt>
                <c:pt idx="1190">
                  <c:v>4085</c:v>
                </c:pt>
                <c:pt idx="1191">
                  <c:v>4085</c:v>
                </c:pt>
                <c:pt idx="1192">
                  <c:v>4085</c:v>
                </c:pt>
                <c:pt idx="1193">
                  <c:v>4085</c:v>
                </c:pt>
                <c:pt idx="1194">
                  <c:v>4085</c:v>
                </c:pt>
                <c:pt idx="1195">
                  <c:v>4085</c:v>
                </c:pt>
                <c:pt idx="1196">
                  <c:v>4085</c:v>
                </c:pt>
                <c:pt idx="1197">
                  <c:v>4085</c:v>
                </c:pt>
                <c:pt idx="1198">
                  <c:v>4085</c:v>
                </c:pt>
                <c:pt idx="1199">
                  <c:v>4085</c:v>
                </c:pt>
                <c:pt idx="1200">
                  <c:v>4085</c:v>
                </c:pt>
                <c:pt idx="1201">
                  <c:v>4085</c:v>
                </c:pt>
                <c:pt idx="1202">
                  <c:v>4085</c:v>
                </c:pt>
                <c:pt idx="1203">
                  <c:v>4085</c:v>
                </c:pt>
                <c:pt idx="1204">
                  <c:v>4085</c:v>
                </c:pt>
                <c:pt idx="1205">
                  <c:v>4085</c:v>
                </c:pt>
                <c:pt idx="1206">
                  <c:v>4085</c:v>
                </c:pt>
                <c:pt idx="1207">
                  <c:v>4085</c:v>
                </c:pt>
                <c:pt idx="1208">
                  <c:v>4085</c:v>
                </c:pt>
                <c:pt idx="1209">
                  <c:v>3370</c:v>
                </c:pt>
                <c:pt idx="1210">
                  <c:v>3370</c:v>
                </c:pt>
                <c:pt idx="1211">
                  <c:v>3370</c:v>
                </c:pt>
                <c:pt idx="1212">
                  <c:v>3370</c:v>
                </c:pt>
                <c:pt idx="1213">
                  <c:v>3370</c:v>
                </c:pt>
                <c:pt idx="1214">
                  <c:v>3370</c:v>
                </c:pt>
                <c:pt idx="1215">
                  <c:v>3370</c:v>
                </c:pt>
                <c:pt idx="1216">
                  <c:v>3885</c:v>
                </c:pt>
                <c:pt idx="1217">
                  <c:v>3885</c:v>
                </c:pt>
                <c:pt idx="1218">
                  <c:v>3885</c:v>
                </c:pt>
                <c:pt idx="1219">
                  <c:v>3885</c:v>
                </c:pt>
                <c:pt idx="1220">
                  <c:v>3885</c:v>
                </c:pt>
                <c:pt idx="1221">
                  <c:v>3885</c:v>
                </c:pt>
                <c:pt idx="1222">
                  <c:v>3885</c:v>
                </c:pt>
                <c:pt idx="1223">
                  <c:v>3885</c:v>
                </c:pt>
                <c:pt idx="1224">
                  <c:v>3885</c:v>
                </c:pt>
                <c:pt idx="1225">
                  <c:v>3885</c:v>
                </c:pt>
                <c:pt idx="1226">
                  <c:v>3885</c:v>
                </c:pt>
                <c:pt idx="1227">
                  <c:v>3885</c:v>
                </c:pt>
                <c:pt idx="1228">
                  <c:v>3885</c:v>
                </c:pt>
                <c:pt idx="1229">
                  <c:v>3885</c:v>
                </c:pt>
                <c:pt idx="1230">
                  <c:v>3885</c:v>
                </c:pt>
                <c:pt idx="1231">
                  <c:v>3885</c:v>
                </c:pt>
                <c:pt idx="1232">
                  <c:v>3885</c:v>
                </c:pt>
                <c:pt idx="1233">
                  <c:v>3885</c:v>
                </c:pt>
                <c:pt idx="1234">
                  <c:v>3885</c:v>
                </c:pt>
                <c:pt idx="1235">
                  <c:v>3885</c:v>
                </c:pt>
                <c:pt idx="1236">
                  <c:v>3885</c:v>
                </c:pt>
                <c:pt idx="1237">
                  <c:v>3885</c:v>
                </c:pt>
                <c:pt idx="1238">
                  <c:v>3885</c:v>
                </c:pt>
                <c:pt idx="1239">
                  <c:v>3885</c:v>
                </c:pt>
                <c:pt idx="1240">
                  <c:v>3885</c:v>
                </c:pt>
                <c:pt idx="1241">
                  <c:v>3885</c:v>
                </c:pt>
                <c:pt idx="1242">
                  <c:v>3885</c:v>
                </c:pt>
                <c:pt idx="1243">
                  <c:v>3885</c:v>
                </c:pt>
                <c:pt idx="1244">
                  <c:v>3885</c:v>
                </c:pt>
                <c:pt idx="1245">
                  <c:v>3885</c:v>
                </c:pt>
                <c:pt idx="1246">
                  <c:v>3885</c:v>
                </c:pt>
                <c:pt idx="1247">
                  <c:v>3885</c:v>
                </c:pt>
                <c:pt idx="1248">
                  <c:v>3885</c:v>
                </c:pt>
                <c:pt idx="1249">
                  <c:v>3885</c:v>
                </c:pt>
                <c:pt idx="1250">
                  <c:v>3885</c:v>
                </c:pt>
                <c:pt idx="1251">
                  <c:v>3885</c:v>
                </c:pt>
                <c:pt idx="1252">
                  <c:v>3885</c:v>
                </c:pt>
                <c:pt idx="1253">
                  <c:v>3885</c:v>
                </c:pt>
                <c:pt idx="1254">
                  <c:v>3885</c:v>
                </c:pt>
                <c:pt idx="1255">
                  <c:v>3885</c:v>
                </c:pt>
                <c:pt idx="1256">
                  <c:v>3885</c:v>
                </c:pt>
                <c:pt idx="1257">
                  <c:v>3885</c:v>
                </c:pt>
                <c:pt idx="1258">
                  <c:v>3885</c:v>
                </c:pt>
                <c:pt idx="1259">
                  <c:v>3885</c:v>
                </c:pt>
                <c:pt idx="1260">
                  <c:v>3885</c:v>
                </c:pt>
                <c:pt idx="1261">
                  <c:v>3885</c:v>
                </c:pt>
                <c:pt idx="1262">
                  <c:v>3885</c:v>
                </c:pt>
                <c:pt idx="1263">
                  <c:v>3885</c:v>
                </c:pt>
                <c:pt idx="1264">
                  <c:v>3885</c:v>
                </c:pt>
                <c:pt idx="1265">
                  <c:v>3885</c:v>
                </c:pt>
                <c:pt idx="1266">
                  <c:v>3885</c:v>
                </c:pt>
                <c:pt idx="1267">
                  <c:v>3885</c:v>
                </c:pt>
                <c:pt idx="1268">
                  <c:v>3885</c:v>
                </c:pt>
                <c:pt idx="1269">
                  <c:v>3885</c:v>
                </c:pt>
                <c:pt idx="1270">
                  <c:v>3885</c:v>
                </c:pt>
                <c:pt idx="1271">
                  <c:v>3885</c:v>
                </c:pt>
                <c:pt idx="1272">
                  <c:v>3485</c:v>
                </c:pt>
                <c:pt idx="1273">
                  <c:v>3485</c:v>
                </c:pt>
                <c:pt idx="1274">
                  <c:v>3485</c:v>
                </c:pt>
                <c:pt idx="1275">
                  <c:v>3485</c:v>
                </c:pt>
                <c:pt idx="1276">
                  <c:v>3485</c:v>
                </c:pt>
                <c:pt idx="1277">
                  <c:v>3485</c:v>
                </c:pt>
                <c:pt idx="1278">
                  <c:v>3485</c:v>
                </c:pt>
                <c:pt idx="1279">
                  <c:v>3485</c:v>
                </c:pt>
                <c:pt idx="1280">
                  <c:v>3485</c:v>
                </c:pt>
                <c:pt idx="1281">
                  <c:v>3485</c:v>
                </c:pt>
                <c:pt idx="1282">
                  <c:v>3485</c:v>
                </c:pt>
                <c:pt idx="1283">
                  <c:v>3485</c:v>
                </c:pt>
                <c:pt idx="1284">
                  <c:v>3485</c:v>
                </c:pt>
                <c:pt idx="1285">
                  <c:v>3485</c:v>
                </c:pt>
                <c:pt idx="1286">
                  <c:v>3485</c:v>
                </c:pt>
                <c:pt idx="1287">
                  <c:v>3485</c:v>
                </c:pt>
                <c:pt idx="1288">
                  <c:v>3485</c:v>
                </c:pt>
                <c:pt idx="1289">
                  <c:v>3485</c:v>
                </c:pt>
                <c:pt idx="1290">
                  <c:v>3485</c:v>
                </c:pt>
                <c:pt idx="1291">
                  <c:v>3485</c:v>
                </c:pt>
                <c:pt idx="1292">
                  <c:v>3485</c:v>
                </c:pt>
                <c:pt idx="1293">
                  <c:v>3485</c:v>
                </c:pt>
                <c:pt idx="1294">
                  <c:v>3485</c:v>
                </c:pt>
                <c:pt idx="1295">
                  <c:v>3485</c:v>
                </c:pt>
                <c:pt idx="1296">
                  <c:v>3485</c:v>
                </c:pt>
                <c:pt idx="1297">
                  <c:v>3485</c:v>
                </c:pt>
                <c:pt idx="1298">
                  <c:v>3485</c:v>
                </c:pt>
                <c:pt idx="1299">
                  <c:v>3485</c:v>
                </c:pt>
                <c:pt idx="1300">
                  <c:v>3485</c:v>
                </c:pt>
                <c:pt idx="1301">
                  <c:v>3485</c:v>
                </c:pt>
                <c:pt idx="1302">
                  <c:v>3485</c:v>
                </c:pt>
                <c:pt idx="1303">
                  <c:v>3485</c:v>
                </c:pt>
                <c:pt idx="1304">
                  <c:v>3485</c:v>
                </c:pt>
                <c:pt idx="1305">
                  <c:v>3485</c:v>
                </c:pt>
                <c:pt idx="1306">
                  <c:v>3485</c:v>
                </c:pt>
                <c:pt idx="1307">
                  <c:v>3485</c:v>
                </c:pt>
                <c:pt idx="1308">
                  <c:v>3485</c:v>
                </c:pt>
                <c:pt idx="1309">
                  <c:v>3485</c:v>
                </c:pt>
                <c:pt idx="1310">
                  <c:v>3485</c:v>
                </c:pt>
                <c:pt idx="1311">
                  <c:v>3485</c:v>
                </c:pt>
                <c:pt idx="1312">
                  <c:v>3485</c:v>
                </c:pt>
                <c:pt idx="1313">
                  <c:v>3485</c:v>
                </c:pt>
                <c:pt idx="1314">
                  <c:v>3485</c:v>
                </c:pt>
                <c:pt idx="1315">
                  <c:v>3485</c:v>
                </c:pt>
                <c:pt idx="1316">
                  <c:v>3485</c:v>
                </c:pt>
                <c:pt idx="1317">
                  <c:v>3485</c:v>
                </c:pt>
                <c:pt idx="1318">
                  <c:v>3485</c:v>
                </c:pt>
                <c:pt idx="1319">
                  <c:v>3485</c:v>
                </c:pt>
                <c:pt idx="1320">
                  <c:v>3485</c:v>
                </c:pt>
                <c:pt idx="1321">
                  <c:v>3485</c:v>
                </c:pt>
                <c:pt idx="1322">
                  <c:v>3485</c:v>
                </c:pt>
                <c:pt idx="1323">
                  <c:v>3485</c:v>
                </c:pt>
                <c:pt idx="1324">
                  <c:v>3485</c:v>
                </c:pt>
                <c:pt idx="1325">
                  <c:v>3485</c:v>
                </c:pt>
                <c:pt idx="1326">
                  <c:v>3485</c:v>
                </c:pt>
                <c:pt idx="1327">
                  <c:v>3485</c:v>
                </c:pt>
                <c:pt idx="1328">
                  <c:v>3485</c:v>
                </c:pt>
                <c:pt idx="1329">
                  <c:v>3485</c:v>
                </c:pt>
                <c:pt idx="1330">
                  <c:v>3485</c:v>
                </c:pt>
                <c:pt idx="1331">
                  <c:v>3485</c:v>
                </c:pt>
                <c:pt idx="1332">
                  <c:v>3485</c:v>
                </c:pt>
                <c:pt idx="1333">
                  <c:v>3485</c:v>
                </c:pt>
                <c:pt idx="1334">
                  <c:v>3485</c:v>
                </c:pt>
                <c:pt idx="1335">
                  <c:v>3485</c:v>
                </c:pt>
                <c:pt idx="1336">
                  <c:v>3485</c:v>
                </c:pt>
                <c:pt idx="1337">
                  <c:v>3485</c:v>
                </c:pt>
                <c:pt idx="1338">
                  <c:v>3485</c:v>
                </c:pt>
                <c:pt idx="1339">
                  <c:v>3485</c:v>
                </c:pt>
                <c:pt idx="1340">
                  <c:v>3485</c:v>
                </c:pt>
                <c:pt idx="1341">
                  <c:v>3485</c:v>
                </c:pt>
                <c:pt idx="1342">
                  <c:v>3485</c:v>
                </c:pt>
                <c:pt idx="1343">
                  <c:v>3485</c:v>
                </c:pt>
                <c:pt idx="1344">
                  <c:v>3485</c:v>
                </c:pt>
                <c:pt idx="1345">
                  <c:v>3485</c:v>
                </c:pt>
                <c:pt idx="1346">
                  <c:v>3485</c:v>
                </c:pt>
                <c:pt idx="1347">
                  <c:v>3485</c:v>
                </c:pt>
                <c:pt idx="1348">
                  <c:v>3485</c:v>
                </c:pt>
                <c:pt idx="1349">
                  <c:v>3485</c:v>
                </c:pt>
                <c:pt idx="1350">
                  <c:v>3485</c:v>
                </c:pt>
                <c:pt idx="1351">
                  <c:v>3485</c:v>
                </c:pt>
                <c:pt idx="1352">
                  <c:v>3485</c:v>
                </c:pt>
                <c:pt idx="1353">
                  <c:v>3485</c:v>
                </c:pt>
                <c:pt idx="1354">
                  <c:v>3485</c:v>
                </c:pt>
                <c:pt idx="1355">
                  <c:v>3485</c:v>
                </c:pt>
                <c:pt idx="1356">
                  <c:v>3485</c:v>
                </c:pt>
                <c:pt idx="1357">
                  <c:v>3485</c:v>
                </c:pt>
                <c:pt idx="1358">
                  <c:v>3485</c:v>
                </c:pt>
                <c:pt idx="1359">
                  <c:v>3485</c:v>
                </c:pt>
                <c:pt idx="1360">
                  <c:v>3485</c:v>
                </c:pt>
                <c:pt idx="1361">
                  <c:v>3485</c:v>
                </c:pt>
                <c:pt idx="1362">
                  <c:v>3485</c:v>
                </c:pt>
                <c:pt idx="1363">
                  <c:v>3485</c:v>
                </c:pt>
                <c:pt idx="1364">
                  <c:v>3485</c:v>
                </c:pt>
                <c:pt idx="1365">
                  <c:v>3485</c:v>
                </c:pt>
                <c:pt idx="1366">
                  <c:v>3485</c:v>
                </c:pt>
                <c:pt idx="1367">
                  <c:v>3485</c:v>
                </c:pt>
                <c:pt idx="1368">
                  <c:v>3485</c:v>
                </c:pt>
                <c:pt idx="1369">
                  <c:v>3485</c:v>
                </c:pt>
                <c:pt idx="1370">
                  <c:v>3485</c:v>
                </c:pt>
                <c:pt idx="1371">
                  <c:v>3485</c:v>
                </c:pt>
                <c:pt idx="1372">
                  <c:v>3485</c:v>
                </c:pt>
                <c:pt idx="1373">
                  <c:v>3485</c:v>
                </c:pt>
                <c:pt idx="1374">
                  <c:v>3485</c:v>
                </c:pt>
                <c:pt idx="1375">
                  <c:v>3485</c:v>
                </c:pt>
                <c:pt idx="1376">
                  <c:v>3485</c:v>
                </c:pt>
                <c:pt idx="1377">
                  <c:v>3485</c:v>
                </c:pt>
                <c:pt idx="1378">
                  <c:v>3485</c:v>
                </c:pt>
                <c:pt idx="1379">
                  <c:v>3485</c:v>
                </c:pt>
                <c:pt idx="1380">
                  <c:v>3485</c:v>
                </c:pt>
                <c:pt idx="1381">
                  <c:v>3485</c:v>
                </c:pt>
                <c:pt idx="1382">
                  <c:v>3485</c:v>
                </c:pt>
                <c:pt idx="1383">
                  <c:v>3485</c:v>
                </c:pt>
                <c:pt idx="1384">
                  <c:v>3485</c:v>
                </c:pt>
                <c:pt idx="1385">
                  <c:v>3485</c:v>
                </c:pt>
                <c:pt idx="1386">
                  <c:v>3485</c:v>
                </c:pt>
                <c:pt idx="1387">
                  <c:v>3485</c:v>
                </c:pt>
                <c:pt idx="1388">
                  <c:v>3485</c:v>
                </c:pt>
                <c:pt idx="1389">
                  <c:v>3485</c:v>
                </c:pt>
                <c:pt idx="1390">
                  <c:v>3485</c:v>
                </c:pt>
                <c:pt idx="1391">
                  <c:v>3485</c:v>
                </c:pt>
                <c:pt idx="1392">
                  <c:v>3485</c:v>
                </c:pt>
                <c:pt idx="1393">
                  <c:v>3485</c:v>
                </c:pt>
                <c:pt idx="1394">
                  <c:v>3485</c:v>
                </c:pt>
                <c:pt idx="1395">
                  <c:v>3305</c:v>
                </c:pt>
                <c:pt idx="1396">
                  <c:v>3305</c:v>
                </c:pt>
                <c:pt idx="1397">
                  <c:v>3305</c:v>
                </c:pt>
                <c:pt idx="1398">
                  <c:v>3485</c:v>
                </c:pt>
                <c:pt idx="1399">
                  <c:v>3485</c:v>
                </c:pt>
                <c:pt idx="1400">
                  <c:v>3485</c:v>
                </c:pt>
                <c:pt idx="1401">
                  <c:v>3485</c:v>
                </c:pt>
                <c:pt idx="1402">
                  <c:v>3485</c:v>
                </c:pt>
                <c:pt idx="1403">
                  <c:v>3485</c:v>
                </c:pt>
                <c:pt idx="1404">
                  <c:v>3485</c:v>
                </c:pt>
                <c:pt idx="1405">
                  <c:v>3485</c:v>
                </c:pt>
                <c:pt idx="1406">
                  <c:v>3485</c:v>
                </c:pt>
                <c:pt idx="1407">
                  <c:v>3485</c:v>
                </c:pt>
                <c:pt idx="1408">
                  <c:v>3485</c:v>
                </c:pt>
                <c:pt idx="1409">
                  <c:v>3485</c:v>
                </c:pt>
                <c:pt idx="1410">
                  <c:v>3485</c:v>
                </c:pt>
                <c:pt idx="1411">
                  <c:v>3485</c:v>
                </c:pt>
                <c:pt idx="1412">
                  <c:v>3485</c:v>
                </c:pt>
                <c:pt idx="1413">
                  <c:v>3485</c:v>
                </c:pt>
                <c:pt idx="1414">
                  <c:v>3485</c:v>
                </c:pt>
                <c:pt idx="1415">
                  <c:v>3485</c:v>
                </c:pt>
                <c:pt idx="1416">
                  <c:v>3485</c:v>
                </c:pt>
                <c:pt idx="1417">
                  <c:v>3485</c:v>
                </c:pt>
                <c:pt idx="1418">
                  <c:v>3485</c:v>
                </c:pt>
                <c:pt idx="1419">
                  <c:v>3485</c:v>
                </c:pt>
                <c:pt idx="1420">
                  <c:v>3485</c:v>
                </c:pt>
                <c:pt idx="1421">
                  <c:v>3485</c:v>
                </c:pt>
                <c:pt idx="1422">
                  <c:v>3485</c:v>
                </c:pt>
                <c:pt idx="1423">
                  <c:v>3485</c:v>
                </c:pt>
                <c:pt idx="1424">
                  <c:v>3485</c:v>
                </c:pt>
                <c:pt idx="1425">
                  <c:v>3485</c:v>
                </c:pt>
                <c:pt idx="1426">
                  <c:v>3485</c:v>
                </c:pt>
                <c:pt idx="1427">
                  <c:v>3485</c:v>
                </c:pt>
                <c:pt idx="1428">
                  <c:v>3485</c:v>
                </c:pt>
                <c:pt idx="1429">
                  <c:v>3485</c:v>
                </c:pt>
                <c:pt idx="1430">
                  <c:v>3485</c:v>
                </c:pt>
                <c:pt idx="1431">
                  <c:v>3485</c:v>
                </c:pt>
                <c:pt idx="1432">
                  <c:v>3485</c:v>
                </c:pt>
                <c:pt idx="1433">
                  <c:v>3485</c:v>
                </c:pt>
                <c:pt idx="1434">
                  <c:v>3485</c:v>
                </c:pt>
                <c:pt idx="1435">
                  <c:v>3485</c:v>
                </c:pt>
                <c:pt idx="1436">
                  <c:v>3485</c:v>
                </c:pt>
                <c:pt idx="1437">
                  <c:v>3485</c:v>
                </c:pt>
                <c:pt idx="1438">
                  <c:v>3485</c:v>
                </c:pt>
                <c:pt idx="1439">
                  <c:v>3485</c:v>
                </c:pt>
                <c:pt idx="1440">
                  <c:v>3485</c:v>
                </c:pt>
                <c:pt idx="1441">
                  <c:v>3485</c:v>
                </c:pt>
                <c:pt idx="1442">
                  <c:v>3485</c:v>
                </c:pt>
                <c:pt idx="1443">
                  <c:v>3485</c:v>
                </c:pt>
                <c:pt idx="1444">
                  <c:v>3485</c:v>
                </c:pt>
                <c:pt idx="1445">
                  <c:v>3485</c:v>
                </c:pt>
                <c:pt idx="1446">
                  <c:v>3485</c:v>
                </c:pt>
                <c:pt idx="1447">
                  <c:v>3485</c:v>
                </c:pt>
                <c:pt idx="1448">
                  <c:v>3485</c:v>
                </c:pt>
                <c:pt idx="1449">
                  <c:v>3485</c:v>
                </c:pt>
                <c:pt idx="1450">
                  <c:v>3485</c:v>
                </c:pt>
                <c:pt idx="1451">
                  <c:v>3485</c:v>
                </c:pt>
                <c:pt idx="1452">
                  <c:v>3485</c:v>
                </c:pt>
                <c:pt idx="1453">
                  <c:v>3485</c:v>
                </c:pt>
                <c:pt idx="1454">
                  <c:v>2615</c:v>
                </c:pt>
                <c:pt idx="1455">
                  <c:v>3485</c:v>
                </c:pt>
                <c:pt idx="1456">
                  <c:v>3485</c:v>
                </c:pt>
                <c:pt idx="1457">
                  <c:v>3485</c:v>
                </c:pt>
                <c:pt idx="1458">
                  <c:v>3485</c:v>
                </c:pt>
                <c:pt idx="1459">
                  <c:v>3485</c:v>
                </c:pt>
                <c:pt idx="1460">
                  <c:v>3485</c:v>
                </c:pt>
                <c:pt idx="1461">
                  <c:v>3485</c:v>
                </c:pt>
                <c:pt idx="1462">
                  <c:v>3485</c:v>
                </c:pt>
                <c:pt idx="1463">
                  <c:v>3485</c:v>
                </c:pt>
                <c:pt idx="1464">
                  <c:v>3485</c:v>
                </c:pt>
                <c:pt idx="1465">
                  <c:v>3485</c:v>
                </c:pt>
                <c:pt idx="1466">
                  <c:v>3485</c:v>
                </c:pt>
                <c:pt idx="1467">
                  <c:v>3485</c:v>
                </c:pt>
                <c:pt idx="1468">
                  <c:v>3485</c:v>
                </c:pt>
                <c:pt idx="1469">
                  <c:v>3485</c:v>
                </c:pt>
                <c:pt idx="1470">
                  <c:v>3485</c:v>
                </c:pt>
                <c:pt idx="1471">
                  <c:v>3485</c:v>
                </c:pt>
                <c:pt idx="1472">
                  <c:v>3485</c:v>
                </c:pt>
                <c:pt idx="1473">
                  <c:v>3485</c:v>
                </c:pt>
                <c:pt idx="1474">
                  <c:v>3485</c:v>
                </c:pt>
                <c:pt idx="1475">
                  <c:v>3485</c:v>
                </c:pt>
                <c:pt idx="1476">
                  <c:v>3485</c:v>
                </c:pt>
                <c:pt idx="1477">
                  <c:v>3485</c:v>
                </c:pt>
                <c:pt idx="1478">
                  <c:v>3485</c:v>
                </c:pt>
                <c:pt idx="1479">
                  <c:v>3485</c:v>
                </c:pt>
                <c:pt idx="1480">
                  <c:v>3485</c:v>
                </c:pt>
                <c:pt idx="1481">
                  <c:v>3485</c:v>
                </c:pt>
                <c:pt idx="1482">
                  <c:v>3485</c:v>
                </c:pt>
                <c:pt idx="1483">
                  <c:v>3485</c:v>
                </c:pt>
                <c:pt idx="1484">
                  <c:v>3485</c:v>
                </c:pt>
                <c:pt idx="1485">
                  <c:v>3485</c:v>
                </c:pt>
                <c:pt idx="1486">
                  <c:v>3485</c:v>
                </c:pt>
                <c:pt idx="1487">
                  <c:v>3485</c:v>
                </c:pt>
                <c:pt idx="1488">
                  <c:v>3485</c:v>
                </c:pt>
                <c:pt idx="1489">
                  <c:v>3485</c:v>
                </c:pt>
                <c:pt idx="1490">
                  <c:v>3485</c:v>
                </c:pt>
                <c:pt idx="1491">
                  <c:v>3485</c:v>
                </c:pt>
                <c:pt idx="1492">
                  <c:v>3485</c:v>
                </c:pt>
                <c:pt idx="1493">
                  <c:v>3485</c:v>
                </c:pt>
                <c:pt idx="1494">
                  <c:v>3485</c:v>
                </c:pt>
                <c:pt idx="1495">
                  <c:v>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E2-43C2-A9E5-4CA04C7CD3C7}"/>
            </c:ext>
          </c:extLst>
        </c:ser>
        <c:ser>
          <c:idx val="4"/>
          <c:order val="4"/>
          <c:tx>
            <c:v>Obligations du Trésor &gt; 1 an</c:v>
          </c:tx>
          <c:spPr>
            <a:solidFill>
              <a:schemeClr val="accent5">
                <a:alpha val="85000"/>
              </a:schemeClr>
            </a:solidFill>
            <a:ln w="25400"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BASE!$A$2:$A$1497</c:f>
              <c:numCache>
                <c:formatCode>m/d/yyyy</c:formatCode>
                <c:ptCount val="1496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  <c:pt idx="1495">
                  <c:v>46057</c:v>
                </c:pt>
              </c:numCache>
            </c:numRef>
          </c:cat>
          <c:val>
            <c:numRef>
              <c:f>BASE!$H$2:$H$1497</c:f>
              <c:numCache>
                <c:formatCode>_-* #\ ##0_-;\-* #\ ##0_-;_-* "-"??_-;_-@_-</c:formatCode>
                <c:ptCount val="14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400</c:v>
                </c:pt>
                <c:pt idx="776">
                  <c:v>400</c:v>
                </c:pt>
                <c:pt idx="777">
                  <c:v>400</c:v>
                </c:pt>
                <c:pt idx="778">
                  <c:v>400</c:v>
                </c:pt>
                <c:pt idx="779">
                  <c:v>400</c:v>
                </c:pt>
                <c:pt idx="780">
                  <c:v>400</c:v>
                </c:pt>
                <c:pt idx="781">
                  <c:v>400</c:v>
                </c:pt>
                <c:pt idx="782">
                  <c:v>400</c:v>
                </c:pt>
                <c:pt idx="783">
                  <c:v>400</c:v>
                </c:pt>
                <c:pt idx="784">
                  <c:v>400</c:v>
                </c:pt>
                <c:pt idx="785">
                  <c:v>400</c:v>
                </c:pt>
                <c:pt idx="786">
                  <c:v>400</c:v>
                </c:pt>
                <c:pt idx="787">
                  <c:v>400</c:v>
                </c:pt>
                <c:pt idx="788">
                  <c:v>400</c:v>
                </c:pt>
                <c:pt idx="789">
                  <c:v>400</c:v>
                </c:pt>
                <c:pt idx="790">
                  <c:v>400</c:v>
                </c:pt>
                <c:pt idx="791">
                  <c:v>400</c:v>
                </c:pt>
                <c:pt idx="792">
                  <c:v>400</c:v>
                </c:pt>
                <c:pt idx="793">
                  <c:v>400</c:v>
                </c:pt>
                <c:pt idx="794">
                  <c:v>400</c:v>
                </c:pt>
                <c:pt idx="795">
                  <c:v>400</c:v>
                </c:pt>
                <c:pt idx="796">
                  <c:v>400</c:v>
                </c:pt>
                <c:pt idx="797">
                  <c:v>400</c:v>
                </c:pt>
                <c:pt idx="798">
                  <c:v>400</c:v>
                </c:pt>
                <c:pt idx="799">
                  <c:v>400</c:v>
                </c:pt>
                <c:pt idx="800">
                  <c:v>400</c:v>
                </c:pt>
                <c:pt idx="801">
                  <c:v>400</c:v>
                </c:pt>
                <c:pt idx="802">
                  <c:v>400</c:v>
                </c:pt>
                <c:pt idx="803">
                  <c:v>400</c:v>
                </c:pt>
                <c:pt idx="804">
                  <c:v>400</c:v>
                </c:pt>
                <c:pt idx="805">
                  <c:v>400</c:v>
                </c:pt>
                <c:pt idx="806">
                  <c:v>400</c:v>
                </c:pt>
                <c:pt idx="807">
                  <c:v>400</c:v>
                </c:pt>
                <c:pt idx="808">
                  <c:v>400</c:v>
                </c:pt>
                <c:pt idx="809">
                  <c:v>400</c:v>
                </c:pt>
                <c:pt idx="810">
                  <c:v>400</c:v>
                </c:pt>
                <c:pt idx="811">
                  <c:v>400</c:v>
                </c:pt>
                <c:pt idx="812">
                  <c:v>400</c:v>
                </c:pt>
                <c:pt idx="813">
                  <c:v>400</c:v>
                </c:pt>
                <c:pt idx="814">
                  <c:v>400</c:v>
                </c:pt>
                <c:pt idx="815">
                  <c:v>400</c:v>
                </c:pt>
                <c:pt idx="816">
                  <c:v>400</c:v>
                </c:pt>
                <c:pt idx="817">
                  <c:v>400</c:v>
                </c:pt>
                <c:pt idx="818">
                  <c:v>400</c:v>
                </c:pt>
                <c:pt idx="819">
                  <c:v>400</c:v>
                </c:pt>
                <c:pt idx="820">
                  <c:v>400</c:v>
                </c:pt>
                <c:pt idx="821">
                  <c:v>400</c:v>
                </c:pt>
                <c:pt idx="822">
                  <c:v>400</c:v>
                </c:pt>
                <c:pt idx="823">
                  <c:v>400</c:v>
                </c:pt>
                <c:pt idx="824">
                  <c:v>400</c:v>
                </c:pt>
                <c:pt idx="825">
                  <c:v>400</c:v>
                </c:pt>
                <c:pt idx="826">
                  <c:v>400</c:v>
                </c:pt>
                <c:pt idx="827">
                  <c:v>400</c:v>
                </c:pt>
                <c:pt idx="828">
                  <c:v>400</c:v>
                </c:pt>
                <c:pt idx="829">
                  <c:v>400</c:v>
                </c:pt>
                <c:pt idx="830">
                  <c:v>400</c:v>
                </c:pt>
                <c:pt idx="831">
                  <c:v>400</c:v>
                </c:pt>
                <c:pt idx="832">
                  <c:v>400</c:v>
                </c:pt>
                <c:pt idx="833">
                  <c:v>400</c:v>
                </c:pt>
                <c:pt idx="834">
                  <c:v>400</c:v>
                </c:pt>
                <c:pt idx="835">
                  <c:v>400</c:v>
                </c:pt>
                <c:pt idx="836">
                  <c:v>400</c:v>
                </c:pt>
                <c:pt idx="837">
                  <c:v>400</c:v>
                </c:pt>
                <c:pt idx="838">
                  <c:v>400</c:v>
                </c:pt>
                <c:pt idx="839">
                  <c:v>400</c:v>
                </c:pt>
                <c:pt idx="840">
                  <c:v>400</c:v>
                </c:pt>
                <c:pt idx="841">
                  <c:v>400</c:v>
                </c:pt>
                <c:pt idx="842">
                  <c:v>400</c:v>
                </c:pt>
                <c:pt idx="843">
                  <c:v>400</c:v>
                </c:pt>
                <c:pt idx="844">
                  <c:v>400</c:v>
                </c:pt>
                <c:pt idx="845">
                  <c:v>400</c:v>
                </c:pt>
                <c:pt idx="846">
                  <c:v>400</c:v>
                </c:pt>
                <c:pt idx="847">
                  <c:v>400</c:v>
                </c:pt>
                <c:pt idx="848">
                  <c:v>400</c:v>
                </c:pt>
                <c:pt idx="849">
                  <c:v>400</c:v>
                </c:pt>
                <c:pt idx="850">
                  <c:v>400</c:v>
                </c:pt>
                <c:pt idx="851">
                  <c:v>400</c:v>
                </c:pt>
                <c:pt idx="852">
                  <c:v>400</c:v>
                </c:pt>
                <c:pt idx="853">
                  <c:v>400</c:v>
                </c:pt>
                <c:pt idx="854">
                  <c:v>400</c:v>
                </c:pt>
                <c:pt idx="855">
                  <c:v>400</c:v>
                </c:pt>
                <c:pt idx="856">
                  <c:v>400</c:v>
                </c:pt>
                <c:pt idx="857">
                  <c:v>400</c:v>
                </c:pt>
                <c:pt idx="858">
                  <c:v>400</c:v>
                </c:pt>
                <c:pt idx="859">
                  <c:v>400</c:v>
                </c:pt>
                <c:pt idx="860">
                  <c:v>400</c:v>
                </c:pt>
                <c:pt idx="861">
                  <c:v>400</c:v>
                </c:pt>
                <c:pt idx="862">
                  <c:v>400</c:v>
                </c:pt>
                <c:pt idx="863">
                  <c:v>400</c:v>
                </c:pt>
                <c:pt idx="864">
                  <c:v>400</c:v>
                </c:pt>
                <c:pt idx="865">
                  <c:v>400</c:v>
                </c:pt>
                <c:pt idx="866">
                  <c:v>400</c:v>
                </c:pt>
                <c:pt idx="867">
                  <c:v>400</c:v>
                </c:pt>
                <c:pt idx="868">
                  <c:v>400</c:v>
                </c:pt>
                <c:pt idx="869">
                  <c:v>400</c:v>
                </c:pt>
                <c:pt idx="870">
                  <c:v>400</c:v>
                </c:pt>
                <c:pt idx="871">
                  <c:v>400</c:v>
                </c:pt>
                <c:pt idx="872">
                  <c:v>400</c:v>
                </c:pt>
                <c:pt idx="873">
                  <c:v>400</c:v>
                </c:pt>
                <c:pt idx="874">
                  <c:v>400</c:v>
                </c:pt>
                <c:pt idx="875">
                  <c:v>400</c:v>
                </c:pt>
                <c:pt idx="876">
                  <c:v>400</c:v>
                </c:pt>
                <c:pt idx="877">
                  <c:v>400</c:v>
                </c:pt>
                <c:pt idx="878">
                  <c:v>400</c:v>
                </c:pt>
                <c:pt idx="879">
                  <c:v>400</c:v>
                </c:pt>
                <c:pt idx="880">
                  <c:v>400</c:v>
                </c:pt>
                <c:pt idx="881">
                  <c:v>400</c:v>
                </c:pt>
                <c:pt idx="882">
                  <c:v>400</c:v>
                </c:pt>
                <c:pt idx="883">
                  <c:v>400</c:v>
                </c:pt>
                <c:pt idx="884">
                  <c:v>400</c:v>
                </c:pt>
                <c:pt idx="885">
                  <c:v>400</c:v>
                </c:pt>
                <c:pt idx="886">
                  <c:v>400</c:v>
                </c:pt>
                <c:pt idx="887">
                  <c:v>400</c:v>
                </c:pt>
                <c:pt idx="888">
                  <c:v>400</c:v>
                </c:pt>
                <c:pt idx="889">
                  <c:v>400</c:v>
                </c:pt>
                <c:pt idx="890">
                  <c:v>400</c:v>
                </c:pt>
                <c:pt idx="891">
                  <c:v>400</c:v>
                </c:pt>
                <c:pt idx="892">
                  <c:v>400</c:v>
                </c:pt>
                <c:pt idx="893">
                  <c:v>400</c:v>
                </c:pt>
                <c:pt idx="894">
                  <c:v>400</c:v>
                </c:pt>
                <c:pt idx="895">
                  <c:v>400</c:v>
                </c:pt>
                <c:pt idx="896">
                  <c:v>400</c:v>
                </c:pt>
                <c:pt idx="897">
                  <c:v>400</c:v>
                </c:pt>
                <c:pt idx="898">
                  <c:v>400</c:v>
                </c:pt>
                <c:pt idx="899">
                  <c:v>400</c:v>
                </c:pt>
                <c:pt idx="900">
                  <c:v>400</c:v>
                </c:pt>
                <c:pt idx="901">
                  <c:v>400</c:v>
                </c:pt>
                <c:pt idx="902">
                  <c:v>400</c:v>
                </c:pt>
                <c:pt idx="903">
                  <c:v>400</c:v>
                </c:pt>
                <c:pt idx="904">
                  <c:v>400</c:v>
                </c:pt>
                <c:pt idx="905">
                  <c:v>400</c:v>
                </c:pt>
                <c:pt idx="906">
                  <c:v>400</c:v>
                </c:pt>
                <c:pt idx="907">
                  <c:v>400</c:v>
                </c:pt>
                <c:pt idx="908">
                  <c:v>900</c:v>
                </c:pt>
                <c:pt idx="909">
                  <c:v>900</c:v>
                </c:pt>
                <c:pt idx="910">
                  <c:v>900</c:v>
                </c:pt>
                <c:pt idx="911">
                  <c:v>900</c:v>
                </c:pt>
                <c:pt idx="912">
                  <c:v>900</c:v>
                </c:pt>
                <c:pt idx="913">
                  <c:v>900</c:v>
                </c:pt>
                <c:pt idx="914">
                  <c:v>900</c:v>
                </c:pt>
                <c:pt idx="915">
                  <c:v>900</c:v>
                </c:pt>
                <c:pt idx="916">
                  <c:v>900</c:v>
                </c:pt>
                <c:pt idx="917">
                  <c:v>900</c:v>
                </c:pt>
                <c:pt idx="918">
                  <c:v>900</c:v>
                </c:pt>
                <c:pt idx="919">
                  <c:v>900</c:v>
                </c:pt>
                <c:pt idx="920">
                  <c:v>900</c:v>
                </c:pt>
                <c:pt idx="921">
                  <c:v>900</c:v>
                </c:pt>
                <c:pt idx="922">
                  <c:v>900</c:v>
                </c:pt>
                <c:pt idx="923">
                  <c:v>900</c:v>
                </c:pt>
                <c:pt idx="924">
                  <c:v>900</c:v>
                </c:pt>
                <c:pt idx="925">
                  <c:v>900</c:v>
                </c:pt>
                <c:pt idx="926">
                  <c:v>900</c:v>
                </c:pt>
                <c:pt idx="927">
                  <c:v>900</c:v>
                </c:pt>
                <c:pt idx="928">
                  <c:v>900</c:v>
                </c:pt>
                <c:pt idx="929">
                  <c:v>900</c:v>
                </c:pt>
                <c:pt idx="930">
                  <c:v>900</c:v>
                </c:pt>
                <c:pt idx="931">
                  <c:v>900</c:v>
                </c:pt>
                <c:pt idx="932">
                  <c:v>900</c:v>
                </c:pt>
                <c:pt idx="933">
                  <c:v>900</c:v>
                </c:pt>
                <c:pt idx="934">
                  <c:v>900</c:v>
                </c:pt>
                <c:pt idx="935">
                  <c:v>900</c:v>
                </c:pt>
                <c:pt idx="936">
                  <c:v>900</c:v>
                </c:pt>
                <c:pt idx="937">
                  <c:v>900</c:v>
                </c:pt>
                <c:pt idx="938">
                  <c:v>900</c:v>
                </c:pt>
                <c:pt idx="939">
                  <c:v>900</c:v>
                </c:pt>
                <c:pt idx="940">
                  <c:v>900</c:v>
                </c:pt>
                <c:pt idx="941">
                  <c:v>900</c:v>
                </c:pt>
                <c:pt idx="942">
                  <c:v>900</c:v>
                </c:pt>
                <c:pt idx="943">
                  <c:v>900</c:v>
                </c:pt>
                <c:pt idx="944">
                  <c:v>900</c:v>
                </c:pt>
                <c:pt idx="945">
                  <c:v>900</c:v>
                </c:pt>
                <c:pt idx="946">
                  <c:v>900</c:v>
                </c:pt>
                <c:pt idx="947">
                  <c:v>900</c:v>
                </c:pt>
                <c:pt idx="948">
                  <c:v>900</c:v>
                </c:pt>
                <c:pt idx="949">
                  <c:v>900</c:v>
                </c:pt>
                <c:pt idx="950">
                  <c:v>900</c:v>
                </c:pt>
                <c:pt idx="951">
                  <c:v>900</c:v>
                </c:pt>
                <c:pt idx="952">
                  <c:v>900</c:v>
                </c:pt>
                <c:pt idx="953">
                  <c:v>900</c:v>
                </c:pt>
                <c:pt idx="954">
                  <c:v>900</c:v>
                </c:pt>
                <c:pt idx="955">
                  <c:v>900</c:v>
                </c:pt>
                <c:pt idx="956">
                  <c:v>900</c:v>
                </c:pt>
                <c:pt idx="957">
                  <c:v>900</c:v>
                </c:pt>
                <c:pt idx="958">
                  <c:v>900</c:v>
                </c:pt>
                <c:pt idx="959">
                  <c:v>900</c:v>
                </c:pt>
                <c:pt idx="960">
                  <c:v>900</c:v>
                </c:pt>
                <c:pt idx="961">
                  <c:v>900</c:v>
                </c:pt>
                <c:pt idx="962">
                  <c:v>900</c:v>
                </c:pt>
                <c:pt idx="963">
                  <c:v>900</c:v>
                </c:pt>
                <c:pt idx="964">
                  <c:v>900</c:v>
                </c:pt>
                <c:pt idx="965">
                  <c:v>900</c:v>
                </c:pt>
                <c:pt idx="966">
                  <c:v>900</c:v>
                </c:pt>
                <c:pt idx="967">
                  <c:v>900</c:v>
                </c:pt>
                <c:pt idx="968">
                  <c:v>900</c:v>
                </c:pt>
                <c:pt idx="969">
                  <c:v>900</c:v>
                </c:pt>
                <c:pt idx="970">
                  <c:v>900</c:v>
                </c:pt>
                <c:pt idx="971">
                  <c:v>2400</c:v>
                </c:pt>
                <c:pt idx="972">
                  <c:v>2400</c:v>
                </c:pt>
                <c:pt idx="973">
                  <c:v>2400</c:v>
                </c:pt>
                <c:pt idx="974">
                  <c:v>2400</c:v>
                </c:pt>
                <c:pt idx="975">
                  <c:v>2400</c:v>
                </c:pt>
                <c:pt idx="976">
                  <c:v>2400</c:v>
                </c:pt>
                <c:pt idx="977">
                  <c:v>2400</c:v>
                </c:pt>
                <c:pt idx="978">
                  <c:v>2400</c:v>
                </c:pt>
                <c:pt idx="979">
                  <c:v>2400</c:v>
                </c:pt>
                <c:pt idx="980">
                  <c:v>2400</c:v>
                </c:pt>
                <c:pt idx="981">
                  <c:v>2400</c:v>
                </c:pt>
                <c:pt idx="982">
                  <c:v>2400</c:v>
                </c:pt>
                <c:pt idx="983">
                  <c:v>2400</c:v>
                </c:pt>
                <c:pt idx="984">
                  <c:v>2400</c:v>
                </c:pt>
                <c:pt idx="985">
                  <c:v>2400</c:v>
                </c:pt>
                <c:pt idx="986">
                  <c:v>2400</c:v>
                </c:pt>
                <c:pt idx="987">
                  <c:v>2400</c:v>
                </c:pt>
                <c:pt idx="988">
                  <c:v>2400</c:v>
                </c:pt>
                <c:pt idx="989">
                  <c:v>2400</c:v>
                </c:pt>
                <c:pt idx="990">
                  <c:v>2400</c:v>
                </c:pt>
                <c:pt idx="991">
                  <c:v>2400</c:v>
                </c:pt>
                <c:pt idx="992">
                  <c:v>2400</c:v>
                </c:pt>
                <c:pt idx="993">
                  <c:v>2400</c:v>
                </c:pt>
                <c:pt idx="994">
                  <c:v>2400</c:v>
                </c:pt>
                <c:pt idx="995">
                  <c:v>2400</c:v>
                </c:pt>
                <c:pt idx="996">
                  <c:v>2400</c:v>
                </c:pt>
                <c:pt idx="997">
                  <c:v>2400</c:v>
                </c:pt>
                <c:pt idx="998">
                  <c:v>2400</c:v>
                </c:pt>
                <c:pt idx="999">
                  <c:v>2400</c:v>
                </c:pt>
                <c:pt idx="1000">
                  <c:v>2400</c:v>
                </c:pt>
                <c:pt idx="1001">
                  <c:v>2400</c:v>
                </c:pt>
                <c:pt idx="1002">
                  <c:v>2400</c:v>
                </c:pt>
                <c:pt idx="1003">
                  <c:v>2400</c:v>
                </c:pt>
                <c:pt idx="1004">
                  <c:v>2400</c:v>
                </c:pt>
                <c:pt idx="1005">
                  <c:v>2400</c:v>
                </c:pt>
                <c:pt idx="1006">
                  <c:v>2400</c:v>
                </c:pt>
                <c:pt idx="1007">
                  <c:v>2400</c:v>
                </c:pt>
                <c:pt idx="1008">
                  <c:v>2400</c:v>
                </c:pt>
                <c:pt idx="1009">
                  <c:v>2400</c:v>
                </c:pt>
                <c:pt idx="1010">
                  <c:v>2400</c:v>
                </c:pt>
                <c:pt idx="1011">
                  <c:v>2400</c:v>
                </c:pt>
                <c:pt idx="1012">
                  <c:v>2400</c:v>
                </c:pt>
                <c:pt idx="1013">
                  <c:v>2400</c:v>
                </c:pt>
                <c:pt idx="1014">
                  <c:v>2400</c:v>
                </c:pt>
                <c:pt idx="1015">
                  <c:v>2400</c:v>
                </c:pt>
                <c:pt idx="1016">
                  <c:v>2400</c:v>
                </c:pt>
                <c:pt idx="1017">
                  <c:v>2400</c:v>
                </c:pt>
                <c:pt idx="1018">
                  <c:v>2400</c:v>
                </c:pt>
                <c:pt idx="1019">
                  <c:v>2400</c:v>
                </c:pt>
                <c:pt idx="1020">
                  <c:v>3900</c:v>
                </c:pt>
                <c:pt idx="1021">
                  <c:v>3900</c:v>
                </c:pt>
                <c:pt idx="1022">
                  <c:v>3900</c:v>
                </c:pt>
                <c:pt idx="1023">
                  <c:v>3900</c:v>
                </c:pt>
                <c:pt idx="1024">
                  <c:v>3900</c:v>
                </c:pt>
                <c:pt idx="1025">
                  <c:v>3900</c:v>
                </c:pt>
                <c:pt idx="1026">
                  <c:v>3900</c:v>
                </c:pt>
                <c:pt idx="1027">
                  <c:v>3900</c:v>
                </c:pt>
                <c:pt idx="1028">
                  <c:v>3900</c:v>
                </c:pt>
                <c:pt idx="1029">
                  <c:v>3900</c:v>
                </c:pt>
                <c:pt idx="1030">
                  <c:v>3900</c:v>
                </c:pt>
                <c:pt idx="1031">
                  <c:v>3900</c:v>
                </c:pt>
                <c:pt idx="1032">
                  <c:v>3900</c:v>
                </c:pt>
                <c:pt idx="1033">
                  <c:v>3900</c:v>
                </c:pt>
                <c:pt idx="1034">
                  <c:v>3900</c:v>
                </c:pt>
                <c:pt idx="1035">
                  <c:v>3900</c:v>
                </c:pt>
                <c:pt idx="1036">
                  <c:v>3900</c:v>
                </c:pt>
                <c:pt idx="1037">
                  <c:v>3900</c:v>
                </c:pt>
                <c:pt idx="1038">
                  <c:v>3900</c:v>
                </c:pt>
                <c:pt idx="1039">
                  <c:v>3900</c:v>
                </c:pt>
                <c:pt idx="1040">
                  <c:v>3900</c:v>
                </c:pt>
                <c:pt idx="1041">
                  <c:v>3900</c:v>
                </c:pt>
                <c:pt idx="1042">
                  <c:v>3900</c:v>
                </c:pt>
                <c:pt idx="1043">
                  <c:v>3900</c:v>
                </c:pt>
                <c:pt idx="1044">
                  <c:v>3900</c:v>
                </c:pt>
                <c:pt idx="1045">
                  <c:v>3900</c:v>
                </c:pt>
                <c:pt idx="1046">
                  <c:v>3900</c:v>
                </c:pt>
                <c:pt idx="1047">
                  <c:v>3900</c:v>
                </c:pt>
                <c:pt idx="1048">
                  <c:v>3900</c:v>
                </c:pt>
                <c:pt idx="1049">
                  <c:v>3900</c:v>
                </c:pt>
                <c:pt idx="1050">
                  <c:v>3900</c:v>
                </c:pt>
                <c:pt idx="1051">
                  <c:v>3900</c:v>
                </c:pt>
                <c:pt idx="1052">
                  <c:v>3900</c:v>
                </c:pt>
                <c:pt idx="1053">
                  <c:v>3900</c:v>
                </c:pt>
                <c:pt idx="1054">
                  <c:v>3900</c:v>
                </c:pt>
                <c:pt idx="1055">
                  <c:v>3900</c:v>
                </c:pt>
                <c:pt idx="1056">
                  <c:v>3900</c:v>
                </c:pt>
                <c:pt idx="1057">
                  <c:v>3900</c:v>
                </c:pt>
                <c:pt idx="1058">
                  <c:v>3900</c:v>
                </c:pt>
                <c:pt idx="1059">
                  <c:v>3900</c:v>
                </c:pt>
                <c:pt idx="1060">
                  <c:v>3900</c:v>
                </c:pt>
                <c:pt idx="1061">
                  <c:v>3900</c:v>
                </c:pt>
                <c:pt idx="1062">
                  <c:v>3900</c:v>
                </c:pt>
                <c:pt idx="1063">
                  <c:v>3900</c:v>
                </c:pt>
                <c:pt idx="1064">
                  <c:v>3900</c:v>
                </c:pt>
                <c:pt idx="1065">
                  <c:v>3900</c:v>
                </c:pt>
                <c:pt idx="1066">
                  <c:v>3900</c:v>
                </c:pt>
                <c:pt idx="1067">
                  <c:v>3900</c:v>
                </c:pt>
                <c:pt idx="1068">
                  <c:v>3900</c:v>
                </c:pt>
                <c:pt idx="1069">
                  <c:v>3900</c:v>
                </c:pt>
                <c:pt idx="1070">
                  <c:v>3900</c:v>
                </c:pt>
                <c:pt idx="1071">
                  <c:v>3900</c:v>
                </c:pt>
                <c:pt idx="1072">
                  <c:v>3900</c:v>
                </c:pt>
                <c:pt idx="1073">
                  <c:v>3900</c:v>
                </c:pt>
                <c:pt idx="1074">
                  <c:v>3900</c:v>
                </c:pt>
                <c:pt idx="1075">
                  <c:v>3900</c:v>
                </c:pt>
                <c:pt idx="1076">
                  <c:v>3900</c:v>
                </c:pt>
                <c:pt idx="1077">
                  <c:v>3900</c:v>
                </c:pt>
                <c:pt idx="1078">
                  <c:v>3900</c:v>
                </c:pt>
                <c:pt idx="1079">
                  <c:v>3900</c:v>
                </c:pt>
                <c:pt idx="1080">
                  <c:v>3900</c:v>
                </c:pt>
                <c:pt idx="1081">
                  <c:v>3900</c:v>
                </c:pt>
                <c:pt idx="1082">
                  <c:v>3900</c:v>
                </c:pt>
                <c:pt idx="1083">
                  <c:v>3900</c:v>
                </c:pt>
                <c:pt idx="1084">
                  <c:v>3900</c:v>
                </c:pt>
                <c:pt idx="1085">
                  <c:v>3900</c:v>
                </c:pt>
                <c:pt idx="1086">
                  <c:v>3900</c:v>
                </c:pt>
                <c:pt idx="1087">
                  <c:v>3900</c:v>
                </c:pt>
                <c:pt idx="1088">
                  <c:v>3900</c:v>
                </c:pt>
                <c:pt idx="1089">
                  <c:v>3900</c:v>
                </c:pt>
                <c:pt idx="1090">
                  <c:v>3900</c:v>
                </c:pt>
                <c:pt idx="1091">
                  <c:v>3900</c:v>
                </c:pt>
                <c:pt idx="1092">
                  <c:v>3900</c:v>
                </c:pt>
                <c:pt idx="1093">
                  <c:v>3900</c:v>
                </c:pt>
                <c:pt idx="1094">
                  <c:v>3900</c:v>
                </c:pt>
                <c:pt idx="1095">
                  <c:v>3900</c:v>
                </c:pt>
                <c:pt idx="1096">
                  <c:v>3900</c:v>
                </c:pt>
                <c:pt idx="1097">
                  <c:v>3900</c:v>
                </c:pt>
                <c:pt idx="1098">
                  <c:v>3900</c:v>
                </c:pt>
                <c:pt idx="1099">
                  <c:v>3900</c:v>
                </c:pt>
                <c:pt idx="1100">
                  <c:v>3900</c:v>
                </c:pt>
                <c:pt idx="1101">
                  <c:v>3900</c:v>
                </c:pt>
                <c:pt idx="1102">
                  <c:v>3900</c:v>
                </c:pt>
                <c:pt idx="1103">
                  <c:v>3900</c:v>
                </c:pt>
                <c:pt idx="1104">
                  <c:v>3900</c:v>
                </c:pt>
                <c:pt idx="1105">
                  <c:v>3900</c:v>
                </c:pt>
                <c:pt idx="1106">
                  <c:v>3900</c:v>
                </c:pt>
                <c:pt idx="1107">
                  <c:v>3900</c:v>
                </c:pt>
                <c:pt idx="1108">
                  <c:v>3900</c:v>
                </c:pt>
                <c:pt idx="1109">
                  <c:v>3900</c:v>
                </c:pt>
                <c:pt idx="1110">
                  <c:v>3900</c:v>
                </c:pt>
                <c:pt idx="1111">
                  <c:v>3900</c:v>
                </c:pt>
                <c:pt idx="1112">
                  <c:v>3900</c:v>
                </c:pt>
                <c:pt idx="1113">
                  <c:v>3900</c:v>
                </c:pt>
                <c:pt idx="1114">
                  <c:v>3900</c:v>
                </c:pt>
                <c:pt idx="1115">
                  <c:v>3900</c:v>
                </c:pt>
                <c:pt idx="1116">
                  <c:v>3900</c:v>
                </c:pt>
                <c:pt idx="1117">
                  <c:v>3900</c:v>
                </c:pt>
                <c:pt idx="1118">
                  <c:v>3900</c:v>
                </c:pt>
                <c:pt idx="1119">
                  <c:v>3900</c:v>
                </c:pt>
                <c:pt idx="1120">
                  <c:v>3900</c:v>
                </c:pt>
                <c:pt idx="1121">
                  <c:v>3900</c:v>
                </c:pt>
                <c:pt idx="1122">
                  <c:v>3900</c:v>
                </c:pt>
                <c:pt idx="1123">
                  <c:v>3900</c:v>
                </c:pt>
                <c:pt idx="1124">
                  <c:v>3900</c:v>
                </c:pt>
                <c:pt idx="1125">
                  <c:v>3900</c:v>
                </c:pt>
                <c:pt idx="1126">
                  <c:v>3900</c:v>
                </c:pt>
                <c:pt idx="1127">
                  <c:v>3900</c:v>
                </c:pt>
                <c:pt idx="1128">
                  <c:v>3900</c:v>
                </c:pt>
                <c:pt idx="1129">
                  <c:v>3900</c:v>
                </c:pt>
                <c:pt idx="1130">
                  <c:v>3900</c:v>
                </c:pt>
                <c:pt idx="1131">
                  <c:v>3900</c:v>
                </c:pt>
                <c:pt idx="1132">
                  <c:v>3900</c:v>
                </c:pt>
                <c:pt idx="1133">
                  <c:v>3900</c:v>
                </c:pt>
                <c:pt idx="1134">
                  <c:v>3900</c:v>
                </c:pt>
                <c:pt idx="1135">
                  <c:v>3900</c:v>
                </c:pt>
                <c:pt idx="1136">
                  <c:v>3900</c:v>
                </c:pt>
                <c:pt idx="1137">
                  <c:v>3900</c:v>
                </c:pt>
                <c:pt idx="1138">
                  <c:v>3900</c:v>
                </c:pt>
                <c:pt idx="1139">
                  <c:v>3900</c:v>
                </c:pt>
                <c:pt idx="1140">
                  <c:v>3900</c:v>
                </c:pt>
                <c:pt idx="1141">
                  <c:v>3900</c:v>
                </c:pt>
                <c:pt idx="1142">
                  <c:v>3900</c:v>
                </c:pt>
                <c:pt idx="1143">
                  <c:v>3900</c:v>
                </c:pt>
                <c:pt idx="1144">
                  <c:v>3900</c:v>
                </c:pt>
                <c:pt idx="1145">
                  <c:v>3900</c:v>
                </c:pt>
                <c:pt idx="1146">
                  <c:v>3900</c:v>
                </c:pt>
                <c:pt idx="1147">
                  <c:v>3900</c:v>
                </c:pt>
                <c:pt idx="1148">
                  <c:v>3900</c:v>
                </c:pt>
                <c:pt idx="1149">
                  <c:v>3900</c:v>
                </c:pt>
                <c:pt idx="1150">
                  <c:v>3900</c:v>
                </c:pt>
                <c:pt idx="1151">
                  <c:v>3900</c:v>
                </c:pt>
                <c:pt idx="1152">
                  <c:v>3900</c:v>
                </c:pt>
                <c:pt idx="1153">
                  <c:v>3900</c:v>
                </c:pt>
                <c:pt idx="1154">
                  <c:v>3900</c:v>
                </c:pt>
                <c:pt idx="1155">
                  <c:v>3900</c:v>
                </c:pt>
                <c:pt idx="1156">
                  <c:v>3900</c:v>
                </c:pt>
                <c:pt idx="1157">
                  <c:v>3900</c:v>
                </c:pt>
                <c:pt idx="1158">
                  <c:v>3900</c:v>
                </c:pt>
                <c:pt idx="1159">
                  <c:v>3900</c:v>
                </c:pt>
                <c:pt idx="1160">
                  <c:v>3900</c:v>
                </c:pt>
                <c:pt idx="1161">
                  <c:v>3900</c:v>
                </c:pt>
                <c:pt idx="1162">
                  <c:v>3900</c:v>
                </c:pt>
                <c:pt idx="1163">
                  <c:v>3900</c:v>
                </c:pt>
                <c:pt idx="1164">
                  <c:v>3900</c:v>
                </c:pt>
                <c:pt idx="1165">
                  <c:v>3900</c:v>
                </c:pt>
                <c:pt idx="1166">
                  <c:v>3900</c:v>
                </c:pt>
                <c:pt idx="1167">
                  <c:v>5560</c:v>
                </c:pt>
                <c:pt idx="1168">
                  <c:v>5560</c:v>
                </c:pt>
                <c:pt idx="1169">
                  <c:v>5560</c:v>
                </c:pt>
                <c:pt idx="1170">
                  <c:v>5560</c:v>
                </c:pt>
                <c:pt idx="1171">
                  <c:v>5560</c:v>
                </c:pt>
                <c:pt idx="1172">
                  <c:v>5560</c:v>
                </c:pt>
                <c:pt idx="1173">
                  <c:v>5560</c:v>
                </c:pt>
                <c:pt idx="1174">
                  <c:v>5660</c:v>
                </c:pt>
                <c:pt idx="1175">
                  <c:v>5660</c:v>
                </c:pt>
                <c:pt idx="1176">
                  <c:v>5660</c:v>
                </c:pt>
                <c:pt idx="1177">
                  <c:v>5660</c:v>
                </c:pt>
                <c:pt idx="1178">
                  <c:v>5660</c:v>
                </c:pt>
                <c:pt idx="1179">
                  <c:v>5660</c:v>
                </c:pt>
                <c:pt idx="1180">
                  <c:v>5660</c:v>
                </c:pt>
                <c:pt idx="1181">
                  <c:v>5660</c:v>
                </c:pt>
                <c:pt idx="1182">
                  <c:v>5660</c:v>
                </c:pt>
                <c:pt idx="1183">
                  <c:v>5660</c:v>
                </c:pt>
                <c:pt idx="1184">
                  <c:v>5660</c:v>
                </c:pt>
                <c:pt idx="1185">
                  <c:v>5660</c:v>
                </c:pt>
                <c:pt idx="1186">
                  <c:v>5660</c:v>
                </c:pt>
                <c:pt idx="1187">
                  <c:v>5660</c:v>
                </c:pt>
                <c:pt idx="1188">
                  <c:v>5660</c:v>
                </c:pt>
                <c:pt idx="1189">
                  <c:v>5660</c:v>
                </c:pt>
                <c:pt idx="1190">
                  <c:v>5660</c:v>
                </c:pt>
                <c:pt idx="1191">
                  <c:v>5660</c:v>
                </c:pt>
                <c:pt idx="1192">
                  <c:v>5660</c:v>
                </c:pt>
                <c:pt idx="1193">
                  <c:v>5660</c:v>
                </c:pt>
                <c:pt idx="1194">
                  <c:v>5660</c:v>
                </c:pt>
                <c:pt idx="1195">
                  <c:v>5660</c:v>
                </c:pt>
                <c:pt idx="1196">
                  <c:v>5660</c:v>
                </c:pt>
                <c:pt idx="1197">
                  <c:v>5660</c:v>
                </c:pt>
                <c:pt idx="1198">
                  <c:v>5660</c:v>
                </c:pt>
                <c:pt idx="1199">
                  <c:v>5660</c:v>
                </c:pt>
                <c:pt idx="1200">
                  <c:v>5660</c:v>
                </c:pt>
                <c:pt idx="1201">
                  <c:v>5660</c:v>
                </c:pt>
                <c:pt idx="1202">
                  <c:v>5860</c:v>
                </c:pt>
                <c:pt idx="1203">
                  <c:v>5860</c:v>
                </c:pt>
                <c:pt idx="1204">
                  <c:v>5860</c:v>
                </c:pt>
                <c:pt idx="1205">
                  <c:v>5860</c:v>
                </c:pt>
                <c:pt idx="1206">
                  <c:v>5860</c:v>
                </c:pt>
                <c:pt idx="1207">
                  <c:v>5860</c:v>
                </c:pt>
                <c:pt idx="1208">
                  <c:v>5860</c:v>
                </c:pt>
                <c:pt idx="1209">
                  <c:v>5860</c:v>
                </c:pt>
                <c:pt idx="1210">
                  <c:v>5860</c:v>
                </c:pt>
                <c:pt idx="1211">
                  <c:v>5860</c:v>
                </c:pt>
                <c:pt idx="1212">
                  <c:v>5860</c:v>
                </c:pt>
                <c:pt idx="1213">
                  <c:v>5860</c:v>
                </c:pt>
                <c:pt idx="1214">
                  <c:v>5860</c:v>
                </c:pt>
                <c:pt idx="1215">
                  <c:v>5860</c:v>
                </c:pt>
                <c:pt idx="1216">
                  <c:v>5860</c:v>
                </c:pt>
                <c:pt idx="1217">
                  <c:v>5860</c:v>
                </c:pt>
                <c:pt idx="1218">
                  <c:v>5860</c:v>
                </c:pt>
                <c:pt idx="1219">
                  <c:v>5860</c:v>
                </c:pt>
                <c:pt idx="1220">
                  <c:v>5860</c:v>
                </c:pt>
                <c:pt idx="1221">
                  <c:v>5860</c:v>
                </c:pt>
                <c:pt idx="1222">
                  <c:v>5860</c:v>
                </c:pt>
                <c:pt idx="1223">
                  <c:v>5860</c:v>
                </c:pt>
                <c:pt idx="1224">
                  <c:v>5860</c:v>
                </c:pt>
                <c:pt idx="1225">
                  <c:v>5860</c:v>
                </c:pt>
                <c:pt idx="1226">
                  <c:v>5860</c:v>
                </c:pt>
                <c:pt idx="1227">
                  <c:v>5860</c:v>
                </c:pt>
                <c:pt idx="1228">
                  <c:v>5860</c:v>
                </c:pt>
                <c:pt idx="1229">
                  <c:v>5860</c:v>
                </c:pt>
                <c:pt idx="1230">
                  <c:v>5860</c:v>
                </c:pt>
                <c:pt idx="1231">
                  <c:v>5860</c:v>
                </c:pt>
                <c:pt idx="1232">
                  <c:v>5860</c:v>
                </c:pt>
                <c:pt idx="1233">
                  <c:v>5860</c:v>
                </c:pt>
                <c:pt idx="1234">
                  <c:v>5860</c:v>
                </c:pt>
                <c:pt idx="1235">
                  <c:v>5860</c:v>
                </c:pt>
                <c:pt idx="1236">
                  <c:v>5860</c:v>
                </c:pt>
                <c:pt idx="1237">
                  <c:v>5860</c:v>
                </c:pt>
                <c:pt idx="1238">
                  <c:v>5860</c:v>
                </c:pt>
                <c:pt idx="1239">
                  <c:v>5860</c:v>
                </c:pt>
                <c:pt idx="1240">
                  <c:v>5860</c:v>
                </c:pt>
                <c:pt idx="1241">
                  <c:v>5860</c:v>
                </c:pt>
                <c:pt idx="1242">
                  <c:v>5860</c:v>
                </c:pt>
                <c:pt idx="1243">
                  <c:v>5860</c:v>
                </c:pt>
                <c:pt idx="1244">
                  <c:v>5860</c:v>
                </c:pt>
                <c:pt idx="1245">
                  <c:v>5860</c:v>
                </c:pt>
                <c:pt idx="1246">
                  <c:v>5860</c:v>
                </c:pt>
                <c:pt idx="1247">
                  <c:v>5860</c:v>
                </c:pt>
                <c:pt idx="1248">
                  <c:v>5860</c:v>
                </c:pt>
                <c:pt idx="1249">
                  <c:v>5860</c:v>
                </c:pt>
                <c:pt idx="1250">
                  <c:v>5860</c:v>
                </c:pt>
                <c:pt idx="1251">
                  <c:v>5860</c:v>
                </c:pt>
                <c:pt idx="1252">
                  <c:v>5860</c:v>
                </c:pt>
                <c:pt idx="1253">
                  <c:v>5860</c:v>
                </c:pt>
                <c:pt idx="1254">
                  <c:v>5860</c:v>
                </c:pt>
                <c:pt idx="1255">
                  <c:v>5860</c:v>
                </c:pt>
                <c:pt idx="1256">
                  <c:v>5860</c:v>
                </c:pt>
                <c:pt idx="1257">
                  <c:v>5860</c:v>
                </c:pt>
                <c:pt idx="1258">
                  <c:v>5860</c:v>
                </c:pt>
                <c:pt idx="1259">
                  <c:v>5860</c:v>
                </c:pt>
                <c:pt idx="1260">
                  <c:v>5860</c:v>
                </c:pt>
                <c:pt idx="1261">
                  <c:v>5860</c:v>
                </c:pt>
                <c:pt idx="1262">
                  <c:v>5860</c:v>
                </c:pt>
                <c:pt idx="1263">
                  <c:v>5860</c:v>
                </c:pt>
                <c:pt idx="1264">
                  <c:v>5860</c:v>
                </c:pt>
                <c:pt idx="1265">
                  <c:v>5860</c:v>
                </c:pt>
                <c:pt idx="1266">
                  <c:v>5860</c:v>
                </c:pt>
                <c:pt idx="1267">
                  <c:v>5860</c:v>
                </c:pt>
                <c:pt idx="1268">
                  <c:v>5860</c:v>
                </c:pt>
                <c:pt idx="1269">
                  <c:v>5860</c:v>
                </c:pt>
                <c:pt idx="1270">
                  <c:v>5860</c:v>
                </c:pt>
                <c:pt idx="1271">
                  <c:v>5860</c:v>
                </c:pt>
                <c:pt idx="1272">
                  <c:v>5860</c:v>
                </c:pt>
                <c:pt idx="1273">
                  <c:v>5860</c:v>
                </c:pt>
                <c:pt idx="1274">
                  <c:v>5860</c:v>
                </c:pt>
                <c:pt idx="1275">
                  <c:v>5860</c:v>
                </c:pt>
                <c:pt idx="1276">
                  <c:v>5860</c:v>
                </c:pt>
                <c:pt idx="1277">
                  <c:v>5860</c:v>
                </c:pt>
                <c:pt idx="1278">
                  <c:v>5860</c:v>
                </c:pt>
                <c:pt idx="1279">
                  <c:v>5860</c:v>
                </c:pt>
                <c:pt idx="1280">
                  <c:v>5860</c:v>
                </c:pt>
                <c:pt idx="1281">
                  <c:v>5860</c:v>
                </c:pt>
                <c:pt idx="1282">
                  <c:v>5860</c:v>
                </c:pt>
                <c:pt idx="1283">
                  <c:v>5860</c:v>
                </c:pt>
                <c:pt idx="1284">
                  <c:v>5860</c:v>
                </c:pt>
                <c:pt idx="1285">
                  <c:v>5860</c:v>
                </c:pt>
                <c:pt idx="1286">
                  <c:v>5860</c:v>
                </c:pt>
                <c:pt idx="1287">
                  <c:v>5860</c:v>
                </c:pt>
                <c:pt idx="1288">
                  <c:v>5860</c:v>
                </c:pt>
                <c:pt idx="1289">
                  <c:v>5860</c:v>
                </c:pt>
                <c:pt idx="1290">
                  <c:v>5860</c:v>
                </c:pt>
                <c:pt idx="1291">
                  <c:v>5860</c:v>
                </c:pt>
                <c:pt idx="1292">
                  <c:v>5860</c:v>
                </c:pt>
                <c:pt idx="1293">
                  <c:v>5860</c:v>
                </c:pt>
                <c:pt idx="1294">
                  <c:v>5860</c:v>
                </c:pt>
                <c:pt idx="1295">
                  <c:v>5860</c:v>
                </c:pt>
                <c:pt idx="1296">
                  <c:v>5860</c:v>
                </c:pt>
                <c:pt idx="1297">
                  <c:v>5860</c:v>
                </c:pt>
                <c:pt idx="1298">
                  <c:v>5860</c:v>
                </c:pt>
                <c:pt idx="1299">
                  <c:v>5860</c:v>
                </c:pt>
                <c:pt idx="1300">
                  <c:v>5860</c:v>
                </c:pt>
                <c:pt idx="1301">
                  <c:v>5860</c:v>
                </c:pt>
                <c:pt idx="1302">
                  <c:v>5860</c:v>
                </c:pt>
                <c:pt idx="1303">
                  <c:v>5860</c:v>
                </c:pt>
                <c:pt idx="1304">
                  <c:v>5860</c:v>
                </c:pt>
                <c:pt idx="1305">
                  <c:v>5860</c:v>
                </c:pt>
                <c:pt idx="1306">
                  <c:v>5860</c:v>
                </c:pt>
                <c:pt idx="1307">
                  <c:v>5860</c:v>
                </c:pt>
                <c:pt idx="1308">
                  <c:v>5860</c:v>
                </c:pt>
                <c:pt idx="1309">
                  <c:v>5860</c:v>
                </c:pt>
                <c:pt idx="1310">
                  <c:v>5860</c:v>
                </c:pt>
                <c:pt idx="1311">
                  <c:v>5860</c:v>
                </c:pt>
                <c:pt idx="1312">
                  <c:v>5860</c:v>
                </c:pt>
                <c:pt idx="1313">
                  <c:v>5860</c:v>
                </c:pt>
                <c:pt idx="1314">
                  <c:v>5860</c:v>
                </c:pt>
                <c:pt idx="1315">
                  <c:v>5860</c:v>
                </c:pt>
                <c:pt idx="1316">
                  <c:v>5860</c:v>
                </c:pt>
                <c:pt idx="1317">
                  <c:v>5860</c:v>
                </c:pt>
                <c:pt idx="1318">
                  <c:v>5860</c:v>
                </c:pt>
                <c:pt idx="1319">
                  <c:v>5860</c:v>
                </c:pt>
                <c:pt idx="1320">
                  <c:v>5860</c:v>
                </c:pt>
                <c:pt idx="1321">
                  <c:v>5860</c:v>
                </c:pt>
                <c:pt idx="1322">
                  <c:v>5860</c:v>
                </c:pt>
                <c:pt idx="1323">
                  <c:v>5860</c:v>
                </c:pt>
                <c:pt idx="1324">
                  <c:v>5860</c:v>
                </c:pt>
                <c:pt idx="1325">
                  <c:v>5860</c:v>
                </c:pt>
                <c:pt idx="1326">
                  <c:v>5860</c:v>
                </c:pt>
                <c:pt idx="1327">
                  <c:v>5860</c:v>
                </c:pt>
                <c:pt idx="1328">
                  <c:v>5860</c:v>
                </c:pt>
                <c:pt idx="1329">
                  <c:v>5860</c:v>
                </c:pt>
                <c:pt idx="1330">
                  <c:v>5860</c:v>
                </c:pt>
                <c:pt idx="1331">
                  <c:v>5860</c:v>
                </c:pt>
                <c:pt idx="1332">
                  <c:v>5860</c:v>
                </c:pt>
                <c:pt idx="1333">
                  <c:v>5860</c:v>
                </c:pt>
                <c:pt idx="1334">
                  <c:v>11875</c:v>
                </c:pt>
                <c:pt idx="1335">
                  <c:v>11875</c:v>
                </c:pt>
                <c:pt idx="1336">
                  <c:v>11875</c:v>
                </c:pt>
                <c:pt idx="1337">
                  <c:v>11875</c:v>
                </c:pt>
                <c:pt idx="1338">
                  <c:v>11875</c:v>
                </c:pt>
                <c:pt idx="1339">
                  <c:v>11875</c:v>
                </c:pt>
                <c:pt idx="1340">
                  <c:v>11875</c:v>
                </c:pt>
                <c:pt idx="1341">
                  <c:v>11875</c:v>
                </c:pt>
                <c:pt idx="1342">
                  <c:v>11875</c:v>
                </c:pt>
                <c:pt idx="1343">
                  <c:v>11875</c:v>
                </c:pt>
                <c:pt idx="1344">
                  <c:v>11875</c:v>
                </c:pt>
                <c:pt idx="1345">
                  <c:v>11875</c:v>
                </c:pt>
                <c:pt idx="1346">
                  <c:v>11875</c:v>
                </c:pt>
                <c:pt idx="1347">
                  <c:v>11875</c:v>
                </c:pt>
                <c:pt idx="1348">
                  <c:v>11875</c:v>
                </c:pt>
                <c:pt idx="1349">
                  <c:v>11875</c:v>
                </c:pt>
                <c:pt idx="1350">
                  <c:v>11875</c:v>
                </c:pt>
                <c:pt idx="1351">
                  <c:v>11875</c:v>
                </c:pt>
                <c:pt idx="1352">
                  <c:v>11875</c:v>
                </c:pt>
                <c:pt idx="1353">
                  <c:v>11875</c:v>
                </c:pt>
                <c:pt idx="1354">
                  <c:v>11875</c:v>
                </c:pt>
                <c:pt idx="1355">
                  <c:v>11875</c:v>
                </c:pt>
                <c:pt idx="1356">
                  <c:v>11875</c:v>
                </c:pt>
                <c:pt idx="1357">
                  <c:v>11875</c:v>
                </c:pt>
                <c:pt idx="1358">
                  <c:v>11875</c:v>
                </c:pt>
                <c:pt idx="1359">
                  <c:v>11875</c:v>
                </c:pt>
                <c:pt idx="1360">
                  <c:v>11875</c:v>
                </c:pt>
                <c:pt idx="1361">
                  <c:v>11875</c:v>
                </c:pt>
                <c:pt idx="1362">
                  <c:v>11875</c:v>
                </c:pt>
                <c:pt idx="1363">
                  <c:v>11875</c:v>
                </c:pt>
                <c:pt idx="1364">
                  <c:v>11875</c:v>
                </c:pt>
                <c:pt idx="1365">
                  <c:v>11875</c:v>
                </c:pt>
                <c:pt idx="1366">
                  <c:v>11875</c:v>
                </c:pt>
                <c:pt idx="1367">
                  <c:v>11875</c:v>
                </c:pt>
                <c:pt idx="1368">
                  <c:v>11875</c:v>
                </c:pt>
                <c:pt idx="1369">
                  <c:v>11875</c:v>
                </c:pt>
                <c:pt idx="1370">
                  <c:v>11875</c:v>
                </c:pt>
                <c:pt idx="1371">
                  <c:v>11875</c:v>
                </c:pt>
                <c:pt idx="1372">
                  <c:v>11875</c:v>
                </c:pt>
                <c:pt idx="1373">
                  <c:v>11875</c:v>
                </c:pt>
                <c:pt idx="1374">
                  <c:v>11875</c:v>
                </c:pt>
                <c:pt idx="1375">
                  <c:v>11875</c:v>
                </c:pt>
                <c:pt idx="1376">
                  <c:v>11875</c:v>
                </c:pt>
                <c:pt idx="1377">
                  <c:v>11875</c:v>
                </c:pt>
                <c:pt idx="1378">
                  <c:v>11875</c:v>
                </c:pt>
                <c:pt idx="1379">
                  <c:v>11875</c:v>
                </c:pt>
                <c:pt idx="1380">
                  <c:v>11875</c:v>
                </c:pt>
                <c:pt idx="1381">
                  <c:v>11875</c:v>
                </c:pt>
                <c:pt idx="1382">
                  <c:v>11875</c:v>
                </c:pt>
                <c:pt idx="1383">
                  <c:v>11875</c:v>
                </c:pt>
                <c:pt idx="1384">
                  <c:v>11875</c:v>
                </c:pt>
                <c:pt idx="1385">
                  <c:v>11875</c:v>
                </c:pt>
                <c:pt idx="1386">
                  <c:v>11875</c:v>
                </c:pt>
                <c:pt idx="1387">
                  <c:v>11875</c:v>
                </c:pt>
                <c:pt idx="1388">
                  <c:v>11875</c:v>
                </c:pt>
                <c:pt idx="1389">
                  <c:v>11875</c:v>
                </c:pt>
                <c:pt idx="1390">
                  <c:v>11875</c:v>
                </c:pt>
                <c:pt idx="1391">
                  <c:v>11875</c:v>
                </c:pt>
                <c:pt idx="1392">
                  <c:v>11875</c:v>
                </c:pt>
                <c:pt idx="1393">
                  <c:v>11875</c:v>
                </c:pt>
                <c:pt idx="1394">
                  <c:v>11875</c:v>
                </c:pt>
                <c:pt idx="1395">
                  <c:v>11875</c:v>
                </c:pt>
                <c:pt idx="1396">
                  <c:v>11875</c:v>
                </c:pt>
                <c:pt idx="1397">
                  <c:v>11875</c:v>
                </c:pt>
                <c:pt idx="1398">
                  <c:v>11875</c:v>
                </c:pt>
                <c:pt idx="1399">
                  <c:v>11875</c:v>
                </c:pt>
                <c:pt idx="1400">
                  <c:v>11875</c:v>
                </c:pt>
                <c:pt idx="1401">
                  <c:v>11475</c:v>
                </c:pt>
                <c:pt idx="1402">
                  <c:v>11475</c:v>
                </c:pt>
                <c:pt idx="1403">
                  <c:v>11875</c:v>
                </c:pt>
                <c:pt idx="1404">
                  <c:v>11875</c:v>
                </c:pt>
                <c:pt idx="1405">
                  <c:v>11875</c:v>
                </c:pt>
                <c:pt idx="1406">
                  <c:v>11875</c:v>
                </c:pt>
                <c:pt idx="1407">
                  <c:v>11875</c:v>
                </c:pt>
                <c:pt idx="1408">
                  <c:v>11875</c:v>
                </c:pt>
                <c:pt idx="1409">
                  <c:v>11875</c:v>
                </c:pt>
                <c:pt idx="1410">
                  <c:v>11875</c:v>
                </c:pt>
                <c:pt idx="1411">
                  <c:v>11875</c:v>
                </c:pt>
                <c:pt idx="1412">
                  <c:v>11875</c:v>
                </c:pt>
                <c:pt idx="1413">
                  <c:v>11875</c:v>
                </c:pt>
                <c:pt idx="1414">
                  <c:v>11875</c:v>
                </c:pt>
                <c:pt idx="1415">
                  <c:v>11875</c:v>
                </c:pt>
                <c:pt idx="1416">
                  <c:v>11875</c:v>
                </c:pt>
                <c:pt idx="1417">
                  <c:v>11875</c:v>
                </c:pt>
                <c:pt idx="1418">
                  <c:v>11875</c:v>
                </c:pt>
                <c:pt idx="1419">
                  <c:v>11875</c:v>
                </c:pt>
                <c:pt idx="1420">
                  <c:v>11875</c:v>
                </c:pt>
                <c:pt idx="1421">
                  <c:v>11875</c:v>
                </c:pt>
                <c:pt idx="1422">
                  <c:v>11875</c:v>
                </c:pt>
                <c:pt idx="1423">
                  <c:v>11875</c:v>
                </c:pt>
                <c:pt idx="1424">
                  <c:v>11875</c:v>
                </c:pt>
                <c:pt idx="1425">
                  <c:v>11875</c:v>
                </c:pt>
                <c:pt idx="1426">
                  <c:v>11875</c:v>
                </c:pt>
                <c:pt idx="1427">
                  <c:v>11875</c:v>
                </c:pt>
                <c:pt idx="1428">
                  <c:v>11875</c:v>
                </c:pt>
                <c:pt idx="1429">
                  <c:v>11875</c:v>
                </c:pt>
                <c:pt idx="1430">
                  <c:v>11875</c:v>
                </c:pt>
                <c:pt idx="1431">
                  <c:v>11875</c:v>
                </c:pt>
                <c:pt idx="1432">
                  <c:v>11875</c:v>
                </c:pt>
                <c:pt idx="1433">
                  <c:v>11875</c:v>
                </c:pt>
                <c:pt idx="1434">
                  <c:v>11875</c:v>
                </c:pt>
                <c:pt idx="1435">
                  <c:v>11875</c:v>
                </c:pt>
                <c:pt idx="1436">
                  <c:v>11875</c:v>
                </c:pt>
                <c:pt idx="1437">
                  <c:v>11875</c:v>
                </c:pt>
                <c:pt idx="1438">
                  <c:v>11875</c:v>
                </c:pt>
                <c:pt idx="1439">
                  <c:v>11875</c:v>
                </c:pt>
                <c:pt idx="1440">
                  <c:v>11875</c:v>
                </c:pt>
                <c:pt idx="1441">
                  <c:v>11875</c:v>
                </c:pt>
                <c:pt idx="1442">
                  <c:v>11875</c:v>
                </c:pt>
                <c:pt idx="1443">
                  <c:v>11875</c:v>
                </c:pt>
                <c:pt idx="1444">
                  <c:v>11875</c:v>
                </c:pt>
                <c:pt idx="1445">
                  <c:v>11875</c:v>
                </c:pt>
                <c:pt idx="1446">
                  <c:v>11875</c:v>
                </c:pt>
                <c:pt idx="1447">
                  <c:v>11875</c:v>
                </c:pt>
                <c:pt idx="1448">
                  <c:v>11875</c:v>
                </c:pt>
                <c:pt idx="1449">
                  <c:v>11875</c:v>
                </c:pt>
                <c:pt idx="1450">
                  <c:v>11875</c:v>
                </c:pt>
                <c:pt idx="1451">
                  <c:v>11875</c:v>
                </c:pt>
                <c:pt idx="1452">
                  <c:v>11875</c:v>
                </c:pt>
                <c:pt idx="1453">
                  <c:v>11875</c:v>
                </c:pt>
                <c:pt idx="1454">
                  <c:v>11875</c:v>
                </c:pt>
                <c:pt idx="1455">
                  <c:v>11875</c:v>
                </c:pt>
                <c:pt idx="1456">
                  <c:v>11875</c:v>
                </c:pt>
                <c:pt idx="1457">
                  <c:v>11875</c:v>
                </c:pt>
                <c:pt idx="1458">
                  <c:v>11875</c:v>
                </c:pt>
                <c:pt idx="1459">
                  <c:v>11875</c:v>
                </c:pt>
                <c:pt idx="1460">
                  <c:v>11875</c:v>
                </c:pt>
                <c:pt idx="1461">
                  <c:v>11875</c:v>
                </c:pt>
                <c:pt idx="1462">
                  <c:v>11875</c:v>
                </c:pt>
                <c:pt idx="1463">
                  <c:v>11875</c:v>
                </c:pt>
                <c:pt idx="1464">
                  <c:v>11875</c:v>
                </c:pt>
                <c:pt idx="1465">
                  <c:v>11875</c:v>
                </c:pt>
                <c:pt idx="1466">
                  <c:v>11875</c:v>
                </c:pt>
                <c:pt idx="1467">
                  <c:v>11875</c:v>
                </c:pt>
                <c:pt idx="1468">
                  <c:v>11875</c:v>
                </c:pt>
                <c:pt idx="1469">
                  <c:v>11875</c:v>
                </c:pt>
                <c:pt idx="1470">
                  <c:v>11875</c:v>
                </c:pt>
                <c:pt idx="1471">
                  <c:v>11875</c:v>
                </c:pt>
                <c:pt idx="1472">
                  <c:v>11875</c:v>
                </c:pt>
                <c:pt idx="1473">
                  <c:v>11875</c:v>
                </c:pt>
                <c:pt idx="1474">
                  <c:v>11875</c:v>
                </c:pt>
                <c:pt idx="1475">
                  <c:v>12875</c:v>
                </c:pt>
                <c:pt idx="1476">
                  <c:v>12875</c:v>
                </c:pt>
                <c:pt idx="1477">
                  <c:v>12875</c:v>
                </c:pt>
                <c:pt idx="1478">
                  <c:v>12875</c:v>
                </c:pt>
                <c:pt idx="1479">
                  <c:v>12875</c:v>
                </c:pt>
                <c:pt idx="1480">
                  <c:v>12875</c:v>
                </c:pt>
                <c:pt idx="1481">
                  <c:v>12875</c:v>
                </c:pt>
                <c:pt idx="1482">
                  <c:v>12875</c:v>
                </c:pt>
                <c:pt idx="1483">
                  <c:v>12875</c:v>
                </c:pt>
                <c:pt idx="1484">
                  <c:v>12875</c:v>
                </c:pt>
                <c:pt idx="1485">
                  <c:v>12875</c:v>
                </c:pt>
                <c:pt idx="1486">
                  <c:v>12875</c:v>
                </c:pt>
                <c:pt idx="1487">
                  <c:v>12875</c:v>
                </c:pt>
                <c:pt idx="1488">
                  <c:v>12875</c:v>
                </c:pt>
                <c:pt idx="1489">
                  <c:v>13875</c:v>
                </c:pt>
                <c:pt idx="1490">
                  <c:v>13875</c:v>
                </c:pt>
                <c:pt idx="1491">
                  <c:v>13875</c:v>
                </c:pt>
                <c:pt idx="1492">
                  <c:v>13875</c:v>
                </c:pt>
                <c:pt idx="1493">
                  <c:v>13875</c:v>
                </c:pt>
                <c:pt idx="1494">
                  <c:v>13875</c:v>
                </c:pt>
                <c:pt idx="1495">
                  <c:v>13875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E2-43C2-A9E5-4CA04C7CD3C7}"/>
            </c:ext>
          </c:extLst>
        </c:ser>
        <c:ser>
          <c:idx val="5"/>
          <c:order val="5"/>
          <c:tx>
            <c:v>Bons BCM &lt; 15 jours</c:v>
          </c:tx>
          <c:spPr>
            <a:solidFill>
              <a:schemeClr val="accent6">
                <a:alpha val="85000"/>
              </a:schemeClr>
            </a:solidFill>
            <a:ln w="25400"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BASE!$A$2:$A$1497</c:f>
              <c:numCache>
                <c:formatCode>m/d/yyyy</c:formatCode>
                <c:ptCount val="1496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  <c:pt idx="1495">
                  <c:v>46057</c:v>
                </c:pt>
              </c:numCache>
            </c:numRef>
          </c:cat>
          <c:val>
            <c:numRef>
              <c:f>BASE!$L$2:$L$1497</c:f>
              <c:numCache>
                <c:formatCode>_-* #\ ##0_-;\-* #\ ##0_-;_-* "-"??_-;_-@_-</c:formatCode>
                <c:ptCount val="14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400</c:v>
                </c:pt>
                <c:pt idx="401">
                  <c:v>400</c:v>
                </c:pt>
                <c:pt idx="402">
                  <c:v>400</c:v>
                </c:pt>
                <c:pt idx="403">
                  <c:v>400</c:v>
                </c:pt>
                <c:pt idx="404">
                  <c:v>300</c:v>
                </c:pt>
                <c:pt idx="405">
                  <c:v>300</c:v>
                </c:pt>
                <c:pt idx="406">
                  <c:v>300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200</c:v>
                </c:pt>
                <c:pt idx="419">
                  <c:v>200</c:v>
                </c:pt>
                <c:pt idx="420">
                  <c:v>200</c:v>
                </c:pt>
                <c:pt idx="421">
                  <c:v>200</c:v>
                </c:pt>
                <c:pt idx="422">
                  <c:v>200</c:v>
                </c:pt>
                <c:pt idx="423">
                  <c:v>200</c:v>
                </c:pt>
                <c:pt idx="424">
                  <c:v>200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300</c:v>
                </c:pt>
                <c:pt idx="447">
                  <c:v>300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300</c:v>
                </c:pt>
                <c:pt idx="454">
                  <c:v>300</c:v>
                </c:pt>
                <c:pt idx="455">
                  <c:v>300</c:v>
                </c:pt>
                <c:pt idx="456">
                  <c:v>300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180</c:v>
                </c:pt>
                <c:pt idx="461">
                  <c:v>180</c:v>
                </c:pt>
                <c:pt idx="462">
                  <c:v>180</c:v>
                </c:pt>
                <c:pt idx="463">
                  <c:v>180</c:v>
                </c:pt>
                <c:pt idx="464">
                  <c:v>180</c:v>
                </c:pt>
                <c:pt idx="465">
                  <c:v>180</c:v>
                </c:pt>
                <c:pt idx="466">
                  <c:v>180</c:v>
                </c:pt>
                <c:pt idx="467">
                  <c:v>200</c:v>
                </c:pt>
                <c:pt idx="468">
                  <c:v>200</c:v>
                </c:pt>
                <c:pt idx="469">
                  <c:v>200</c:v>
                </c:pt>
                <c:pt idx="470">
                  <c:v>200</c:v>
                </c:pt>
                <c:pt idx="471">
                  <c:v>200</c:v>
                </c:pt>
                <c:pt idx="472">
                  <c:v>200</c:v>
                </c:pt>
                <c:pt idx="473">
                  <c:v>200</c:v>
                </c:pt>
                <c:pt idx="474">
                  <c:v>200</c:v>
                </c:pt>
                <c:pt idx="475">
                  <c:v>200</c:v>
                </c:pt>
                <c:pt idx="476">
                  <c:v>200</c:v>
                </c:pt>
                <c:pt idx="477">
                  <c:v>200</c:v>
                </c:pt>
                <c:pt idx="478">
                  <c:v>200</c:v>
                </c:pt>
                <c:pt idx="479">
                  <c:v>200</c:v>
                </c:pt>
                <c:pt idx="480">
                  <c:v>200</c:v>
                </c:pt>
                <c:pt idx="481">
                  <c:v>200</c:v>
                </c:pt>
                <c:pt idx="482">
                  <c:v>200</c:v>
                </c:pt>
                <c:pt idx="483">
                  <c:v>200</c:v>
                </c:pt>
                <c:pt idx="484">
                  <c:v>200</c:v>
                </c:pt>
                <c:pt idx="485">
                  <c:v>200</c:v>
                </c:pt>
                <c:pt idx="486">
                  <c:v>200</c:v>
                </c:pt>
                <c:pt idx="487">
                  <c:v>200</c:v>
                </c:pt>
                <c:pt idx="488">
                  <c:v>220</c:v>
                </c:pt>
                <c:pt idx="489">
                  <c:v>220</c:v>
                </c:pt>
                <c:pt idx="490">
                  <c:v>220</c:v>
                </c:pt>
                <c:pt idx="491">
                  <c:v>220</c:v>
                </c:pt>
                <c:pt idx="492">
                  <c:v>220</c:v>
                </c:pt>
                <c:pt idx="493">
                  <c:v>220</c:v>
                </c:pt>
                <c:pt idx="494">
                  <c:v>220</c:v>
                </c:pt>
                <c:pt idx="495">
                  <c:v>400</c:v>
                </c:pt>
                <c:pt idx="496">
                  <c:v>400</c:v>
                </c:pt>
                <c:pt idx="497">
                  <c:v>400</c:v>
                </c:pt>
                <c:pt idx="498">
                  <c:v>400</c:v>
                </c:pt>
                <c:pt idx="499">
                  <c:v>400</c:v>
                </c:pt>
                <c:pt idx="500">
                  <c:v>400</c:v>
                </c:pt>
                <c:pt idx="501">
                  <c:v>400</c:v>
                </c:pt>
                <c:pt idx="502">
                  <c:v>460</c:v>
                </c:pt>
                <c:pt idx="503">
                  <c:v>460</c:v>
                </c:pt>
                <c:pt idx="504">
                  <c:v>460</c:v>
                </c:pt>
                <c:pt idx="505">
                  <c:v>460</c:v>
                </c:pt>
                <c:pt idx="506">
                  <c:v>460</c:v>
                </c:pt>
                <c:pt idx="507">
                  <c:v>460</c:v>
                </c:pt>
                <c:pt idx="508">
                  <c:v>460</c:v>
                </c:pt>
                <c:pt idx="509">
                  <c:v>460</c:v>
                </c:pt>
                <c:pt idx="510">
                  <c:v>460</c:v>
                </c:pt>
                <c:pt idx="511">
                  <c:v>460</c:v>
                </c:pt>
                <c:pt idx="512">
                  <c:v>460</c:v>
                </c:pt>
                <c:pt idx="513">
                  <c:v>460</c:v>
                </c:pt>
                <c:pt idx="514">
                  <c:v>460</c:v>
                </c:pt>
                <c:pt idx="515">
                  <c:v>460</c:v>
                </c:pt>
                <c:pt idx="516">
                  <c:v>300</c:v>
                </c:pt>
                <c:pt idx="517">
                  <c:v>300</c:v>
                </c:pt>
                <c:pt idx="518">
                  <c:v>300</c:v>
                </c:pt>
                <c:pt idx="519">
                  <c:v>300</c:v>
                </c:pt>
                <c:pt idx="520">
                  <c:v>300</c:v>
                </c:pt>
                <c:pt idx="521">
                  <c:v>300</c:v>
                </c:pt>
                <c:pt idx="522">
                  <c:v>300</c:v>
                </c:pt>
                <c:pt idx="523">
                  <c:v>300</c:v>
                </c:pt>
                <c:pt idx="524">
                  <c:v>300</c:v>
                </c:pt>
                <c:pt idx="525">
                  <c:v>300</c:v>
                </c:pt>
                <c:pt idx="526">
                  <c:v>300</c:v>
                </c:pt>
                <c:pt idx="527">
                  <c:v>300</c:v>
                </c:pt>
                <c:pt idx="528">
                  <c:v>300</c:v>
                </c:pt>
                <c:pt idx="529">
                  <c:v>300</c:v>
                </c:pt>
                <c:pt idx="530">
                  <c:v>300</c:v>
                </c:pt>
                <c:pt idx="531">
                  <c:v>300</c:v>
                </c:pt>
                <c:pt idx="532">
                  <c:v>300</c:v>
                </c:pt>
                <c:pt idx="533">
                  <c:v>300</c:v>
                </c:pt>
                <c:pt idx="534">
                  <c:v>300</c:v>
                </c:pt>
                <c:pt idx="535">
                  <c:v>300</c:v>
                </c:pt>
                <c:pt idx="536">
                  <c:v>300</c:v>
                </c:pt>
                <c:pt idx="537">
                  <c:v>1140</c:v>
                </c:pt>
                <c:pt idx="538">
                  <c:v>1140</c:v>
                </c:pt>
                <c:pt idx="539">
                  <c:v>1140</c:v>
                </c:pt>
                <c:pt idx="540">
                  <c:v>1140</c:v>
                </c:pt>
                <c:pt idx="541">
                  <c:v>1140</c:v>
                </c:pt>
                <c:pt idx="542">
                  <c:v>1140</c:v>
                </c:pt>
                <c:pt idx="543">
                  <c:v>1060</c:v>
                </c:pt>
                <c:pt idx="544">
                  <c:v>1060</c:v>
                </c:pt>
                <c:pt idx="545">
                  <c:v>1060</c:v>
                </c:pt>
                <c:pt idx="546">
                  <c:v>1060</c:v>
                </c:pt>
                <c:pt idx="547">
                  <c:v>1060</c:v>
                </c:pt>
                <c:pt idx="548">
                  <c:v>1060</c:v>
                </c:pt>
                <c:pt idx="549">
                  <c:v>1060</c:v>
                </c:pt>
                <c:pt idx="550">
                  <c:v>1060</c:v>
                </c:pt>
                <c:pt idx="551">
                  <c:v>1000</c:v>
                </c:pt>
                <c:pt idx="552">
                  <c:v>1000</c:v>
                </c:pt>
                <c:pt idx="553">
                  <c:v>1000</c:v>
                </c:pt>
                <c:pt idx="554">
                  <c:v>1000</c:v>
                </c:pt>
                <c:pt idx="555">
                  <c:v>1000</c:v>
                </c:pt>
                <c:pt idx="556">
                  <c:v>1000</c:v>
                </c:pt>
                <c:pt idx="557">
                  <c:v>1000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500</c:v>
                </c:pt>
                <c:pt idx="566">
                  <c:v>500</c:v>
                </c:pt>
                <c:pt idx="567">
                  <c:v>500</c:v>
                </c:pt>
                <c:pt idx="568">
                  <c:v>500</c:v>
                </c:pt>
                <c:pt idx="569">
                  <c:v>500</c:v>
                </c:pt>
                <c:pt idx="570">
                  <c:v>500</c:v>
                </c:pt>
                <c:pt idx="571">
                  <c:v>500</c:v>
                </c:pt>
                <c:pt idx="572">
                  <c:v>500</c:v>
                </c:pt>
                <c:pt idx="573">
                  <c:v>500</c:v>
                </c:pt>
                <c:pt idx="574">
                  <c:v>500</c:v>
                </c:pt>
                <c:pt idx="575">
                  <c:v>500</c:v>
                </c:pt>
                <c:pt idx="576">
                  <c:v>500</c:v>
                </c:pt>
                <c:pt idx="577">
                  <c:v>500</c:v>
                </c:pt>
                <c:pt idx="578">
                  <c:v>500</c:v>
                </c:pt>
                <c:pt idx="579">
                  <c:v>620</c:v>
                </c:pt>
                <c:pt idx="580">
                  <c:v>620</c:v>
                </c:pt>
                <c:pt idx="581">
                  <c:v>620</c:v>
                </c:pt>
                <c:pt idx="582">
                  <c:v>620</c:v>
                </c:pt>
                <c:pt idx="583">
                  <c:v>620</c:v>
                </c:pt>
                <c:pt idx="584">
                  <c:v>620</c:v>
                </c:pt>
                <c:pt idx="585">
                  <c:v>620</c:v>
                </c:pt>
                <c:pt idx="586">
                  <c:v>800</c:v>
                </c:pt>
                <c:pt idx="587">
                  <c:v>800</c:v>
                </c:pt>
                <c:pt idx="588">
                  <c:v>800</c:v>
                </c:pt>
                <c:pt idx="589">
                  <c:v>800</c:v>
                </c:pt>
                <c:pt idx="590">
                  <c:v>800</c:v>
                </c:pt>
                <c:pt idx="591">
                  <c:v>800</c:v>
                </c:pt>
                <c:pt idx="592">
                  <c:v>800</c:v>
                </c:pt>
                <c:pt idx="593">
                  <c:v>400</c:v>
                </c:pt>
                <c:pt idx="594">
                  <c:v>400</c:v>
                </c:pt>
                <c:pt idx="595">
                  <c:v>400</c:v>
                </c:pt>
                <c:pt idx="596">
                  <c:v>400</c:v>
                </c:pt>
                <c:pt idx="597">
                  <c:v>400</c:v>
                </c:pt>
                <c:pt idx="598">
                  <c:v>400</c:v>
                </c:pt>
                <c:pt idx="599">
                  <c:v>400</c:v>
                </c:pt>
                <c:pt idx="600">
                  <c:v>650</c:v>
                </c:pt>
                <c:pt idx="601">
                  <c:v>650</c:v>
                </c:pt>
                <c:pt idx="602">
                  <c:v>650</c:v>
                </c:pt>
                <c:pt idx="603">
                  <c:v>650</c:v>
                </c:pt>
                <c:pt idx="604">
                  <c:v>650</c:v>
                </c:pt>
                <c:pt idx="605">
                  <c:v>650</c:v>
                </c:pt>
                <c:pt idx="606">
                  <c:v>650</c:v>
                </c:pt>
                <c:pt idx="607">
                  <c:v>850</c:v>
                </c:pt>
                <c:pt idx="608">
                  <c:v>850</c:v>
                </c:pt>
                <c:pt idx="609">
                  <c:v>850</c:v>
                </c:pt>
                <c:pt idx="610">
                  <c:v>850</c:v>
                </c:pt>
                <c:pt idx="611">
                  <c:v>850</c:v>
                </c:pt>
                <c:pt idx="612">
                  <c:v>850</c:v>
                </c:pt>
                <c:pt idx="613">
                  <c:v>850</c:v>
                </c:pt>
                <c:pt idx="614">
                  <c:v>850</c:v>
                </c:pt>
                <c:pt idx="615">
                  <c:v>850</c:v>
                </c:pt>
                <c:pt idx="616">
                  <c:v>850</c:v>
                </c:pt>
                <c:pt idx="617">
                  <c:v>850</c:v>
                </c:pt>
                <c:pt idx="618">
                  <c:v>850</c:v>
                </c:pt>
                <c:pt idx="619">
                  <c:v>850</c:v>
                </c:pt>
                <c:pt idx="620">
                  <c:v>850</c:v>
                </c:pt>
                <c:pt idx="621">
                  <c:v>400</c:v>
                </c:pt>
                <c:pt idx="622">
                  <c:v>400</c:v>
                </c:pt>
                <c:pt idx="623">
                  <c:v>400</c:v>
                </c:pt>
                <c:pt idx="624">
                  <c:v>400</c:v>
                </c:pt>
                <c:pt idx="625">
                  <c:v>400</c:v>
                </c:pt>
                <c:pt idx="626">
                  <c:v>400</c:v>
                </c:pt>
                <c:pt idx="627">
                  <c:v>400</c:v>
                </c:pt>
                <c:pt idx="628">
                  <c:v>400</c:v>
                </c:pt>
                <c:pt idx="629">
                  <c:v>400</c:v>
                </c:pt>
                <c:pt idx="630">
                  <c:v>400</c:v>
                </c:pt>
                <c:pt idx="631">
                  <c:v>400</c:v>
                </c:pt>
                <c:pt idx="632">
                  <c:v>400</c:v>
                </c:pt>
                <c:pt idx="633">
                  <c:v>400</c:v>
                </c:pt>
                <c:pt idx="634">
                  <c:v>400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850</c:v>
                </c:pt>
                <c:pt idx="643">
                  <c:v>850</c:v>
                </c:pt>
                <c:pt idx="644">
                  <c:v>850</c:v>
                </c:pt>
                <c:pt idx="645">
                  <c:v>850</c:v>
                </c:pt>
                <c:pt idx="646">
                  <c:v>850</c:v>
                </c:pt>
                <c:pt idx="647">
                  <c:v>850</c:v>
                </c:pt>
                <c:pt idx="648">
                  <c:v>850</c:v>
                </c:pt>
                <c:pt idx="649">
                  <c:v>650</c:v>
                </c:pt>
                <c:pt idx="650">
                  <c:v>650</c:v>
                </c:pt>
                <c:pt idx="651">
                  <c:v>650</c:v>
                </c:pt>
                <c:pt idx="652">
                  <c:v>650</c:v>
                </c:pt>
                <c:pt idx="653">
                  <c:v>650</c:v>
                </c:pt>
                <c:pt idx="654">
                  <c:v>650</c:v>
                </c:pt>
                <c:pt idx="655">
                  <c:v>650</c:v>
                </c:pt>
                <c:pt idx="656">
                  <c:v>950</c:v>
                </c:pt>
                <c:pt idx="657">
                  <c:v>950</c:v>
                </c:pt>
                <c:pt idx="658">
                  <c:v>950</c:v>
                </c:pt>
                <c:pt idx="659">
                  <c:v>950</c:v>
                </c:pt>
                <c:pt idx="660">
                  <c:v>950</c:v>
                </c:pt>
                <c:pt idx="661">
                  <c:v>950</c:v>
                </c:pt>
                <c:pt idx="662">
                  <c:v>950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750</c:v>
                </c:pt>
                <c:pt idx="668">
                  <c:v>750</c:v>
                </c:pt>
                <c:pt idx="669">
                  <c:v>750</c:v>
                </c:pt>
                <c:pt idx="670">
                  <c:v>1400</c:v>
                </c:pt>
                <c:pt idx="671">
                  <c:v>1400</c:v>
                </c:pt>
                <c:pt idx="672">
                  <c:v>1400</c:v>
                </c:pt>
                <c:pt idx="673">
                  <c:v>1400</c:v>
                </c:pt>
                <c:pt idx="674">
                  <c:v>1400</c:v>
                </c:pt>
                <c:pt idx="675">
                  <c:v>1400</c:v>
                </c:pt>
                <c:pt idx="676">
                  <c:v>1400</c:v>
                </c:pt>
                <c:pt idx="677">
                  <c:v>1740</c:v>
                </c:pt>
                <c:pt idx="678">
                  <c:v>1740</c:v>
                </c:pt>
                <c:pt idx="679">
                  <c:v>1740</c:v>
                </c:pt>
                <c:pt idx="680">
                  <c:v>1740</c:v>
                </c:pt>
                <c:pt idx="681">
                  <c:v>1740</c:v>
                </c:pt>
                <c:pt idx="682">
                  <c:v>1740</c:v>
                </c:pt>
                <c:pt idx="683">
                  <c:v>1740</c:v>
                </c:pt>
                <c:pt idx="684">
                  <c:v>1240</c:v>
                </c:pt>
                <c:pt idx="685">
                  <c:v>1240</c:v>
                </c:pt>
                <c:pt idx="686">
                  <c:v>1240</c:v>
                </c:pt>
                <c:pt idx="687">
                  <c:v>1240</c:v>
                </c:pt>
                <c:pt idx="688">
                  <c:v>1240</c:v>
                </c:pt>
                <c:pt idx="689">
                  <c:v>1240</c:v>
                </c:pt>
                <c:pt idx="690">
                  <c:v>1240</c:v>
                </c:pt>
                <c:pt idx="691">
                  <c:v>1740</c:v>
                </c:pt>
                <c:pt idx="692">
                  <c:v>1740</c:v>
                </c:pt>
                <c:pt idx="693">
                  <c:v>1740</c:v>
                </c:pt>
                <c:pt idx="694">
                  <c:v>1740</c:v>
                </c:pt>
                <c:pt idx="695">
                  <c:v>1740</c:v>
                </c:pt>
                <c:pt idx="696">
                  <c:v>1740</c:v>
                </c:pt>
                <c:pt idx="697">
                  <c:v>1740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2200</c:v>
                </c:pt>
                <c:pt idx="706">
                  <c:v>2200</c:v>
                </c:pt>
                <c:pt idx="707">
                  <c:v>2200</c:v>
                </c:pt>
                <c:pt idx="708">
                  <c:v>2200</c:v>
                </c:pt>
                <c:pt idx="709">
                  <c:v>2200</c:v>
                </c:pt>
                <c:pt idx="710">
                  <c:v>2200</c:v>
                </c:pt>
                <c:pt idx="711">
                  <c:v>2200</c:v>
                </c:pt>
                <c:pt idx="712">
                  <c:v>2200</c:v>
                </c:pt>
                <c:pt idx="713">
                  <c:v>2200</c:v>
                </c:pt>
                <c:pt idx="714">
                  <c:v>2200</c:v>
                </c:pt>
                <c:pt idx="715">
                  <c:v>2200</c:v>
                </c:pt>
                <c:pt idx="716">
                  <c:v>2200</c:v>
                </c:pt>
                <c:pt idx="717">
                  <c:v>2200</c:v>
                </c:pt>
                <c:pt idx="718">
                  <c:v>2200</c:v>
                </c:pt>
                <c:pt idx="719">
                  <c:v>2200</c:v>
                </c:pt>
                <c:pt idx="720">
                  <c:v>2200</c:v>
                </c:pt>
                <c:pt idx="721">
                  <c:v>2200</c:v>
                </c:pt>
                <c:pt idx="722">
                  <c:v>2200</c:v>
                </c:pt>
                <c:pt idx="723">
                  <c:v>2200</c:v>
                </c:pt>
                <c:pt idx="724">
                  <c:v>2200</c:v>
                </c:pt>
                <c:pt idx="725">
                  <c:v>2200</c:v>
                </c:pt>
                <c:pt idx="726">
                  <c:v>1450</c:v>
                </c:pt>
                <c:pt idx="727">
                  <c:v>1450</c:v>
                </c:pt>
                <c:pt idx="728">
                  <c:v>1450</c:v>
                </c:pt>
                <c:pt idx="729">
                  <c:v>1450</c:v>
                </c:pt>
                <c:pt idx="730">
                  <c:v>1450</c:v>
                </c:pt>
                <c:pt idx="731">
                  <c:v>1450</c:v>
                </c:pt>
                <c:pt idx="732">
                  <c:v>1450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1800</c:v>
                </c:pt>
                <c:pt idx="741">
                  <c:v>1800</c:v>
                </c:pt>
                <c:pt idx="742">
                  <c:v>1800</c:v>
                </c:pt>
                <c:pt idx="743">
                  <c:v>1800</c:v>
                </c:pt>
                <c:pt idx="744">
                  <c:v>1800</c:v>
                </c:pt>
                <c:pt idx="745">
                  <c:v>1800</c:v>
                </c:pt>
                <c:pt idx="746">
                  <c:v>1800</c:v>
                </c:pt>
                <c:pt idx="747">
                  <c:v>1500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1500</c:v>
                </c:pt>
                <c:pt idx="754">
                  <c:v>2160</c:v>
                </c:pt>
                <c:pt idx="755">
                  <c:v>2160</c:v>
                </c:pt>
                <c:pt idx="756">
                  <c:v>2160</c:v>
                </c:pt>
                <c:pt idx="757">
                  <c:v>2160</c:v>
                </c:pt>
                <c:pt idx="758">
                  <c:v>3280</c:v>
                </c:pt>
                <c:pt idx="759">
                  <c:v>2780</c:v>
                </c:pt>
                <c:pt idx="760">
                  <c:v>2980</c:v>
                </c:pt>
                <c:pt idx="761">
                  <c:v>2280</c:v>
                </c:pt>
                <c:pt idx="762">
                  <c:v>2280</c:v>
                </c:pt>
                <c:pt idx="763">
                  <c:v>2280</c:v>
                </c:pt>
                <c:pt idx="764">
                  <c:v>2280</c:v>
                </c:pt>
                <c:pt idx="765">
                  <c:v>2280</c:v>
                </c:pt>
                <c:pt idx="766">
                  <c:v>2280</c:v>
                </c:pt>
                <c:pt idx="767">
                  <c:v>2280</c:v>
                </c:pt>
                <c:pt idx="768">
                  <c:v>2280</c:v>
                </c:pt>
                <c:pt idx="769">
                  <c:v>2280</c:v>
                </c:pt>
                <c:pt idx="770">
                  <c:v>2280</c:v>
                </c:pt>
                <c:pt idx="771">
                  <c:v>2280</c:v>
                </c:pt>
                <c:pt idx="772">
                  <c:v>2280</c:v>
                </c:pt>
                <c:pt idx="773">
                  <c:v>2280</c:v>
                </c:pt>
                <c:pt idx="774">
                  <c:v>2280</c:v>
                </c:pt>
                <c:pt idx="775">
                  <c:v>1900</c:v>
                </c:pt>
                <c:pt idx="776">
                  <c:v>1900</c:v>
                </c:pt>
                <c:pt idx="777">
                  <c:v>1900</c:v>
                </c:pt>
                <c:pt idx="778">
                  <c:v>1900</c:v>
                </c:pt>
                <c:pt idx="779">
                  <c:v>1900</c:v>
                </c:pt>
                <c:pt idx="780">
                  <c:v>1900</c:v>
                </c:pt>
                <c:pt idx="781">
                  <c:v>1900</c:v>
                </c:pt>
                <c:pt idx="782">
                  <c:v>1000</c:v>
                </c:pt>
                <c:pt idx="783">
                  <c:v>1000</c:v>
                </c:pt>
                <c:pt idx="784">
                  <c:v>1000</c:v>
                </c:pt>
                <c:pt idx="785">
                  <c:v>1000</c:v>
                </c:pt>
                <c:pt idx="786">
                  <c:v>2400</c:v>
                </c:pt>
                <c:pt idx="787">
                  <c:v>2540</c:v>
                </c:pt>
                <c:pt idx="788">
                  <c:v>1760</c:v>
                </c:pt>
                <c:pt idx="789">
                  <c:v>1400</c:v>
                </c:pt>
                <c:pt idx="790">
                  <c:v>1400</c:v>
                </c:pt>
                <c:pt idx="791">
                  <c:v>1400</c:v>
                </c:pt>
                <c:pt idx="792">
                  <c:v>1400</c:v>
                </c:pt>
                <c:pt idx="793">
                  <c:v>1400</c:v>
                </c:pt>
                <c:pt idx="794">
                  <c:v>1400</c:v>
                </c:pt>
                <c:pt idx="795">
                  <c:v>1400</c:v>
                </c:pt>
                <c:pt idx="796">
                  <c:v>1780</c:v>
                </c:pt>
                <c:pt idx="797">
                  <c:v>1780</c:v>
                </c:pt>
                <c:pt idx="798">
                  <c:v>1780</c:v>
                </c:pt>
                <c:pt idx="799">
                  <c:v>1780</c:v>
                </c:pt>
                <c:pt idx="800">
                  <c:v>1780</c:v>
                </c:pt>
                <c:pt idx="801">
                  <c:v>1780</c:v>
                </c:pt>
                <c:pt idx="802">
                  <c:v>1780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1300</c:v>
                </c:pt>
                <c:pt idx="811">
                  <c:v>1300</c:v>
                </c:pt>
                <c:pt idx="812">
                  <c:v>1300</c:v>
                </c:pt>
                <c:pt idx="813">
                  <c:v>1300</c:v>
                </c:pt>
                <c:pt idx="814">
                  <c:v>1300</c:v>
                </c:pt>
                <c:pt idx="815">
                  <c:v>1300</c:v>
                </c:pt>
                <c:pt idx="816">
                  <c:v>1300</c:v>
                </c:pt>
                <c:pt idx="817">
                  <c:v>1400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1150</c:v>
                </c:pt>
                <c:pt idx="825">
                  <c:v>1150</c:v>
                </c:pt>
                <c:pt idx="826">
                  <c:v>1150</c:v>
                </c:pt>
                <c:pt idx="827">
                  <c:v>1150</c:v>
                </c:pt>
                <c:pt idx="828">
                  <c:v>1150</c:v>
                </c:pt>
                <c:pt idx="829">
                  <c:v>1150</c:v>
                </c:pt>
                <c:pt idx="830">
                  <c:v>1150</c:v>
                </c:pt>
                <c:pt idx="831">
                  <c:v>1150</c:v>
                </c:pt>
                <c:pt idx="832">
                  <c:v>1150</c:v>
                </c:pt>
                <c:pt idx="833">
                  <c:v>1150</c:v>
                </c:pt>
                <c:pt idx="834">
                  <c:v>1150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1020</c:v>
                </c:pt>
                <c:pt idx="839">
                  <c:v>1020</c:v>
                </c:pt>
                <c:pt idx="840">
                  <c:v>1020</c:v>
                </c:pt>
                <c:pt idx="841">
                  <c:v>1020</c:v>
                </c:pt>
                <c:pt idx="842">
                  <c:v>1020</c:v>
                </c:pt>
                <c:pt idx="843">
                  <c:v>1020</c:v>
                </c:pt>
                <c:pt idx="844">
                  <c:v>2950</c:v>
                </c:pt>
                <c:pt idx="845">
                  <c:v>3000</c:v>
                </c:pt>
                <c:pt idx="846">
                  <c:v>3000</c:v>
                </c:pt>
                <c:pt idx="847">
                  <c:v>3000</c:v>
                </c:pt>
                <c:pt idx="848">
                  <c:v>3000</c:v>
                </c:pt>
                <c:pt idx="849">
                  <c:v>3000</c:v>
                </c:pt>
                <c:pt idx="850">
                  <c:v>3000</c:v>
                </c:pt>
                <c:pt idx="851">
                  <c:v>3000</c:v>
                </c:pt>
                <c:pt idx="852">
                  <c:v>3360</c:v>
                </c:pt>
                <c:pt idx="853">
                  <c:v>1060</c:v>
                </c:pt>
                <c:pt idx="854">
                  <c:v>1060</c:v>
                </c:pt>
                <c:pt idx="855">
                  <c:v>1060</c:v>
                </c:pt>
                <c:pt idx="856">
                  <c:v>1605</c:v>
                </c:pt>
                <c:pt idx="857">
                  <c:v>2060</c:v>
                </c:pt>
                <c:pt idx="858">
                  <c:v>1980</c:v>
                </c:pt>
                <c:pt idx="859">
                  <c:v>3150</c:v>
                </c:pt>
                <c:pt idx="860">
                  <c:v>3150</c:v>
                </c:pt>
                <c:pt idx="861">
                  <c:v>1760</c:v>
                </c:pt>
                <c:pt idx="862">
                  <c:v>1760</c:v>
                </c:pt>
                <c:pt idx="863">
                  <c:v>3190</c:v>
                </c:pt>
                <c:pt idx="864">
                  <c:v>2880</c:v>
                </c:pt>
                <c:pt idx="865">
                  <c:v>1810</c:v>
                </c:pt>
                <c:pt idx="866">
                  <c:v>2300</c:v>
                </c:pt>
                <c:pt idx="867">
                  <c:v>4450</c:v>
                </c:pt>
                <c:pt idx="868">
                  <c:v>4450</c:v>
                </c:pt>
                <c:pt idx="869">
                  <c:v>4450</c:v>
                </c:pt>
                <c:pt idx="870">
                  <c:v>3300</c:v>
                </c:pt>
                <c:pt idx="871">
                  <c:v>3300</c:v>
                </c:pt>
                <c:pt idx="872">
                  <c:v>3300</c:v>
                </c:pt>
                <c:pt idx="873">
                  <c:v>2900</c:v>
                </c:pt>
                <c:pt idx="874">
                  <c:v>4900</c:v>
                </c:pt>
                <c:pt idx="875">
                  <c:v>4900</c:v>
                </c:pt>
                <c:pt idx="876">
                  <c:v>4900</c:v>
                </c:pt>
                <c:pt idx="877">
                  <c:v>5100</c:v>
                </c:pt>
                <c:pt idx="878">
                  <c:v>5130</c:v>
                </c:pt>
                <c:pt idx="879">
                  <c:v>4250</c:v>
                </c:pt>
                <c:pt idx="880">
                  <c:v>3060</c:v>
                </c:pt>
                <c:pt idx="881">
                  <c:v>1700</c:v>
                </c:pt>
                <c:pt idx="882">
                  <c:v>1700</c:v>
                </c:pt>
                <c:pt idx="883">
                  <c:v>1700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3990</c:v>
                </c:pt>
                <c:pt idx="888">
                  <c:v>1100</c:v>
                </c:pt>
                <c:pt idx="889">
                  <c:v>1100</c:v>
                </c:pt>
                <c:pt idx="890">
                  <c:v>1100</c:v>
                </c:pt>
                <c:pt idx="891">
                  <c:v>1350</c:v>
                </c:pt>
                <c:pt idx="892">
                  <c:v>1350</c:v>
                </c:pt>
                <c:pt idx="893">
                  <c:v>600</c:v>
                </c:pt>
                <c:pt idx="894">
                  <c:v>3600</c:v>
                </c:pt>
                <c:pt idx="895">
                  <c:v>300</c:v>
                </c:pt>
                <c:pt idx="896">
                  <c:v>300</c:v>
                </c:pt>
                <c:pt idx="897">
                  <c:v>300</c:v>
                </c:pt>
                <c:pt idx="898">
                  <c:v>300</c:v>
                </c:pt>
                <c:pt idx="899">
                  <c:v>300</c:v>
                </c:pt>
                <c:pt idx="900">
                  <c:v>300</c:v>
                </c:pt>
                <c:pt idx="901">
                  <c:v>3200</c:v>
                </c:pt>
                <c:pt idx="902">
                  <c:v>3200</c:v>
                </c:pt>
                <c:pt idx="903">
                  <c:v>3200</c:v>
                </c:pt>
                <c:pt idx="904">
                  <c:v>3200</c:v>
                </c:pt>
                <c:pt idx="905">
                  <c:v>800</c:v>
                </c:pt>
                <c:pt idx="906">
                  <c:v>800</c:v>
                </c:pt>
                <c:pt idx="907">
                  <c:v>800</c:v>
                </c:pt>
                <c:pt idx="908">
                  <c:v>3582.3</c:v>
                </c:pt>
                <c:pt idx="909">
                  <c:v>3582.3</c:v>
                </c:pt>
                <c:pt idx="910">
                  <c:v>3582.3</c:v>
                </c:pt>
                <c:pt idx="911">
                  <c:v>3582.3</c:v>
                </c:pt>
                <c:pt idx="912">
                  <c:v>3582.3</c:v>
                </c:pt>
                <c:pt idx="913">
                  <c:v>3582.3</c:v>
                </c:pt>
                <c:pt idx="914">
                  <c:v>3582.3</c:v>
                </c:pt>
                <c:pt idx="915">
                  <c:v>3300</c:v>
                </c:pt>
                <c:pt idx="916">
                  <c:v>3300</c:v>
                </c:pt>
                <c:pt idx="917">
                  <c:v>3300</c:v>
                </c:pt>
                <c:pt idx="918">
                  <c:v>3300</c:v>
                </c:pt>
                <c:pt idx="919">
                  <c:v>3300</c:v>
                </c:pt>
                <c:pt idx="920">
                  <c:v>3300</c:v>
                </c:pt>
                <c:pt idx="921">
                  <c:v>3300</c:v>
                </c:pt>
                <c:pt idx="922">
                  <c:v>3000</c:v>
                </c:pt>
                <c:pt idx="923">
                  <c:v>3000</c:v>
                </c:pt>
                <c:pt idx="924">
                  <c:v>3000</c:v>
                </c:pt>
                <c:pt idx="925">
                  <c:v>3000</c:v>
                </c:pt>
                <c:pt idx="926">
                  <c:v>3000</c:v>
                </c:pt>
                <c:pt idx="927">
                  <c:v>3000</c:v>
                </c:pt>
                <c:pt idx="928">
                  <c:v>3000</c:v>
                </c:pt>
                <c:pt idx="929">
                  <c:v>2100</c:v>
                </c:pt>
                <c:pt idx="930">
                  <c:v>2100</c:v>
                </c:pt>
                <c:pt idx="931">
                  <c:v>2100</c:v>
                </c:pt>
                <c:pt idx="932">
                  <c:v>2100</c:v>
                </c:pt>
                <c:pt idx="933">
                  <c:v>2100</c:v>
                </c:pt>
                <c:pt idx="934">
                  <c:v>2100</c:v>
                </c:pt>
                <c:pt idx="935">
                  <c:v>2100</c:v>
                </c:pt>
                <c:pt idx="936">
                  <c:v>2600</c:v>
                </c:pt>
                <c:pt idx="937">
                  <c:v>2600</c:v>
                </c:pt>
                <c:pt idx="938">
                  <c:v>2600</c:v>
                </c:pt>
                <c:pt idx="939">
                  <c:v>2600</c:v>
                </c:pt>
                <c:pt idx="940">
                  <c:v>2600</c:v>
                </c:pt>
                <c:pt idx="941">
                  <c:v>2600</c:v>
                </c:pt>
                <c:pt idx="942">
                  <c:v>2600</c:v>
                </c:pt>
                <c:pt idx="943">
                  <c:v>2500</c:v>
                </c:pt>
                <c:pt idx="944">
                  <c:v>2500</c:v>
                </c:pt>
                <c:pt idx="945">
                  <c:v>2500</c:v>
                </c:pt>
                <c:pt idx="946">
                  <c:v>2500</c:v>
                </c:pt>
                <c:pt idx="947">
                  <c:v>2500</c:v>
                </c:pt>
                <c:pt idx="948">
                  <c:v>2500</c:v>
                </c:pt>
                <c:pt idx="949">
                  <c:v>2500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3100</c:v>
                </c:pt>
                <c:pt idx="973">
                  <c:v>3100</c:v>
                </c:pt>
                <c:pt idx="974">
                  <c:v>3100</c:v>
                </c:pt>
                <c:pt idx="975">
                  <c:v>3100</c:v>
                </c:pt>
                <c:pt idx="976">
                  <c:v>3100</c:v>
                </c:pt>
                <c:pt idx="977">
                  <c:v>3100</c:v>
                </c:pt>
                <c:pt idx="978">
                  <c:v>2200</c:v>
                </c:pt>
                <c:pt idx="979">
                  <c:v>2200</c:v>
                </c:pt>
                <c:pt idx="980">
                  <c:v>2200</c:v>
                </c:pt>
                <c:pt idx="981">
                  <c:v>2200</c:v>
                </c:pt>
                <c:pt idx="982">
                  <c:v>2200</c:v>
                </c:pt>
                <c:pt idx="983">
                  <c:v>2200</c:v>
                </c:pt>
                <c:pt idx="984">
                  <c:v>2200</c:v>
                </c:pt>
                <c:pt idx="985">
                  <c:v>2400</c:v>
                </c:pt>
                <c:pt idx="986">
                  <c:v>2400</c:v>
                </c:pt>
                <c:pt idx="987">
                  <c:v>2400</c:v>
                </c:pt>
                <c:pt idx="988">
                  <c:v>2400</c:v>
                </c:pt>
                <c:pt idx="989">
                  <c:v>2400</c:v>
                </c:pt>
                <c:pt idx="990">
                  <c:v>2400</c:v>
                </c:pt>
                <c:pt idx="991">
                  <c:v>2400</c:v>
                </c:pt>
                <c:pt idx="992">
                  <c:v>1800</c:v>
                </c:pt>
                <c:pt idx="993">
                  <c:v>1800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1800</c:v>
                </c:pt>
                <c:pt idx="1001">
                  <c:v>1800</c:v>
                </c:pt>
                <c:pt idx="1002">
                  <c:v>1800</c:v>
                </c:pt>
                <c:pt idx="1003">
                  <c:v>1800</c:v>
                </c:pt>
                <c:pt idx="1004">
                  <c:v>1800</c:v>
                </c:pt>
                <c:pt idx="1005">
                  <c:v>1800</c:v>
                </c:pt>
                <c:pt idx="1006">
                  <c:v>1000</c:v>
                </c:pt>
                <c:pt idx="1007">
                  <c:v>1000</c:v>
                </c:pt>
                <c:pt idx="1008">
                  <c:v>1000</c:v>
                </c:pt>
                <c:pt idx="1009">
                  <c:v>1000</c:v>
                </c:pt>
                <c:pt idx="1010">
                  <c:v>1000</c:v>
                </c:pt>
                <c:pt idx="1011">
                  <c:v>1000</c:v>
                </c:pt>
                <c:pt idx="1012">
                  <c:v>1000</c:v>
                </c:pt>
                <c:pt idx="1013">
                  <c:v>1000</c:v>
                </c:pt>
                <c:pt idx="1014">
                  <c:v>1000</c:v>
                </c:pt>
                <c:pt idx="1015">
                  <c:v>1000</c:v>
                </c:pt>
                <c:pt idx="1016">
                  <c:v>1000</c:v>
                </c:pt>
                <c:pt idx="1017">
                  <c:v>1000</c:v>
                </c:pt>
                <c:pt idx="1018">
                  <c:v>1000</c:v>
                </c:pt>
                <c:pt idx="1019">
                  <c:v>1000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1000</c:v>
                </c:pt>
                <c:pt idx="1028">
                  <c:v>1000</c:v>
                </c:pt>
                <c:pt idx="1029">
                  <c:v>1000</c:v>
                </c:pt>
                <c:pt idx="1030">
                  <c:v>1000</c:v>
                </c:pt>
                <c:pt idx="1031">
                  <c:v>1000</c:v>
                </c:pt>
                <c:pt idx="1032">
                  <c:v>1000</c:v>
                </c:pt>
                <c:pt idx="1033">
                  <c:v>1000</c:v>
                </c:pt>
                <c:pt idx="1034">
                  <c:v>1900</c:v>
                </c:pt>
                <c:pt idx="1035">
                  <c:v>1900</c:v>
                </c:pt>
                <c:pt idx="1036">
                  <c:v>1900</c:v>
                </c:pt>
                <c:pt idx="1037">
                  <c:v>1900</c:v>
                </c:pt>
                <c:pt idx="1038">
                  <c:v>1900</c:v>
                </c:pt>
                <c:pt idx="1039">
                  <c:v>1900</c:v>
                </c:pt>
                <c:pt idx="1040">
                  <c:v>1900</c:v>
                </c:pt>
                <c:pt idx="1041">
                  <c:v>900</c:v>
                </c:pt>
                <c:pt idx="1042">
                  <c:v>900</c:v>
                </c:pt>
                <c:pt idx="1043">
                  <c:v>900</c:v>
                </c:pt>
                <c:pt idx="1044">
                  <c:v>900</c:v>
                </c:pt>
                <c:pt idx="1045">
                  <c:v>900</c:v>
                </c:pt>
                <c:pt idx="1046">
                  <c:v>900</c:v>
                </c:pt>
                <c:pt idx="1047">
                  <c:v>900</c:v>
                </c:pt>
                <c:pt idx="1048">
                  <c:v>1000</c:v>
                </c:pt>
                <c:pt idx="1049">
                  <c:v>1000</c:v>
                </c:pt>
                <c:pt idx="1050">
                  <c:v>1000</c:v>
                </c:pt>
                <c:pt idx="1051">
                  <c:v>1000</c:v>
                </c:pt>
                <c:pt idx="1052">
                  <c:v>1000</c:v>
                </c:pt>
                <c:pt idx="1053">
                  <c:v>1000</c:v>
                </c:pt>
                <c:pt idx="1054">
                  <c:v>1000</c:v>
                </c:pt>
                <c:pt idx="1055">
                  <c:v>3000</c:v>
                </c:pt>
                <c:pt idx="1056">
                  <c:v>3000</c:v>
                </c:pt>
                <c:pt idx="1057">
                  <c:v>3000</c:v>
                </c:pt>
                <c:pt idx="1058">
                  <c:v>3000</c:v>
                </c:pt>
                <c:pt idx="1059">
                  <c:v>3000</c:v>
                </c:pt>
                <c:pt idx="1060">
                  <c:v>3000</c:v>
                </c:pt>
                <c:pt idx="1061">
                  <c:v>3000</c:v>
                </c:pt>
                <c:pt idx="1062">
                  <c:v>3000</c:v>
                </c:pt>
                <c:pt idx="1063">
                  <c:v>2999.93333334</c:v>
                </c:pt>
                <c:pt idx="1064">
                  <c:v>2999.93333334</c:v>
                </c:pt>
                <c:pt idx="1065">
                  <c:v>2999.93333334</c:v>
                </c:pt>
                <c:pt idx="1066">
                  <c:v>2999.93333334</c:v>
                </c:pt>
                <c:pt idx="1067">
                  <c:v>2999.93333334</c:v>
                </c:pt>
                <c:pt idx="1068">
                  <c:v>2999.93333334</c:v>
                </c:pt>
                <c:pt idx="1069">
                  <c:v>1999.94444445</c:v>
                </c:pt>
                <c:pt idx="1070">
                  <c:v>1999.94444445</c:v>
                </c:pt>
                <c:pt idx="1071">
                  <c:v>1999.94444445</c:v>
                </c:pt>
                <c:pt idx="1072">
                  <c:v>1999.94444445</c:v>
                </c:pt>
                <c:pt idx="1073">
                  <c:v>1999.94444445</c:v>
                </c:pt>
                <c:pt idx="1074">
                  <c:v>1999.94444445</c:v>
                </c:pt>
                <c:pt idx="1075">
                  <c:v>1999.94444445</c:v>
                </c:pt>
                <c:pt idx="1076">
                  <c:v>2200</c:v>
                </c:pt>
                <c:pt idx="1077">
                  <c:v>2200</c:v>
                </c:pt>
                <c:pt idx="1078">
                  <c:v>2200</c:v>
                </c:pt>
                <c:pt idx="1079">
                  <c:v>2200</c:v>
                </c:pt>
                <c:pt idx="1080">
                  <c:v>2200</c:v>
                </c:pt>
                <c:pt idx="1081">
                  <c:v>2200</c:v>
                </c:pt>
                <c:pt idx="1082">
                  <c:v>2200</c:v>
                </c:pt>
                <c:pt idx="1083">
                  <c:v>1500</c:v>
                </c:pt>
                <c:pt idx="1084">
                  <c:v>1500</c:v>
                </c:pt>
                <c:pt idx="1085">
                  <c:v>1500</c:v>
                </c:pt>
                <c:pt idx="1086">
                  <c:v>1500</c:v>
                </c:pt>
                <c:pt idx="1087">
                  <c:v>1500</c:v>
                </c:pt>
                <c:pt idx="1088">
                  <c:v>1500</c:v>
                </c:pt>
                <c:pt idx="1089">
                  <c:v>1500</c:v>
                </c:pt>
                <c:pt idx="1090">
                  <c:v>1500</c:v>
                </c:pt>
                <c:pt idx="1091">
                  <c:v>1500</c:v>
                </c:pt>
                <c:pt idx="1092">
                  <c:v>1500</c:v>
                </c:pt>
                <c:pt idx="1093">
                  <c:v>1500</c:v>
                </c:pt>
                <c:pt idx="1094">
                  <c:v>1500</c:v>
                </c:pt>
                <c:pt idx="1095">
                  <c:v>1500</c:v>
                </c:pt>
                <c:pt idx="1096">
                  <c:v>1500</c:v>
                </c:pt>
                <c:pt idx="1097">
                  <c:v>1500</c:v>
                </c:pt>
                <c:pt idx="1098">
                  <c:v>1500</c:v>
                </c:pt>
                <c:pt idx="1099">
                  <c:v>1500</c:v>
                </c:pt>
                <c:pt idx="1100">
                  <c:v>1500</c:v>
                </c:pt>
                <c:pt idx="1101">
                  <c:v>1500</c:v>
                </c:pt>
                <c:pt idx="1102">
                  <c:v>1500</c:v>
                </c:pt>
                <c:pt idx="1103">
                  <c:v>1500</c:v>
                </c:pt>
                <c:pt idx="1104">
                  <c:v>1000.02439025</c:v>
                </c:pt>
                <c:pt idx="1105">
                  <c:v>1000.02439025</c:v>
                </c:pt>
                <c:pt idx="1106">
                  <c:v>1000.02439025</c:v>
                </c:pt>
                <c:pt idx="1107">
                  <c:v>1000.02439025</c:v>
                </c:pt>
                <c:pt idx="1108">
                  <c:v>1000.02439025</c:v>
                </c:pt>
                <c:pt idx="1109">
                  <c:v>1000.02439025</c:v>
                </c:pt>
                <c:pt idx="1110">
                  <c:v>1000.02439025</c:v>
                </c:pt>
                <c:pt idx="1111">
                  <c:v>499.92173914</c:v>
                </c:pt>
                <c:pt idx="1112">
                  <c:v>499.92173914</c:v>
                </c:pt>
                <c:pt idx="1113">
                  <c:v>499.92173914</c:v>
                </c:pt>
                <c:pt idx="1114">
                  <c:v>499.92173914</c:v>
                </c:pt>
                <c:pt idx="1115">
                  <c:v>499.92173914</c:v>
                </c:pt>
                <c:pt idx="1116">
                  <c:v>499.92173914</c:v>
                </c:pt>
                <c:pt idx="1117">
                  <c:v>499.92173914</c:v>
                </c:pt>
                <c:pt idx="1118">
                  <c:v>500</c:v>
                </c:pt>
                <c:pt idx="1119">
                  <c:v>500</c:v>
                </c:pt>
                <c:pt idx="1120">
                  <c:v>500</c:v>
                </c:pt>
                <c:pt idx="1121">
                  <c:v>500</c:v>
                </c:pt>
                <c:pt idx="1122">
                  <c:v>500</c:v>
                </c:pt>
                <c:pt idx="1123">
                  <c:v>500</c:v>
                </c:pt>
                <c:pt idx="1124">
                  <c:v>500</c:v>
                </c:pt>
                <c:pt idx="1125">
                  <c:v>500</c:v>
                </c:pt>
                <c:pt idx="1126">
                  <c:v>500</c:v>
                </c:pt>
                <c:pt idx="1127">
                  <c:v>500</c:v>
                </c:pt>
                <c:pt idx="1128">
                  <c:v>500</c:v>
                </c:pt>
                <c:pt idx="1129">
                  <c:v>500</c:v>
                </c:pt>
                <c:pt idx="1130">
                  <c:v>500</c:v>
                </c:pt>
                <c:pt idx="1131">
                  <c:v>500</c:v>
                </c:pt>
                <c:pt idx="1132">
                  <c:v>500</c:v>
                </c:pt>
                <c:pt idx="1133">
                  <c:v>500</c:v>
                </c:pt>
                <c:pt idx="1134">
                  <c:v>500</c:v>
                </c:pt>
                <c:pt idx="1135">
                  <c:v>500</c:v>
                </c:pt>
                <c:pt idx="1136">
                  <c:v>500</c:v>
                </c:pt>
                <c:pt idx="1137">
                  <c:v>500</c:v>
                </c:pt>
                <c:pt idx="1138">
                  <c:v>500</c:v>
                </c:pt>
                <c:pt idx="1139">
                  <c:v>500</c:v>
                </c:pt>
                <c:pt idx="1140">
                  <c:v>500</c:v>
                </c:pt>
                <c:pt idx="1141">
                  <c:v>500</c:v>
                </c:pt>
                <c:pt idx="1142">
                  <c:v>500</c:v>
                </c:pt>
                <c:pt idx="1143">
                  <c:v>500</c:v>
                </c:pt>
                <c:pt idx="1144">
                  <c:v>500</c:v>
                </c:pt>
                <c:pt idx="1145">
                  <c:v>500</c:v>
                </c:pt>
                <c:pt idx="1146">
                  <c:v>500</c:v>
                </c:pt>
                <c:pt idx="1147">
                  <c:v>500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500</c:v>
                </c:pt>
                <c:pt idx="1280">
                  <c:v>500</c:v>
                </c:pt>
                <c:pt idx="1281">
                  <c:v>500</c:v>
                </c:pt>
                <c:pt idx="1282">
                  <c:v>500</c:v>
                </c:pt>
                <c:pt idx="1283">
                  <c:v>500</c:v>
                </c:pt>
                <c:pt idx="1284">
                  <c:v>500</c:v>
                </c:pt>
                <c:pt idx="1285">
                  <c:v>500</c:v>
                </c:pt>
                <c:pt idx="1286">
                  <c:v>500</c:v>
                </c:pt>
                <c:pt idx="1287">
                  <c:v>500</c:v>
                </c:pt>
                <c:pt idx="1288">
                  <c:v>500</c:v>
                </c:pt>
                <c:pt idx="1289">
                  <c:v>500</c:v>
                </c:pt>
                <c:pt idx="1290">
                  <c:v>500</c:v>
                </c:pt>
                <c:pt idx="1291">
                  <c:v>500</c:v>
                </c:pt>
                <c:pt idx="1292">
                  <c:v>500</c:v>
                </c:pt>
                <c:pt idx="1293">
                  <c:v>500</c:v>
                </c:pt>
                <c:pt idx="1294">
                  <c:v>500</c:v>
                </c:pt>
                <c:pt idx="1295">
                  <c:v>500</c:v>
                </c:pt>
                <c:pt idx="1296">
                  <c:v>500</c:v>
                </c:pt>
                <c:pt idx="1297">
                  <c:v>500</c:v>
                </c:pt>
                <c:pt idx="1298">
                  <c:v>500</c:v>
                </c:pt>
                <c:pt idx="1299">
                  <c:v>500</c:v>
                </c:pt>
                <c:pt idx="1300">
                  <c:v>1000</c:v>
                </c:pt>
                <c:pt idx="1301">
                  <c:v>1000</c:v>
                </c:pt>
                <c:pt idx="1302">
                  <c:v>1000</c:v>
                </c:pt>
                <c:pt idx="1303">
                  <c:v>1000</c:v>
                </c:pt>
                <c:pt idx="1304">
                  <c:v>1000</c:v>
                </c:pt>
                <c:pt idx="1305">
                  <c:v>1000</c:v>
                </c:pt>
                <c:pt idx="1306">
                  <c:v>1000</c:v>
                </c:pt>
                <c:pt idx="1307">
                  <c:v>1620</c:v>
                </c:pt>
                <c:pt idx="1308">
                  <c:v>1620</c:v>
                </c:pt>
                <c:pt idx="1309">
                  <c:v>1620</c:v>
                </c:pt>
                <c:pt idx="1310">
                  <c:v>1620</c:v>
                </c:pt>
                <c:pt idx="1311">
                  <c:v>1620</c:v>
                </c:pt>
                <c:pt idx="1312">
                  <c:v>1620</c:v>
                </c:pt>
                <c:pt idx="1313">
                  <c:v>1620</c:v>
                </c:pt>
                <c:pt idx="1314">
                  <c:v>1900</c:v>
                </c:pt>
                <c:pt idx="1315">
                  <c:v>1900</c:v>
                </c:pt>
                <c:pt idx="1316">
                  <c:v>1900</c:v>
                </c:pt>
                <c:pt idx="1317">
                  <c:v>1900</c:v>
                </c:pt>
                <c:pt idx="1318">
                  <c:v>1900</c:v>
                </c:pt>
                <c:pt idx="1319">
                  <c:v>1900</c:v>
                </c:pt>
                <c:pt idx="1320">
                  <c:v>1900</c:v>
                </c:pt>
                <c:pt idx="1321">
                  <c:v>3600</c:v>
                </c:pt>
                <c:pt idx="1322">
                  <c:v>3600</c:v>
                </c:pt>
                <c:pt idx="1323">
                  <c:v>3600</c:v>
                </c:pt>
                <c:pt idx="1324">
                  <c:v>3600</c:v>
                </c:pt>
                <c:pt idx="1325">
                  <c:v>3600</c:v>
                </c:pt>
                <c:pt idx="1326">
                  <c:v>3600</c:v>
                </c:pt>
                <c:pt idx="1327">
                  <c:v>3600</c:v>
                </c:pt>
                <c:pt idx="1328">
                  <c:v>5000</c:v>
                </c:pt>
                <c:pt idx="1329">
                  <c:v>5000</c:v>
                </c:pt>
                <c:pt idx="1330">
                  <c:v>5000</c:v>
                </c:pt>
                <c:pt idx="1331">
                  <c:v>5000</c:v>
                </c:pt>
                <c:pt idx="1332">
                  <c:v>5000</c:v>
                </c:pt>
                <c:pt idx="1333">
                  <c:v>5000</c:v>
                </c:pt>
                <c:pt idx="1334">
                  <c:v>5000</c:v>
                </c:pt>
                <c:pt idx="1335">
                  <c:v>3000</c:v>
                </c:pt>
                <c:pt idx="1336">
                  <c:v>3000</c:v>
                </c:pt>
                <c:pt idx="1337">
                  <c:v>3000</c:v>
                </c:pt>
                <c:pt idx="1338">
                  <c:v>3000</c:v>
                </c:pt>
                <c:pt idx="1339">
                  <c:v>3000</c:v>
                </c:pt>
                <c:pt idx="1340">
                  <c:v>3000</c:v>
                </c:pt>
                <c:pt idx="1341">
                  <c:v>3000</c:v>
                </c:pt>
                <c:pt idx="1342">
                  <c:v>2900</c:v>
                </c:pt>
                <c:pt idx="1343">
                  <c:v>2900</c:v>
                </c:pt>
                <c:pt idx="1344">
                  <c:v>2900</c:v>
                </c:pt>
                <c:pt idx="1345">
                  <c:v>2900</c:v>
                </c:pt>
                <c:pt idx="1346">
                  <c:v>2900</c:v>
                </c:pt>
                <c:pt idx="1347">
                  <c:v>2900</c:v>
                </c:pt>
                <c:pt idx="1348">
                  <c:v>2900</c:v>
                </c:pt>
                <c:pt idx="1349">
                  <c:v>4000</c:v>
                </c:pt>
                <c:pt idx="1350">
                  <c:v>4000</c:v>
                </c:pt>
                <c:pt idx="1351">
                  <c:v>4000</c:v>
                </c:pt>
                <c:pt idx="1352">
                  <c:v>4000</c:v>
                </c:pt>
                <c:pt idx="1353">
                  <c:v>4000</c:v>
                </c:pt>
                <c:pt idx="1354">
                  <c:v>4000</c:v>
                </c:pt>
                <c:pt idx="1355">
                  <c:v>4000</c:v>
                </c:pt>
                <c:pt idx="1356">
                  <c:v>5000</c:v>
                </c:pt>
                <c:pt idx="1357">
                  <c:v>5000</c:v>
                </c:pt>
                <c:pt idx="1358">
                  <c:v>5000</c:v>
                </c:pt>
                <c:pt idx="1359">
                  <c:v>5000</c:v>
                </c:pt>
                <c:pt idx="1360">
                  <c:v>5000</c:v>
                </c:pt>
                <c:pt idx="1361">
                  <c:v>5000</c:v>
                </c:pt>
                <c:pt idx="1362">
                  <c:v>5000</c:v>
                </c:pt>
                <c:pt idx="1363">
                  <c:v>5000</c:v>
                </c:pt>
                <c:pt idx="1364">
                  <c:v>5000</c:v>
                </c:pt>
                <c:pt idx="1365">
                  <c:v>5000</c:v>
                </c:pt>
                <c:pt idx="1366">
                  <c:v>5000</c:v>
                </c:pt>
                <c:pt idx="1367">
                  <c:v>5000</c:v>
                </c:pt>
                <c:pt idx="1368">
                  <c:v>5000</c:v>
                </c:pt>
                <c:pt idx="1369">
                  <c:v>5000</c:v>
                </c:pt>
                <c:pt idx="1370">
                  <c:v>3900</c:v>
                </c:pt>
                <c:pt idx="1371">
                  <c:v>3900</c:v>
                </c:pt>
                <c:pt idx="1372">
                  <c:v>3900</c:v>
                </c:pt>
                <c:pt idx="1373">
                  <c:v>3900</c:v>
                </c:pt>
                <c:pt idx="1374">
                  <c:v>3900</c:v>
                </c:pt>
                <c:pt idx="1375">
                  <c:v>3900</c:v>
                </c:pt>
                <c:pt idx="1376">
                  <c:v>3900</c:v>
                </c:pt>
                <c:pt idx="1377">
                  <c:v>4000</c:v>
                </c:pt>
                <c:pt idx="1378">
                  <c:v>4000</c:v>
                </c:pt>
                <c:pt idx="1379">
                  <c:v>4000</c:v>
                </c:pt>
                <c:pt idx="1380">
                  <c:v>4000</c:v>
                </c:pt>
                <c:pt idx="1381">
                  <c:v>4000</c:v>
                </c:pt>
                <c:pt idx="1382">
                  <c:v>4000</c:v>
                </c:pt>
                <c:pt idx="1383">
                  <c:v>4000</c:v>
                </c:pt>
                <c:pt idx="1384">
                  <c:v>4000</c:v>
                </c:pt>
                <c:pt idx="1385">
                  <c:v>4000</c:v>
                </c:pt>
                <c:pt idx="1386">
                  <c:v>4000</c:v>
                </c:pt>
                <c:pt idx="1387">
                  <c:v>4000</c:v>
                </c:pt>
                <c:pt idx="1388">
                  <c:v>4000</c:v>
                </c:pt>
                <c:pt idx="1389">
                  <c:v>4000</c:v>
                </c:pt>
                <c:pt idx="1390">
                  <c:v>4000</c:v>
                </c:pt>
                <c:pt idx="1391">
                  <c:v>4530</c:v>
                </c:pt>
                <c:pt idx="1392">
                  <c:v>4530</c:v>
                </c:pt>
                <c:pt idx="1393">
                  <c:v>4530</c:v>
                </c:pt>
                <c:pt idx="1394">
                  <c:v>4530</c:v>
                </c:pt>
                <c:pt idx="1395">
                  <c:v>4530</c:v>
                </c:pt>
                <c:pt idx="1396">
                  <c:v>4530</c:v>
                </c:pt>
                <c:pt idx="1397">
                  <c:v>4530</c:v>
                </c:pt>
                <c:pt idx="1398">
                  <c:v>4000</c:v>
                </c:pt>
                <c:pt idx="1399">
                  <c:v>4000</c:v>
                </c:pt>
                <c:pt idx="1400">
                  <c:v>4000</c:v>
                </c:pt>
                <c:pt idx="1401">
                  <c:v>4000</c:v>
                </c:pt>
                <c:pt idx="1402">
                  <c:v>4000</c:v>
                </c:pt>
                <c:pt idx="1403">
                  <c:v>4000</c:v>
                </c:pt>
                <c:pt idx="1404">
                  <c:v>4000</c:v>
                </c:pt>
                <c:pt idx="1405">
                  <c:v>4000</c:v>
                </c:pt>
                <c:pt idx="1406">
                  <c:v>4000</c:v>
                </c:pt>
                <c:pt idx="1407">
                  <c:v>4000</c:v>
                </c:pt>
                <c:pt idx="1408">
                  <c:v>4000</c:v>
                </c:pt>
                <c:pt idx="1409">
                  <c:v>4000</c:v>
                </c:pt>
                <c:pt idx="1410">
                  <c:v>4000</c:v>
                </c:pt>
                <c:pt idx="1411">
                  <c:v>4000</c:v>
                </c:pt>
                <c:pt idx="1412">
                  <c:v>4000</c:v>
                </c:pt>
                <c:pt idx="1413">
                  <c:v>4000</c:v>
                </c:pt>
                <c:pt idx="1414">
                  <c:v>4000</c:v>
                </c:pt>
                <c:pt idx="1415">
                  <c:v>4000</c:v>
                </c:pt>
                <c:pt idx="1416">
                  <c:v>4000</c:v>
                </c:pt>
                <c:pt idx="1417">
                  <c:v>4000</c:v>
                </c:pt>
                <c:pt idx="1418">
                  <c:v>4000</c:v>
                </c:pt>
                <c:pt idx="1419">
                  <c:v>4000</c:v>
                </c:pt>
                <c:pt idx="1420">
                  <c:v>4000</c:v>
                </c:pt>
                <c:pt idx="1421">
                  <c:v>4000</c:v>
                </c:pt>
                <c:pt idx="1422">
                  <c:v>4000</c:v>
                </c:pt>
                <c:pt idx="1423">
                  <c:v>4000</c:v>
                </c:pt>
                <c:pt idx="1424">
                  <c:v>4000</c:v>
                </c:pt>
                <c:pt idx="1425">
                  <c:v>4000</c:v>
                </c:pt>
                <c:pt idx="1426">
                  <c:v>4000</c:v>
                </c:pt>
                <c:pt idx="1427">
                  <c:v>4000</c:v>
                </c:pt>
                <c:pt idx="1428">
                  <c:v>4000</c:v>
                </c:pt>
                <c:pt idx="1429">
                  <c:v>4000</c:v>
                </c:pt>
                <c:pt idx="1430">
                  <c:v>4000</c:v>
                </c:pt>
                <c:pt idx="1431">
                  <c:v>4000</c:v>
                </c:pt>
                <c:pt idx="1432">
                  <c:v>4000</c:v>
                </c:pt>
                <c:pt idx="1433">
                  <c:v>3200</c:v>
                </c:pt>
                <c:pt idx="1434">
                  <c:v>3200</c:v>
                </c:pt>
                <c:pt idx="1435">
                  <c:v>3200</c:v>
                </c:pt>
                <c:pt idx="1436">
                  <c:v>3200</c:v>
                </c:pt>
                <c:pt idx="1437">
                  <c:v>3200</c:v>
                </c:pt>
                <c:pt idx="1438">
                  <c:v>3200</c:v>
                </c:pt>
                <c:pt idx="1439">
                  <c:v>3200</c:v>
                </c:pt>
                <c:pt idx="1440">
                  <c:v>3200</c:v>
                </c:pt>
                <c:pt idx="1441">
                  <c:v>3200</c:v>
                </c:pt>
                <c:pt idx="1442">
                  <c:v>3200</c:v>
                </c:pt>
                <c:pt idx="1443">
                  <c:v>3200</c:v>
                </c:pt>
                <c:pt idx="1444">
                  <c:v>3200</c:v>
                </c:pt>
                <c:pt idx="1445">
                  <c:v>3200</c:v>
                </c:pt>
                <c:pt idx="1446">
                  <c:v>3200</c:v>
                </c:pt>
                <c:pt idx="1447">
                  <c:v>4020</c:v>
                </c:pt>
                <c:pt idx="1448">
                  <c:v>4020</c:v>
                </c:pt>
                <c:pt idx="1449">
                  <c:v>4020</c:v>
                </c:pt>
                <c:pt idx="1450">
                  <c:v>4020</c:v>
                </c:pt>
                <c:pt idx="1451">
                  <c:v>4020</c:v>
                </c:pt>
                <c:pt idx="1452">
                  <c:v>4020</c:v>
                </c:pt>
                <c:pt idx="1453">
                  <c:v>4020</c:v>
                </c:pt>
                <c:pt idx="1454">
                  <c:v>4020</c:v>
                </c:pt>
                <c:pt idx="1455">
                  <c:v>4020</c:v>
                </c:pt>
                <c:pt idx="1456">
                  <c:v>4020</c:v>
                </c:pt>
                <c:pt idx="1457">
                  <c:v>4020</c:v>
                </c:pt>
                <c:pt idx="1458">
                  <c:v>4020</c:v>
                </c:pt>
                <c:pt idx="1459">
                  <c:v>4020</c:v>
                </c:pt>
                <c:pt idx="1460">
                  <c:v>4020</c:v>
                </c:pt>
                <c:pt idx="1461">
                  <c:v>4020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3130</c:v>
                </c:pt>
                <c:pt idx="1469">
                  <c:v>3130</c:v>
                </c:pt>
                <c:pt idx="1470">
                  <c:v>3130</c:v>
                </c:pt>
                <c:pt idx="1471">
                  <c:v>3130</c:v>
                </c:pt>
                <c:pt idx="1472">
                  <c:v>3130</c:v>
                </c:pt>
                <c:pt idx="1473">
                  <c:v>3130</c:v>
                </c:pt>
                <c:pt idx="1474">
                  <c:v>3130</c:v>
                </c:pt>
                <c:pt idx="1475">
                  <c:v>2850</c:v>
                </c:pt>
                <c:pt idx="1476">
                  <c:v>2850</c:v>
                </c:pt>
                <c:pt idx="1477">
                  <c:v>2850</c:v>
                </c:pt>
                <c:pt idx="1478">
                  <c:v>2850</c:v>
                </c:pt>
                <c:pt idx="1479">
                  <c:v>2850</c:v>
                </c:pt>
                <c:pt idx="1480">
                  <c:v>2850</c:v>
                </c:pt>
                <c:pt idx="1481">
                  <c:v>2850</c:v>
                </c:pt>
                <c:pt idx="1482">
                  <c:v>2600</c:v>
                </c:pt>
                <c:pt idx="1483">
                  <c:v>2600</c:v>
                </c:pt>
                <c:pt idx="1484">
                  <c:v>2600</c:v>
                </c:pt>
                <c:pt idx="1485">
                  <c:v>2600</c:v>
                </c:pt>
                <c:pt idx="1486">
                  <c:v>2600</c:v>
                </c:pt>
                <c:pt idx="1487">
                  <c:v>2600</c:v>
                </c:pt>
                <c:pt idx="1488">
                  <c:v>2600</c:v>
                </c:pt>
                <c:pt idx="1489">
                  <c:v>3150</c:v>
                </c:pt>
                <c:pt idx="1490">
                  <c:v>3150</c:v>
                </c:pt>
                <c:pt idx="1491">
                  <c:v>3150</c:v>
                </c:pt>
                <c:pt idx="1492">
                  <c:v>3150</c:v>
                </c:pt>
                <c:pt idx="1493">
                  <c:v>3150</c:v>
                </c:pt>
                <c:pt idx="1494">
                  <c:v>3150</c:v>
                </c:pt>
                <c:pt idx="1495">
                  <c:v>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E2-43C2-A9E5-4CA04C7CD3C7}"/>
            </c:ext>
          </c:extLst>
        </c:ser>
        <c:ser>
          <c:idx val="6"/>
          <c:order val="6"/>
          <c:tx>
            <c:v>SENAD (Bons Islamiques BCM)</c:v>
          </c:tx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BASE!$A$2:$A$1497</c:f>
              <c:numCache>
                <c:formatCode>m/d/yyyy</c:formatCode>
                <c:ptCount val="1496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  <c:pt idx="1495">
                  <c:v>46057</c:v>
                </c:pt>
              </c:numCache>
            </c:numRef>
          </c:cat>
          <c:val>
            <c:numRef>
              <c:f>BASE!$M$2:$M$1497</c:f>
              <c:numCache>
                <c:formatCode>_-* #\ ##0_-;\-* #\ ##0_-;_-* "-"??_-;_-@_-</c:formatCode>
                <c:ptCount val="14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88">
                  <c:v>1700</c:v>
                </c:pt>
                <c:pt idx="489">
                  <c:v>1700</c:v>
                </c:pt>
                <c:pt idx="490">
                  <c:v>1700</c:v>
                </c:pt>
                <c:pt idx="491">
                  <c:v>1700</c:v>
                </c:pt>
                <c:pt idx="492">
                  <c:v>1700</c:v>
                </c:pt>
                <c:pt idx="493">
                  <c:v>1700</c:v>
                </c:pt>
                <c:pt idx="494">
                  <c:v>1700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2000</c:v>
                </c:pt>
                <c:pt idx="510">
                  <c:v>2000</c:v>
                </c:pt>
                <c:pt idx="511">
                  <c:v>2000</c:v>
                </c:pt>
                <c:pt idx="512">
                  <c:v>2000</c:v>
                </c:pt>
                <c:pt idx="513">
                  <c:v>2000</c:v>
                </c:pt>
                <c:pt idx="514">
                  <c:v>2000</c:v>
                </c:pt>
                <c:pt idx="515">
                  <c:v>2000</c:v>
                </c:pt>
                <c:pt idx="516">
                  <c:v>2500</c:v>
                </c:pt>
                <c:pt idx="517">
                  <c:v>2500</c:v>
                </c:pt>
                <c:pt idx="518">
                  <c:v>2500</c:v>
                </c:pt>
                <c:pt idx="519">
                  <c:v>2500</c:v>
                </c:pt>
                <c:pt idx="520">
                  <c:v>2500</c:v>
                </c:pt>
                <c:pt idx="521">
                  <c:v>2500</c:v>
                </c:pt>
                <c:pt idx="522">
                  <c:v>2500</c:v>
                </c:pt>
                <c:pt idx="523">
                  <c:v>2000</c:v>
                </c:pt>
                <c:pt idx="524">
                  <c:v>2000</c:v>
                </c:pt>
                <c:pt idx="525">
                  <c:v>2000</c:v>
                </c:pt>
                <c:pt idx="526">
                  <c:v>2000</c:v>
                </c:pt>
                <c:pt idx="527">
                  <c:v>2000</c:v>
                </c:pt>
                <c:pt idx="528">
                  <c:v>2000</c:v>
                </c:pt>
                <c:pt idx="529">
                  <c:v>2000</c:v>
                </c:pt>
                <c:pt idx="530">
                  <c:v>2600</c:v>
                </c:pt>
                <c:pt idx="531">
                  <c:v>2600</c:v>
                </c:pt>
                <c:pt idx="532">
                  <c:v>2600</c:v>
                </c:pt>
                <c:pt idx="533">
                  <c:v>2600</c:v>
                </c:pt>
                <c:pt idx="534">
                  <c:v>2600</c:v>
                </c:pt>
                <c:pt idx="535">
                  <c:v>2600</c:v>
                </c:pt>
                <c:pt idx="536">
                  <c:v>2600</c:v>
                </c:pt>
                <c:pt idx="537">
                  <c:v>3840</c:v>
                </c:pt>
                <c:pt idx="538">
                  <c:v>3840</c:v>
                </c:pt>
                <c:pt idx="539">
                  <c:v>3840</c:v>
                </c:pt>
                <c:pt idx="540">
                  <c:v>3840</c:v>
                </c:pt>
                <c:pt idx="541">
                  <c:v>3840</c:v>
                </c:pt>
                <c:pt idx="542">
                  <c:v>3840</c:v>
                </c:pt>
                <c:pt idx="543">
                  <c:v>3840</c:v>
                </c:pt>
                <c:pt idx="544">
                  <c:v>3840</c:v>
                </c:pt>
                <c:pt idx="545">
                  <c:v>3840</c:v>
                </c:pt>
                <c:pt idx="546">
                  <c:v>3840</c:v>
                </c:pt>
                <c:pt idx="547">
                  <c:v>3840</c:v>
                </c:pt>
                <c:pt idx="548">
                  <c:v>3840</c:v>
                </c:pt>
                <c:pt idx="549">
                  <c:v>3840</c:v>
                </c:pt>
                <c:pt idx="550">
                  <c:v>4600</c:v>
                </c:pt>
                <c:pt idx="551">
                  <c:v>4600</c:v>
                </c:pt>
                <c:pt idx="552">
                  <c:v>4600</c:v>
                </c:pt>
                <c:pt idx="553">
                  <c:v>4600</c:v>
                </c:pt>
                <c:pt idx="554">
                  <c:v>4600</c:v>
                </c:pt>
                <c:pt idx="555">
                  <c:v>4600</c:v>
                </c:pt>
                <c:pt idx="556">
                  <c:v>4600</c:v>
                </c:pt>
                <c:pt idx="557">
                  <c:v>4600</c:v>
                </c:pt>
                <c:pt idx="558">
                  <c:v>3900</c:v>
                </c:pt>
                <c:pt idx="559">
                  <c:v>3900</c:v>
                </c:pt>
                <c:pt idx="560">
                  <c:v>3900</c:v>
                </c:pt>
                <c:pt idx="561">
                  <c:v>3900</c:v>
                </c:pt>
                <c:pt idx="562">
                  <c:v>3900</c:v>
                </c:pt>
                <c:pt idx="563">
                  <c:v>3900</c:v>
                </c:pt>
                <c:pt idx="564">
                  <c:v>3900</c:v>
                </c:pt>
                <c:pt idx="565">
                  <c:v>3500</c:v>
                </c:pt>
                <c:pt idx="566">
                  <c:v>3500</c:v>
                </c:pt>
                <c:pt idx="567">
                  <c:v>3500</c:v>
                </c:pt>
                <c:pt idx="568">
                  <c:v>3500</c:v>
                </c:pt>
                <c:pt idx="569">
                  <c:v>3500</c:v>
                </c:pt>
                <c:pt idx="570">
                  <c:v>3500</c:v>
                </c:pt>
                <c:pt idx="571">
                  <c:v>3500</c:v>
                </c:pt>
                <c:pt idx="572">
                  <c:v>3500</c:v>
                </c:pt>
                <c:pt idx="573">
                  <c:v>3500</c:v>
                </c:pt>
                <c:pt idx="574">
                  <c:v>3500</c:v>
                </c:pt>
                <c:pt idx="575">
                  <c:v>3500</c:v>
                </c:pt>
                <c:pt idx="576">
                  <c:v>3500</c:v>
                </c:pt>
                <c:pt idx="577">
                  <c:v>3500</c:v>
                </c:pt>
                <c:pt idx="578">
                  <c:v>3500</c:v>
                </c:pt>
                <c:pt idx="579">
                  <c:v>3000</c:v>
                </c:pt>
                <c:pt idx="580">
                  <c:v>3000</c:v>
                </c:pt>
                <c:pt idx="581">
                  <c:v>3000</c:v>
                </c:pt>
                <c:pt idx="582">
                  <c:v>3000</c:v>
                </c:pt>
                <c:pt idx="583">
                  <c:v>3000</c:v>
                </c:pt>
                <c:pt idx="584">
                  <c:v>3000</c:v>
                </c:pt>
                <c:pt idx="585">
                  <c:v>3000</c:v>
                </c:pt>
                <c:pt idx="586">
                  <c:v>3000</c:v>
                </c:pt>
                <c:pt idx="587">
                  <c:v>3000</c:v>
                </c:pt>
                <c:pt idx="588">
                  <c:v>3000</c:v>
                </c:pt>
                <c:pt idx="589">
                  <c:v>3000</c:v>
                </c:pt>
                <c:pt idx="590">
                  <c:v>3000</c:v>
                </c:pt>
                <c:pt idx="591">
                  <c:v>3000</c:v>
                </c:pt>
                <c:pt idx="592">
                  <c:v>3000</c:v>
                </c:pt>
                <c:pt idx="593">
                  <c:v>3000</c:v>
                </c:pt>
                <c:pt idx="594">
                  <c:v>3000</c:v>
                </c:pt>
                <c:pt idx="595">
                  <c:v>3000</c:v>
                </c:pt>
                <c:pt idx="596">
                  <c:v>3000</c:v>
                </c:pt>
                <c:pt idx="597">
                  <c:v>3000</c:v>
                </c:pt>
                <c:pt idx="598">
                  <c:v>3000</c:v>
                </c:pt>
                <c:pt idx="599">
                  <c:v>3000</c:v>
                </c:pt>
                <c:pt idx="600">
                  <c:v>3000</c:v>
                </c:pt>
                <c:pt idx="601">
                  <c:v>3000</c:v>
                </c:pt>
                <c:pt idx="602">
                  <c:v>3000</c:v>
                </c:pt>
                <c:pt idx="603">
                  <c:v>3000</c:v>
                </c:pt>
                <c:pt idx="604">
                  <c:v>3000</c:v>
                </c:pt>
                <c:pt idx="605">
                  <c:v>3000</c:v>
                </c:pt>
                <c:pt idx="606">
                  <c:v>3000</c:v>
                </c:pt>
                <c:pt idx="607">
                  <c:v>4260</c:v>
                </c:pt>
                <c:pt idx="608">
                  <c:v>4260</c:v>
                </c:pt>
                <c:pt idx="609">
                  <c:v>4260</c:v>
                </c:pt>
                <c:pt idx="610">
                  <c:v>4260</c:v>
                </c:pt>
                <c:pt idx="611">
                  <c:v>4260</c:v>
                </c:pt>
                <c:pt idx="612">
                  <c:v>4260</c:v>
                </c:pt>
                <c:pt idx="613">
                  <c:v>4260</c:v>
                </c:pt>
                <c:pt idx="614">
                  <c:v>4060</c:v>
                </c:pt>
                <c:pt idx="615">
                  <c:v>4060</c:v>
                </c:pt>
                <c:pt idx="616">
                  <c:v>4060</c:v>
                </c:pt>
                <c:pt idx="617">
                  <c:v>4060</c:v>
                </c:pt>
                <c:pt idx="618">
                  <c:v>4060</c:v>
                </c:pt>
                <c:pt idx="619">
                  <c:v>4060</c:v>
                </c:pt>
                <c:pt idx="620">
                  <c:v>4060</c:v>
                </c:pt>
                <c:pt idx="621">
                  <c:v>4000</c:v>
                </c:pt>
                <c:pt idx="622">
                  <c:v>4000</c:v>
                </c:pt>
                <c:pt idx="623">
                  <c:v>4000</c:v>
                </c:pt>
                <c:pt idx="624">
                  <c:v>4000</c:v>
                </c:pt>
                <c:pt idx="625">
                  <c:v>4000</c:v>
                </c:pt>
                <c:pt idx="626">
                  <c:v>4000</c:v>
                </c:pt>
                <c:pt idx="627">
                  <c:v>4000</c:v>
                </c:pt>
                <c:pt idx="628">
                  <c:v>4930</c:v>
                </c:pt>
                <c:pt idx="629">
                  <c:v>4930</c:v>
                </c:pt>
                <c:pt idx="630">
                  <c:v>4930</c:v>
                </c:pt>
                <c:pt idx="631">
                  <c:v>4930</c:v>
                </c:pt>
                <c:pt idx="632">
                  <c:v>4930</c:v>
                </c:pt>
                <c:pt idx="633">
                  <c:v>4930</c:v>
                </c:pt>
                <c:pt idx="634">
                  <c:v>4930</c:v>
                </c:pt>
                <c:pt idx="635">
                  <c:v>5640</c:v>
                </c:pt>
                <c:pt idx="636">
                  <c:v>5640</c:v>
                </c:pt>
                <c:pt idx="637">
                  <c:v>5640</c:v>
                </c:pt>
                <c:pt idx="638">
                  <c:v>5640</c:v>
                </c:pt>
                <c:pt idx="639">
                  <c:v>5640</c:v>
                </c:pt>
                <c:pt idx="640">
                  <c:v>5640</c:v>
                </c:pt>
                <c:pt idx="641">
                  <c:v>5640</c:v>
                </c:pt>
                <c:pt idx="642">
                  <c:v>5040</c:v>
                </c:pt>
                <c:pt idx="643">
                  <c:v>5040</c:v>
                </c:pt>
                <c:pt idx="644">
                  <c:v>5040</c:v>
                </c:pt>
                <c:pt idx="645">
                  <c:v>5040</c:v>
                </c:pt>
                <c:pt idx="646">
                  <c:v>5040</c:v>
                </c:pt>
                <c:pt idx="647">
                  <c:v>5040</c:v>
                </c:pt>
                <c:pt idx="648">
                  <c:v>5040</c:v>
                </c:pt>
                <c:pt idx="649">
                  <c:v>5240</c:v>
                </c:pt>
                <c:pt idx="650">
                  <c:v>5240</c:v>
                </c:pt>
                <c:pt idx="651">
                  <c:v>5240</c:v>
                </c:pt>
                <c:pt idx="652">
                  <c:v>5240</c:v>
                </c:pt>
                <c:pt idx="653">
                  <c:v>5240</c:v>
                </c:pt>
                <c:pt idx="654">
                  <c:v>5240</c:v>
                </c:pt>
                <c:pt idx="655">
                  <c:v>5240</c:v>
                </c:pt>
                <c:pt idx="656">
                  <c:v>5850</c:v>
                </c:pt>
                <c:pt idx="657">
                  <c:v>5850</c:v>
                </c:pt>
                <c:pt idx="658">
                  <c:v>5850</c:v>
                </c:pt>
                <c:pt idx="659">
                  <c:v>5850</c:v>
                </c:pt>
                <c:pt idx="660">
                  <c:v>5850</c:v>
                </c:pt>
                <c:pt idx="661">
                  <c:v>5850</c:v>
                </c:pt>
                <c:pt idx="662">
                  <c:v>5850</c:v>
                </c:pt>
                <c:pt idx="663">
                  <c:v>6210</c:v>
                </c:pt>
                <c:pt idx="664">
                  <c:v>6210</c:v>
                </c:pt>
                <c:pt idx="665">
                  <c:v>6210</c:v>
                </c:pt>
                <c:pt idx="666">
                  <c:v>6210</c:v>
                </c:pt>
                <c:pt idx="667">
                  <c:v>6210</c:v>
                </c:pt>
                <c:pt idx="668">
                  <c:v>6210</c:v>
                </c:pt>
                <c:pt idx="669">
                  <c:v>6210</c:v>
                </c:pt>
                <c:pt idx="670">
                  <c:v>6070</c:v>
                </c:pt>
                <c:pt idx="671">
                  <c:v>6070</c:v>
                </c:pt>
                <c:pt idx="672">
                  <c:v>6070</c:v>
                </c:pt>
                <c:pt idx="673">
                  <c:v>6070</c:v>
                </c:pt>
                <c:pt idx="674">
                  <c:v>6070</c:v>
                </c:pt>
                <c:pt idx="675">
                  <c:v>6070</c:v>
                </c:pt>
                <c:pt idx="676">
                  <c:v>6070</c:v>
                </c:pt>
                <c:pt idx="677">
                  <c:v>7030</c:v>
                </c:pt>
                <c:pt idx="678">
                  <c:v>7030</c:v>
                </c:pt>
                <c:pt idx="679">
                  <c:v>7030</c:v>
                </c:pt>
                <c:pt idx="680">
                  <c:v>7030</c:v>
                </c:pt>
                <c:pt idx="681">
                  <c:v>7030</c:v>
                </c:pt>
                <c:pt idx="682">
                  <c:v>7030</c:v>
                </c:pt>
                <c:pt idx="683">
                  <c:v>7030</c:v>
                </c:pt>
                <c:pt idx="684">
                  <c:v>7130</c:v>
                </c:pt>
                <c:pt idx="685">
                  <c:v>7130</c:v>
                </c:pt>
                <c:pt idx="686">
                  <c:v>7130</c:v>
                </c:pt>
                <c:pt idx="687">
                  <c:v>7130</c:v>
                </c:pt>
                <c:pt idx="688">
                  <c:v>7130</c:v>
                </c:pt>
                <c:pt idx="689">
                  <c:v>7130</c:v>
                </c:pt>
                <c:pt idx="690">
                  <c:v>7130</c:v>
                </c:pt>
                <c:pt idx="691">
                  <c:v>7100</c:v>
                </c:pt>
                <c:pt idx="692">
                  <c:v>7100</c:v>
                </c:pt>
                <c:pt idx="693">
                  <c:v>7100</c:v>
                </c:pt>
                <c:pt idx="694">
                  <c:v>7100</c:v>
                </c:pt>
                <c:pt idx="695">
                  <c:v>7100</c:v>
                </c:pt>
                <c:pt idx="696">
                  <c:v>7100</c:v>
                </c:pt>
                <c:pt idx="697">
                  <c:v>7100</c:v>
                </c:pt>
                <c:pt idx="698">
                  <c:v>7000</c:v>
                </c:pt>
                <c:pt idx="699">
                  <c:v>7000</c:v>
                </c:pt>
                <c:pt idx="700">
                  <c:v>7000</c:v>
                </c:pt>
                <c:pt idx="701">
                  <c:v>7000</c:v>
                </c:pt>
                <c:pt idx="702">
                  <c:v>7000</c:v>
                </c:pt>
                <c:pt idx="703">
                  <c:v>7000</c:v>
                </c:pt>
                <c:pt idx="704">
                  <c:v>7000</c:v>
                </c:pt>
                <c:pt idx="705">
                  <c:v>7000</c:v>
                </c:pt>
                <c:pt idx="706">
                  <c:v>7000</c:v>
                </c:pt>
                <c:pt idx="707">
                  <c:v>7000</c:v>
                </c:pt>
                <c:pt idx="708">
                  <c:v>7000</c:v>
                </c:pt>
                <c:pt idx="709">
                  <c:v>7000</c:v>
                </c:pt>
                <c:pt idx="710">
                  <c:v>7000</c:v>
                </c:pt>
                <c:pt idx="711">
                  <c:v>7000</c:v>
                </c:pt>
                <c:pt idx="712">
                  <c:v>6050</c:v>
                </c:pt>
                <c:pt idx="713">
                  <c:v>6050</c:v>
                </c:pt>
                <c:pt idx="714">
                  <c:v>6050</c:v>
                </c:pt>
                <c:pt idx="715">
                  <c:v>6050</c:v>
                </c:pt>
                <c:pt idx="716">
                  <c:v>6050</c:v>
                </c:pt>
                <c:pt idx="717">
                  <c:v>6050</c:v>
                </c:pt>
                <c:pt idx="718">
                  <c:v>6050</c:v>
                </c:pt>
                <c:pt idx="719">
                  <c:v>6050</c:v>
                </c:pt>
                <c:pt idx="720">
                  <c:v>6050</c:v>
                </c:pt>
                <c:pt idx="721">
                  <c:v>6050</c:v>
                </c:pt>
                <c:pt idx="722">
                  <c:v>6050</c:v>
                </c:pt>
                <c:pt idx="723">
                  <c:v>6050</c:v>
                </c:pt>
                <c:pt idx="724">
                  <c:v>6050</c:v>
                </c:pt>
                <c:pt idx="725">
                  <c:v>6050</c:v>
                </c:pt>
                <c:pt idx="726">
                  <c:v>6050</c:v>
                </c:pt>
                <c:pt idx="727">
                  <c:v>6050</c:v>
                </c:pt>
                <c:pt idx="728">
                  <c:v>6050</c:v>
                </c:pt>
                <c:pt idx="729">
                  <c:v>6050</c:v>
                </c:pt>
                <c:pt idx="730">
                  <c:v>6050</c:v>
                </c:pt>
                <c:pt idx="731">
                  <c:v>6050</c:v>
                </c:pt>
                <c:pt idx="732">
                  <c:v>6050</c:v>
                </c:pt>
                <c:pt idx="733">
                  <c:v>6200</c:v>
                </c:pt>
                <c:pt idx="734">
                  <c:v>6200</c:v>
                </c:pt>
                <c:pt idx="735">
                  <c:v>6200</c:v>
                </c:pt>
                <c:pt idx="736">
                  <c:v>6200</c:v>
                </c:pt>
                <c:pt idx="737">
                  <c:v>6200</c:v>
                </c:pt>
                <c:pt idx="738">
                  <c:v>6200</c:v>
                </c:pt>
                <c:pt idx="739">
                  <c:v>6200</c:v>
                </c:pt>
                <c:pt idx="740">
                  <c:v>6200</c:v>
                </c:pt>
                <c:pt idx="741">
                  <c:v>6200</c:v>
                </c:pt>
                <c:pt idx="742">
                  <c:v>6200</c:v>
                </c:pt>
                <c:pt idx="743">
                  <c:v>6200</c:v>
                </c:pt>
                <c:pt idx="744">
                  <c:v>6200</c:v>
                </c:pt>
                <c:pt idx="745">
                  <c:v>6200</c:v>
                </c:pt>
                <c:pt idx="746">
                  <c:v>6200</c:v>
                </c:pt>
                <c:pt idx="747">
                  <c:v>5200</c:v>
                </c:pt>
                <c:pt idx="748">
                  <c:v>5200</c:v>
                </c:pt>
                <c:pt idx="749">
                  <c:v>5200</c:v>
                </c:pt>
                <c:pt idx="750">
                  <c:v>5200</c:v>
                </c:pt>
                <c:pt idx="751">
                  <c:v>5200</c:v>
                </c:pt>
                <c:pt idx="752">
                  <c:v>5200</c:v>
                </c:pt>
                <c:pt idx="753">
                  <c:v>5200</c:v>
                </c:pt>
                <c:pt idx="754">
                  <c:v>7600</c:v>
                </c:pt>
                <c:pt idx="755">
                  <c:v>7600</c:v>
                </c:pt>
                <c:pt idx="756">
                  <c:v>7600</c:v>
                </c:pt>
                <c:pt idx="757">
                  <c:v>7600</c:v>
                </c:pt>
                <c:pt idx="758">
                  <c:v>7600</c:v>
                </c:pt>
                <c:pt idx="759">
                  <c:v>7600</c:v>
                </c:pt>
                <c:pt idx="760">
                  <c:v>7600</c:v>
                </c:pt>
                <c:pt idx="761">
                  <c:v>8700</c:v>
                </c:pt>
                <c:pt idx="762">
                  <c:v>8700</c:v>
                </c:pt>
                <c:pt idx="763">
                  <c:v>8700</c:v>
                </c:pt>
                <c:pt idx="764">
                  <c:v>8700</c:v>
                </c:pt>
                <c:pt idx="765">
                  <c:v>8700</c:v>
                </c:pt>
                <c:pt idx="766">
                  <c:v>8700</c:v>
                </c:pt>
                <c:pt idx="767">
                  <c:v>8700</c:v>
                </c:pt>
                <c:pt idx="768">
                  <c:v>8700</c:v>
                </c:pt>
                <c:pt idx="769">
                  <c:v>8700</c:v>
                </c:pt>
                <c:pt idx="770">
                  <c:v>8700</c:v>
                </c:pt>
                <c:pt idx="771">
                  <c:v>8700</c:v>
                </c:pt>
                <c:pt idx="772">
                  <c:v>8700</c:v>
                </c:pt>
                <c:pt idx="773">
                  <c:v>8700</c:v>
                </c:pt>
                <c:pt idx="774">
                  <c:v>8700</c:v>
                </c:pt>
                <c:pt idx="775">
                  <c:v>7000</c:v>
                </c:pt>
                <c:pt idx="776">
                  <c:v>7000</c:v>
                </c:pt>
                <c:pt idx="777">
                  <c:v>7000</c:v>
                </c:pt>
                <c:pt idx="778">
                  <c:v>7000</c:v>
                </c:pt>
                <c:pt idx="779">
                  <c:v>7000</c:v>
                </c:pt>
                <c:pt idx="780">
                  <c:v>7000</c:v>
                </c:pt>
                <c:pt idx="781">
                  <c:v>7000</c:v>
                </c:pt>
                <c:pt idx="782">
                  <c:v>7820</c:v>
                </c:pt>
                <c:pt idx="783">
                  <c:v>7820</c:v>
                </c:pt>
                <c:pt idx="784">
                  <c:v>7820</c:v>
                </c:pt>
                <c:pt idx="785">
                  <c:v>7820</c:v>
                </c:pt>
                <c:pt idx="786">
                  <c:v>7820</c:v>
                </c:pt>
                <c:pt idx="787">
                  <c:v>7820</c:v>
                </c:pt>
                <c:pt idx="788">
                  <c:v>7820</c:v>
                </c:pt>
                <c:pt idx="789">
                  <c:v>8030</c:v>
                </c:pt>
                <c:pt idx="790">
                  <c:v>8030</c:v>
                </c:pt>
                <c:pt idx="791">
                  <c:v>8030</c:v>
                </c:pt>
                <c:pt idx="792">
                  <c:v>8030</c:v>
                </c:pt>
                <c:pt idx="793">
                  <c:v>8030</c:v>
                </c:pt>
                <c:pt idx="794">
                  <c:v>8030</c:v>
                </c:pt>
                <c:pt idx="795">
                  <c:v>8030</c:v>
                </c:pt>
                <c:pt idx="796">
                  <c:v>7140</c:v>
                </c:pt>
                <c:pt idx="797">
                  <c:v>7140</c:v>
                </c:pt>
                <c:pt idx="798">
                  <c:v>7140</c:v>
                </c:pt>
                <c:pt idx="799">
                  <c:v>7140</c:v>
                </c:pt>
                <c:pt idx="800">
                  <c:v>7140</c:v>
                </c:pt>
                <c:pt idx="801">
                  <c:v>7140</c:v>
                </c:pt>
                <c:pt idx="802">
                  <c:v>7140</c:v>
                </c:pt>
                <c:pt idx="803">
                  <c:v>7140</c:v>
                </c:pt>
                <c:pt idx="804">
                  <c:v>7140</c:v>
                </c:pt>
                <c:pt idx="805">
                  <c:v>7140</c:v>
                </c:pt>
                <c:pt idx="806">
                  <c:v>7140</c:v>
                </c:pt>
                <c:pt idx="807">
                  <c:v>7140</c:v>
                </c:pt>
                <c:pt idx="808">
                  <c:v>7140</c:v>
                </c:pt>
                <c:pt idx="809">
                  <c:v>7140</c:v>
                </c:pt>
                <c:pt idx="810">
                  <c:v>8660</c:v>
                </c:pt>
                <c:pt idx="811">
                  <c:v>8660</c:v>
                </c:pt>
                <c:pt idx="812">
                  <c:v>8660</c:v>
                </c:pt>
                <c:pt idx="813">
                  <c:v>8660</c:v>
                </c:pt>
                <c:pt idx="814">
                  <c:v>8660</c:v>
                </c:pt>
                <c:pt idx="815">
                  <c:v>8660</c:v>
                </c:pt>
                <c:pt idx="816">
                  <c:v>8660</c:v>
                </c:pt>
                <c:pt idx="817">
                  <c:v>8060</c:v>
                </c:pt>
                <c:pt idx="818">
                  <c:v>9660</c:v>
                </c:pt>
                <c:pt idx="819">
                  <c:v>9660</c:v>
                </c:pt>
                <c:pt idx="820">
                  <c:v>9660</c:v>
                </c:pt>
                <c:pt idx="821">
                  <c:v>9660</c:v>
                </c:pt>
                <c:pt idx="822">
                  <c:v>9660</c:v>
                </c:pt>
                <c:pt idx="823">
                  <c:v>9660</c:v>
                </c:pt>
                <c:pt idx="824">
                  <c:v>7080</c:v>
                </c:pt>
                <c:pt idx="825">
                  <c:v>7080</c:v>
                </c:pt>
                <c:pt idx="826">
                  <c:v>7080</c:v>
                </c:pt>
                <c:pt idx="827">
                  <c:v>7080</c:v>
                </c:pt>
                <c:pt idx="828">
                  <c:v>7080</c:v>
                </c:pt>
                <c:pt idx="829">
                  <c:v>7080</c:v>
                </c:pt>
                <c:pt idx="830">
                  <c:v>7080</c:v>
                </c:pt>
                <c:pt idx="831">
                  <c:v>7080</c:v>
                </c:pt>
                <c:pt idx="832">
                  <c:v>7080</c:v>
                </c:pt>
                <c:pt idx="833">
                  <c:v>7080</c:v>
                </c:pt>
                <c:pt idx="834">
                  <c:v>7080</c:v>
                </c:pt>
                <c:pt idx="835">
                  <c:v>10060</c:v>
                </c:pt>
                <c:pt idx="836">
                  <c:v>8500</c:v>
                </c:pt>
                <c:pt idx="837">
                  <c:v>8500</c:v>
                </c:pt>
                <c:pt idx="838">
                  <c:v>8500</c:v>
                </c:pt>
                <c:pt idx="839">
                  <c:v>8500</c:v>
                </c:pt>
                <c:pt idx="840">
                  <c:v>8500</c:v>
                </c:pt>
                <c:pt idx="841">
                  <c:v>8500</c:v>
                </c:pt>
                <c:pt idx="842">
                  <c:v>8500</c:v>
                </c:pt>
                <c:pt idx="843">
                  <c:v>8500</c:v>
                </c:pt>
                <c:pt idx="844">
                  <c:v>8500</c:v>
                </c:pt>
                <c:pt idx="845">
                  <c:v>8580</c:v>
                </c:pt>
                <c:pt idx="846">
                  <c:v>8580</c:v>
                </c:pt>
                <c:pt idx="847">
                  <c:v>8580</c:v>
                </c:pt>
                <c:pt idx="848">
                  <c:v>8580</c:v>
                </c:pt>
                <c:pt idx="849">
                  <c:v>8580</c:v>
                </c:pt>
                <c:pt idx="850">
                  <c:v>8580</c:v>
                </c:pt>
                <c:pt idx="851">
                  <c:v>8580</c:v>
                </c:pt>
                <c:pt idx="852">
                  <c:v>7180</c:v>
                </c:pt>
                <c:pt idx="853">
                  <c:v>7180</c:v>
                </c:pt>
                <c:pt idx="854">
                  <c:v>7180</c:v>
                </c:pt>
                <c:pt idx="855">
                  <c:v>7180</c:v>
                </c:pt>
                <c:pt idx="856">
                  <c:v>7180</c:v>
                </c:pt>
                <c:pt idx="857">
                  <c:v>7180</c:v>
                </c:pt>
                <c:pt idx="858">
                  <c:v>7180</c:v>
                </c:pt>
                <c:pt idx="859">
                  <c:v>7680</c:v>
                </c:pt>
                <c:pt idx="860">
                  <c:v>7680</c:v>
                </c:pt>
                <c:pt idx="861">
                  <c:v>4680</c:v>
                </c:pt>
                <c:pt idx="862">
                  <c:v>4680</c:v>
                </c:pt>
                <c:pt idx="863">
                  <c:v>4680</c:v>
                </c:pt>
                <c:pt idx="864">
                  <c:v>4680</c:v>
                </c:pt>
                <c:pt idx="865">
                  <c:v>4680</c:v>
                </c:pt>
                <c:pt idx="866">
                  <c:v>7980</c:v>
                </c:pt>
                <c:pt idx="867">
                  <c:v>7980</c:v>
                </c:pt>
                <c:pt idx="868">
                  <c:v>7980</c:v>
                </c:pt>
                <c:pt idx="869">
                  <c:v>7980</c:v>
                </c:pt>
                <c:pt idx="870">
                  <c:v>7980</c:v>
                </c:pt>
                <c:pt idx="871">
                  <c:v>7980</c:v>
                </c:pt>
                <c:pt idx="872">
                  <c:v>7980</c:v>
                </c:pt>
                <c:pt idx="873">
                  <c:v>7700</c:v>
                </c:pt>
                <c:pt idx="874">
                  <c:v>7700</c:v>
                </c:pt>
                <c:pt idx="875">
                  <c:v>7700</c:v>
                </c:pt>
                <c:pt idx="876">
                  <c:v>7700</c:v>
                </c:pt>
                <c:pt idx="877">
                  <c:v>7700</c:v>
                </c:pt>
                <c:pt idx="878">
                  <c:v>7700</c:v>
                </c:pt>
                <c:pt idx="879">
                  <c:v>7700</c:v>
                </c:pt>
                <c:pt idx="880">
                  <c:v>7730</c:v>
                </c:pt>
                <c:pt idx="881">
                  <c:v>150</c:v>
                </c:pt>
                <c:pt idx="882">
                  <c:v>150</c:v>
                </c:pt>
                <c:pt idx="883">
                  <c:v>150</c:v>
                </c:pt>
                <c:pt idx="884">
                  <c:v>250</c:v>
                </c:pt>
                <c:pt idx="885">
                  <c:v>250</c:v>
                </c:pt>
                <c:pt idx="886">
                  <c:v>250</c:v>
                </c:pt>
                <c:pt idx="887">
                  <c:v>4900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950</c:v>
                </c:pt>
                <c:pt idx="894">
                  <c:v>4100</c:v>
                </c:pt>
                <c:pt idx="895">
                  <c:v>200</c:v>
                </c:pt>
                <c:pt idx="896">
                  <c:v>200</c:v>
                </c:pt>
                <c:pt idx="897">
                  <c:v>200</c:v>
                </c:pt>
                <c:pt idx="898">
                  <c:v>200</c:v>
                </c:pt>
                <c:pt idx="899">
                  <c:v>200</c:v>
                </c:pt>
                <c:pt idx="900">
                  <c:v>200</c:v>
                </c:pt>
                <c:pt idx="901">
                  <c:v>4750</c:v>
                </c:pt>
                <c:pt idx="902">
                  <c:v>4750</c:v>
                </c:pt>
                <c:pt idx="903">
                  <c:v>4750</c:v>
                </c:pt>
                <c:pt idx="904">
                  <c:v>4750</c:v>
                </c:pt>
                <c:pt idx="905">
                  <c:v>350</c:v>
                </c:pt>
                <c:pt idx="906">
                  <c:v>350</c:v>
                </c:pt>
                <c:pt idx="907">
                  <c:v>350</c:v>
                </c:pt>
                <c:pt idx="908">
                  <c:v>3150</c:v>
                </c:pt>
                <c:pt idx="909">
                  <c:v>3150</c:v>
                </c:pt>
                <c:pt idx="910">
                  <c:v>3150</c:v>
                </c:pt>
                <c:pt idx="911">
                  <c:v>3150</c:v>
                </c:pt>
                <c:pt idx="912">
                  <c:v>3150</c:v>
                </c:pt>
                <c:pt idx="913">
                  <c:v>3150</c:v>
                </c:pt>
                <c:pt idx="914">
                  <c:v>3150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1800</c:v>
                </c:pt>
                <c:pt idx="920">
                  <c:v>3500</c:v>
                </c:pt>
                <c:pt idx="921">
                  <c:v>3500</c:v>
                </c:pt>
                <c:pt idx="922">
                  <c:v>6000</c:v>
                </c:pt>
                <c:pt idx="923">
                  <c:v>6000</c:v>
                </c:pt>
                <c:pt idx="924">
                  <c:v>6000</c:v>
                </c:pt>
                <c:pt idx="925">
                  <c:v>6000</c:v>
                </c:pt>
                <c:pt idx="926">
                  <c:v>6000</c:v>
                </c:pt>
                <c:pt idx="927">
                  <c:v>6000</c:v>
                </c:pt>
                <c:pt idx="928">
                  <c:v>6000</c:v>
                </c:pt>
                <c:pt idx="929">
                  <c:v>4780</c:v>
                </c:pt>
                <c:pt idx="930">
                  <c:v>4780</c:v>
                </c:pt>
                <c:pt idx="931">
                  <c:v>4780</c:v>
                </c:pt>
                <c:pt idx="932">
                  <c:v>4780</c:v>
                </c:pt>
                <c:pt idx="933">
                  <c:v>4780</c:v>
                </c:pt>
                <c:pt idx="934">
                  <c:v>4780</c:v>
                </c:pt>
                <c:pt idx="935">
                  <c:v>4780</c:v>
                </c:pt>
                <c:pt idx="936">
                  <c:v>2500</c:v>
                </c:pt>
                <c:pt idx="937">
                  <c:v>2500</c:v>
                </c:pt>
                <c:pt idx="938">
                  <c:v>2500</c:v>
                </c:pt>
                <c:pt idx="939">
                  <c:v>2500</c:v>
                </c:pt>
                <c:pt idx="940">
                  <c:v>2500</c:v>
                </c:pt>
                <c:pt idx="941">
                  <c:v>2500</c:v>
                </c:pt>
                <c:pt idx="942">
                  <c:v>2500</c:v>
                </c:pt>
                <c:pt idx="943">
                  <c:v>5280</c:v>
                </c:pt>
                <c:pt idx="944">
                  <c:v>2150</c:v>
                </c:pt>
                <c:pt idx="945">
                  <c:v>2150</c:v>
                </c:pt>
                <c:pt idx="946">
                  <c:v>2150</c:v>
                </c:pt>
                <c:pt idx="947">
                  <c:v>2150</c:v>
                </c:pt>
                <c:pt idx="948">
                  <c:v>2150</c:v>
                </c:pt>
                <c:pt idx="949">
                  <c:v>2150</c:v>
                </c:pt>
                <c:pt idx="950">
                  <c:v>4500</c:v>
                </c:pt>
                <c:pt idx="951">
                  <c:v>4500</c:v>
                </c:pt>
                <c:pt idx="952">
                  <c:v>4500</c:v>
                </c:pt>
                <c:pt idx="953">
                  <c:v>4500</c:v>
                </c:pt>
                <c:pt idx="954">
                  <c:v>4500</c:v>
                </c:pt>
                <c:pt idx="955">
                  <c:v>4500</c:v>
                </c:pt>
                <c:pt idx="956">
                  <c:v>4500</c:v>
                </c:pt>
                <c:pt idx="957">
                  <c:v>5280</c:v>
                </c:pt>
                <c:pt idx="958">
                  <c:v>5280</c:v>
                </c:pt>
                <c:pt idx="959">
                  <c:v>5280</c:v>
                </c:pt>
                <c:pt idx="960">
                  <c:v>5280</c:v>
                </c:pt>
                <c:pt idx="961">
                  <c:v>5280</c:v>
                </c:pt>
                <c:pt idx="962">
                  <c:v>5280</c:v>
                </c:pt>
                <c:pt idx="963">
                  <c:v>5280</c:v>
                </c:pt>
                <c:pt idx="964">
                  <c:v>3550</c:v>
                </c:pt>
                <c:pt idx="965">
                  <c:v>3550</c:v>
                </c:pt>
                <c:pt idx="966">
                  <c:v>3550</c:v>
                </c:pt>
                <c:pt idx="967">
                  <c:v>3550</c:v>
                </c:pt>
                <c:pt idx="968">
                  <c:v>3550</c:v>
                </c:pt>
                <c:pt idx="969">
                  <c:v>3550</c:v>
                </c:pt>
                <c:pt idx="970">
                  <c:v>3550</c:v>
                </c:pt>
                <c:pt idx="971">
                  <c:v>3550</c:v>
                </c:pt>
                <c:pt idx="972">
                  <c:v>400</c:v>
                </c:pt>
                <c:pt idx="973">
                  <c:v>400</c:v>
                </c:pt>
                <c:pt idx="974">
                  <c:v>400</c:v>
                </c:pt>
                <c:pt idx="975">
                  <c:v>400</c:v>
                </c:pt>
                <c:pt idx="976">
                  <c:v>400</c:v>
                </c:pt>
                <c:pt idx="977">
                  <c:v>400</c:v>
                </c:pt>
                <c:pt idx="978">
                  <c:v>5000</c:v>
                </c:pt>
                <c:pt idx="979">
                  <c:v>1700</c:v>
                </c:pt>
                <c:pt idx="980">
                  <c:v>1700</c:v>
                </c:pt>
                <c:pt idx="981">
                  <c:v>1700</c:v>
                </c:pt>
                <c:pt idx="982">
                  <c:v>1700</c:v>
                </c:pt>
                <c:pt idx="983">
                  <c:v>1700</c:v>
                </c:pt>
                <c:pt idx="984">
                  <c:v>1700</c:v>
                </c:pt>
                <c:pt idx="985">
                  <c:v>6100</c:v>
                </c:pt>
                <c:pt idx="986">
                  <c:v>6100</c:v>
                </c:pt>
                <c:pt idx="987">
                  <c:v>6100</c:v>
                </c:pt>
                <c:pt idx="988">
                  <c:v>6100</c:v>
                </c:pt>
                <c:pt idx="989">
                  <c:v>6100</c:v>
                </c:pt>
                <c:pt idx="990">
                  <c:v>6100</c:v>
                </c:pt>
                <c:pt idx="991">
                  <c:v>6100</c:v>
                </c:pt>
                <c:pt idx="992">
                  <c:v>7500</c:v>
                </c:pt>
                <c:pt idx="993">
                  <c:v>7500</c:v>
                </c:pt>
                <c:pt idx="994">
                  <c:v>7500</c:v>
                </c:pt>
                <c:pt idx="995">
                  <c:v>7500</c:v>
                </c:pt>
                <c:pt idx="996">
                  <c:v>7500</c:v>
                </c:pt>
                <c:pt idx="997">
                  <c:v>7500</c:v>
                </c:pt>
                <c:pt idx="998">
                  <c:v>7500</c:v>
                </c:pt>
                <c:pt idx="999">
                  <c:v>7500</c:v>
                </c:pt>
                <c:pt idx="1000">
                  <c:v>7500</c:v>
                </c:pt>
                <c:pt idx="1001">
                  <c:v>7500</c:v>
                </c:pt>
                <c:pt idx="1002">
                  <c:v>7500</c:v>
                </c:pt>
                <c:pt idx="1003">
                  <c:v>7500</c:v>
                </c:pt>
                <c:pt idx="1004">
                  <c:v>7500</c:v>
                </c:pt>
                <c:pt idx="1005">
                  <c:v>7500</c:v>
                </c:pt>
                <c:pt idx="1006">
                  <c:v>6000</c:v>
                </c:pt>
                <c:pt idx="1007">
                  <c:v>6000</c:v>
                </c:pt>
                <c:pt idx="1008">
                  <c:v>6000</c:v>
                </c:pt>
                <c:pt idx="1009">
                  <c:v>6000</c:v>
                </c:pt>
                <c:pt idx="1010">
                  <c:v>6000</c:v>
                </c:pt>
                <c:pt idx="1011">
                  <c:v>6000</c:v>
                </c:pt>
                <c:pt idx="1012">
                  <c:v>6000</c:v>
                </c:pt>
                <c:pt idx="1013">
                  <c:v>8000</c:v>
                </c:pt>
                <c:pt idx="1014">
                  <c:v>8000</c:v>
                </c:pt>
                <c:pt idx="1015">
                  <c:v>8000</c:v>
                </c:pt>
                <c:pt idx="1016">
                  <c:v>8000</c:v>
                </c:pt>
                <c:pt idx="1017">
                  <c:v>8000</c:v>
                </c:pt>
                <c:pt idx="1018">
                  <c:v>8000</c:v>
                </c:pt>
                <c:pt idx="1019">
                  <c:v>8000</c:v>
                </c:pt>
                <c:pt idx="1020">
                  <c:v>6000</c:v>
                </c:pt>
                <c:pt idx="1021">
                  <c:v>6000</c:v>
                </c:pt>
                <c:pt idx="1022">
                  <c:v>6000</c:v>
                </c:pt>
                <c:pt idx="1023">
                  <c:v>6000</c:v>
                </c:pt>
                <c:pt idx="1024">
                  <c:v>6000</c:v>
                </c:pt>
                <c:pt idx="1025">
                  <c:v>6000</c:v>
                </c:pt>
                <c:pt idx="1026">
                  <c:v>6000</c:v>
                </c:pt>
                <c:pt idx="1027">
                  <c:v>7000</c:v>
                </c:pt>
                <c:pt idx="1028">
                  <c:v>7000</c:v>
                </c:pt>
                <c:pt idx="1029">
                  <c:v>7000</c:v>
                </c:pt>
                <c:pt idx="1030">
                  <c:v>7000</c:v>
                </c:pt>
                <c:pt idx="1031">
                  <c:v>7000</c:v>
                </c:pt>
                <c:pt idx="1032">
                  <c:v>7000</c:v>
                </c:pt>
                <c:pt idx="1033">
                  <c:v>7000</c:v>
                </c:pt>
                <c:pt idx="1034">
                  <c:v>8000</c:v>
                </c:pt>
                <c:pt idx="1035">
                  <c:v>8000</c:v>
                </c:pt>
                <c:pt idx="1036">
                  <c:v>8000</c:v>
                </c:pt>
                <c:pt idx="1037">
                  <c:v>8000</c:v>
                </c:pt>
                <c:pt idx="1038">
                  <c:v>8000</c:v>
                </c:pt>
                <c:pt idx="1039">
                  <c:v>8000</c:v>
                </c:pt>
                <c:pt idx="1040">
                  <c:v>8000</c:v>
                </c:pt>
                <c:pt idx="1041">
                  <c:v>9500</c:v>
                </c:pt>
                <c:pt idx="1042">
                  <c:v>9500</c:v>
                </c:pt>
                <c:pt idx="1043">
                  <c:v>9500</c:v>
                </c:pt>
                <c:pt idx="1044">
                  <c:v>9500</c:v>
                </c:pt>
                <c:pt idx="1045">
                  <c:v>9500</c:v>
                </c:pt>
                <c:pt idx="1046">
                  <c:v>9500</c:v>
                </c:pt>
                <c:pt idx="1047">
                  <c:v>9500</c:v>
                </c:pt>
                <c:pt idx="1048">
                  <c:v>6000</c:v>
                </c:pt>
                <c:pt idx="1049">
                  <c:v>6000</c:v>
                </c:pt>
                <c:pt idx="1050">
                  <c:v>6000</c:v>
                </c:pt>
                <c:pt idx="1051">
                  <c:v>6000</c:v>
                </c:pt>
                <c:pt idx="1052">
                  <c:v>6000</c:v>
                </c:pt>
                <c:pt idx="1053">
                  <c:v>6000</c:v>
                </c:pt>
                <c:pt idx="1054">
                  <c:v>6000</c:v>
                </c:pt>
                <c:pt idx="1055">
                  <c:v>7000</c:v>
                </c:pt>
                <c:pt idx="1056">
                  <c:v>7000</c:v>
                </c:pt>
                <c:pt idx="1057">
                  <c:v>7000</c:v>
                </c:pt>
                <c:pt idx="1058">
                  <c:v>7000</c:v>
                </c:pt>
                <c:pt idx="1059">
                  <c:v>7000</c:v>
                </c:pt>
                <c:pt idx="1060">
                  <c:v>7000</c:v>
                </c:pt>
                <c:pt idx="1061">
                  <c:v>7000</c:v>
                </c:pt>
                <c:pt idx="1062">
                  <c:v>7000</c:v>
                </c:pt>
                <c:pt idx="1063">
                  <c:v>8500</c:v>
                </c:pt>
                <c:pt idx="1064">
                  <c:v>8500</c:v>
                </c:pt>
                <c:pt idx="1065">
                  <c:v>8500</c:v>
                </c:pt>
                <c:pt idx="1066">
                  <c:v>8500</c:v>
                </c:pt>
                <c:pt idx="1067">
                  <c:v>8500</c:v>
                </c:pt>
                <c:pt idx="1068">
                  <c:v>8500</c:v>
                </c:pt>
                <c:pt idx="1069">
                  <c:v>8500</c:v>
                </c:pt>
                <c:pt idx="1070">
                  <c:v>8500</c:v>
                </c:pt>
                <c:pt idx="1071">
                  <c:v>8500</c:v>
                </c:pt>
                <c:pt idx="1072">
                  <c:v>8500</c:v>
                </c:pt>
                <c:pt idx="1073">
                  <c:v>8500</c:v>
                </c:pt>
                <c:pt idx="1074">
                  <c:v>8500</c:v>
                </c:pt>
                <c:pt idx="1075">
                  <c:v>8500</c:v>
                </c:pt>
                <c:pt idx="1076">
                  <c:v>9000</c:v>
                </c:pt>
                <c:pt idx="1077">
                  <c:v>9000</c:v>
                </c:pt>
                <c:pt idx="1078">
                  <c:v>9000</c:v>
                </c:pt>
                <c:pt idx="1079">
                  <c:v>9000</c:v>
                </c:pt>
                <c:pt idx="1080">
                  <c:v>9000</c:v>
                </c:pt>
                <c:pt idx="1081">
                  <c:v>9000</c:v>
                </c:pt>
                <c:pt idx="1082">
                  <c:v>9000</c:v>
                </c:pt>
                <c:pt idx="1083">
                  <c:v>8500</c:v>
                </c:pt>
                <c:pt idx="1084">
                  <c:v>8500</c:v>
                </c:pt>
                <c:pt idx="1085">
                  <c:v>8500</c:v>
                </c:pt>
                <c:pt idx="1086">
                  <c:v>8500</c:v>
                </c:pt>
                <c:pt idx="1087">
                  <c:v>8500</c:v>
                </c:pt>
                <c:pt idx="1088">
                  <c:v>8500</c:v>
                </c:pt>
                <c:pt idx="1089">
                  <c:v>8500</c:v>
                </c:pt>
                <c:pt idx="1090">
                  <c:v>8000</c:v>
                </c:pt>
                <c:pt idx="1091">
                  <c:v>8000</c:v>
                </c:pt>
                <c:pt idx="1092">
                  <c:v>8000</c:v>
                </c:pt>
                <c:pt idx="1093">
                  <c:v>8000</c:v>
                </c:pt>
                <c:pt idx="1094">
                  <c:v>8000</c:v>
                </c:pt>
                <c:pt idx="1095">
                  <c:v>8000</c:v>
                </c:pt>
                <c:pt idx="1096">
                  <c:v>8000</c:v>
                </c:pt>
                <c:pt idx="1097">
                  <c:v>6000</c:v>
                </c:pt>
                <c:pt idx="1098">
                  <c:v>6000</c:v>
                </c:pt>
                <c:pt idx="1099">
                  <c:v>6000</c:v>
                </c:pt>
                <c:pt idx="1100">
                  <c:v>6000</c:v>
                </c:pt>
                <c:pt idx="1101">
                  <c:v>6000</c:v>
                </c:pt>
                <c:pt idx="1102">
                  <c:v>6000</c:v>
                </c:pt>
                <c:pt idx="1103">
                  <c:v>6000</c:v>
                </c:pt>
                <c:pt idx="1104">
                  <c:v>3500</c:v>
                </c:pt>
                <c:pt idx="1105">
                  <c:v>3500</c:v>
                </c:pt>
                <c:pt idx="1106">
                  <c:v>3500</c:v>
                </c:pt>
                <c:pt idx="1107">
                  <c:v>3500</c:v>
                </c:pt>
                <c:pt idx="1108">
                  <c:v>3500</c:v>
                </c:pt>
                <c:pt idx="1109">
                  <c:v>3500</c:v>
                </c:pt>
                <c:pt idx="1110">
                  <c:v>3500</c:v>
                </c:pt>
                <c:pt idx="1111">
                  <c:v>2000</c:v>
                </c:pt>
                <c:pt idx="1112">
                  <c:v>2000</c:v>
                </c:pt>
                <c:pt idx="1113">
                  <c:v>2000</c:v>
                </c:pt>
                <c:pt idx="1114">
                  <c:v>2000</c:v>
                </c:pt>
                <c:pt idx="1115">
                  <c:v>2000</c:v>
                </c:pt>
                <c:pt idx="1116">
                  <c:v>2000</c:v>
                </c:pt>
                <c:pt idx="1117">
                  <c:v>2000</c:v>
                </c:pt>
                <c:pt idx="1118">
                  <c:v>1499.98571429</c:v>
                </c:pt>
                <c:pt idx="1119">
                  <c:v>1499.98571429</c:v>
                </c:pt>
                <c:pt idx="1120">
                  <c:v>1499.98571429</c:v>
                </c:pt>
                <c:pt idx="1121">
                  <c:v>1499.98571429</c:v>
                </c:pt>
                <c:pt idx="1122">
                  <c:v>1499.98571429</c:v>
                </c:pt>
                <c:pt idx="1123">
                  <c:v>1499.98571429</c:v>
                </c:pt>
                <c:pt idx="1124">
                  <c:v>1499.98571429</c:v>
                </c:pt>
                <c:pt idx="1125">
                  <c:v>1000</c:v>
                </c:pt>
                <c:pt idx="1126">
                  <c:v>1000</c:v>
                </c:pt>
                <c:pt idx="1127">
                  <c:v>1000</c:v>
                </c:pt>
                <c:pt idx="1128">
                  <c:v>1000</c:v>
                </c:pt>
                <c:pt idx="1129">
                  <c:v>1000</c:v>
                </c:pt>
                <c:pt idx="1130">
                  <c:v>1000</c:v>
                </c:pt>
                <c:pt idx="1131">
                  <c:v>1000</c:v>
                </c:pt>
                <c:pt idx="1132">
                  <c:v>1000</c:v>
                </c:pt>
                <c:pt idx="1133">
                  <c:v>1000</c:v>
                </c:pt>
                <c:pt idx="1134">
                  <c:v>1000</c:v>
                </c:pt>
                <c:pt idx="1135">
                  <c:v>1000</c:v>
                </c:pt>
                <c:pt idx="1136">
                  <c:v>1000</c:v>
                </c:pt>
                <c:pt idx="1137">
                  <c:v>1000</c:v>
                </c:pt>
                <c:pt idx="1138">
                  <c:v>1000</c:v>
                </c:pt>
                <c:pt idx="1139">
                  <c:v>500</c:v>
                </c:pt>
                <c:pt idx="1140">
                  <c:v>500</c:v>
                </c:pt>
                <c:pt idx="1141">
                  <c:v>500</c:v>
                </c:pt>
                <c:pt idx="1142">
                  <c:v>500</c:v>
                </c:pt>
                <c:pt idx="1143">
                  <c:v>500</c:v>
                </c:pt>
                <c:pt idx="1144">
                  <c:v>500</c:v>
                </c:pt>
                <c:pt idx="1145">
                  <c:v>500</c:v>
                </c:pt>
                <c:pt idx="1146">
                  <c:v>500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500</c:v>
                </c:pt>
                <c:pt idx="1280">
                  <c:v>500</c:v>
                </c:pt>
                <c:pt idx="1281">
                  <c:v>500</c:v>
                </c:pt>
                <c:pt idx="1282">
                  <c:v>500</c:v>
                </c:pt>
                <c:pt idx="1283">
                  <c:v>500</c:v>
                </c:pt>
                <c:pt idx="1284">
                  <c:v>500</c:v>
                </c:pt>
                <c:pt idx="1285">
                  <c:v>500</c:v>
                </c:pt>
                <c:pt idx="1286">
                  <c:v>500</c:v>
                </c:pt>
                <c:pt idx="1287">
                  <c:v>500</c:v>
                </c:pt>
                <c:pt idx="1288">
                  <c:v>500</c:v>
                </c:pt>
                <c:pt idx="1289">
                  <c:v>500</c:v>
                </c:pt>
                <c:pt idx="1290">
                  <c:v>500</c:v>
                </c:pt>
                <c:pt idx="1291">
                  <c:v>500</c:v>
                </c:pt>
                <c:pt idx="1292">
                  <c:v>500</c:v>
                </c:pt>
                <c:pt idx="1293">
                  <c:v>500</c:v>
                </c:pt>
                <c:pt idx="1294">
                  <c:v>500</c:v>
                </c:pt>
                <c:pt idx="1295">
                  <c:v>500</c:v>
                </c:pt>
                <c:pt idx="1296">
                  <c:v>500</c:v>
                </c:pt>
                <c:pt idx="1297">
                  <c:v>500</c:v>
                </c:pt>
                <c:pt idx="1298">
                  <c:v>500</c:v>
                </c:pt>
                <c:pt idx="1299">
                  <c:v>500</c:v>
                </c:pt>
                <c:pt idx="1300">
                  <c:v>1000</c:v>
                </c:pt>
                <c:pt idx="1301">
                  <c:v>1000</c:v>
                </c:pt>
                <c:pt idx="1302">
                  <c:v>1000</c:v>
                </c:pt>
                <c:pt idx="1303">
                  <c:v>1000</c:v>
                </c:pt>
                <c:pt idx="1304">
                  <c:v>1000</c:v>
                </c:pt>
                <c:pt idx="1305">
                  <c:v>1000</c:v>
                </c:pt>
                <c:pt idx="1306">
                  <c:v>1000</c:v>
                </c:pt>
                <c:pt idx="1307">
                  <c:v>3380</c:v>
                </c:pt>
                <c:pt idx="1308">
                  <c:v>3380</c:v>
                </c:pt>
                <c:pt idx="1309">
                  <c:v>3380</c:v>
                </c:pt>
                <c:pt idx="1310">
                  <c:v>3380</c:v>
                </c:pt>
                <c:pt idx="1311">
                  <c:v>3380</c:v>
                </c:pt>
                <c:pt idx="1312">
                  <c:v>3380</c:v>
                </c:pt>
                <c:pt idx="1313">
                  <c:v>3380</c:v>
                </c:pt>
                <c:pt idx="1314">
                  <c:v>6100</c:v>
                </c:pt>
                <c:pt idx="1315">
                  <c:v>6100</c:v>
                </c:pt>
                <c:pt idx="1316">
                  <c:v>6100</c:v>
                </c:pt>
                <c:pt idx="1317">
                  <c:v>6100</c:v>
                </c:pt>
                <c:pt idx="1318">
                  <c:v>6100</c:v>
                </c:pt>
                <c:pt idx="1319">
                  <c:v>6100</c:v>
                </c:pt>
                <c:pt idx="1320">
                  <c:v>6100</c:v>
                </c:pt>
                <c:pt idx="1321">
                  <c:v>6400</c:v>
                </c:pt>
                <c:pt idx="1322">
                  <c:v>6400</c:v>
                </c:pt>
                <c:pt idx="1323">
                  <c:v>6400</c:v>
                </c:pt>
                <c:pt idx="1324">
                  <c:v>6400</c:v>
                </c:pt>
                <c:pt idx="1325">
                  <c:v>6400</c:v>
                </c:pt>
                <c:pt idx="1326">
                  <c:v>6400</c:v>
                </c:pt>
                <c:pt idx="1327">
                  <c:v>6400</c:v>
                </c:pt>
                <c:pt idx="1328">
                  <c:v>7000</c:v>
                </c:pt>
                <c:pt idx="1329">
                  <c:v>7000</c:v>
                </c:pt>
                <c:pt idx="1330">
                  <c:v>7000</c:v>
                </c:pt>
                <c:pt idx="1331">
                  <c:v>7000</c:v>
                </c:pt>
                <c:pt idx="1332">
                  <c:v>7000</c:v>
                </c:pt>
                <c:pt idx="1333">
                  <c:v>7000</c:v>
                </c:pt>
                <c:pt idx="1334">
                  <c:v>7000</c:v>
                </c:pt>
                <c:pt idx="1335">
                  <c:v>7000</c:v>
                </c:pt>
                <c:pt idx="1336">
                  <c:v>7000</c:v>
                </c:pt>
                <c:pt idx="1337">
                  <c:v>7000</c:v>
                </c:pt>
                <c:pt idx="1338">
                  <c:v>7000</c:v>
                </c:pt>
                <c:pt idx="1339">
                  <c:v>7000</c:v>
                </c:pt>
                <c:pt idx="1340">
                  <c:v>7000</c:v>
                </c:pt>
                <c:pt idx="1341">
                  <c:v>7000</c:v>
                </c:pt>
                <c:pt idx="1342">
                  <c:v>8100</c:v>
                </c:pt>
                <c:pt idx="1343">
                  <c:v>8100</c:v>
                </c:pt>
                <c:pt idx="1344">
                  <c:v>8100</c:v>
                </c:pt>
                <c:pt idx="1345">
                  <c:v>8100</c:v>
                </c:pt>
                <c:pt idx="1346">
                  <c:v>8100</c:v>
                </c:pt>
                <c:pt idx="1347">
                  <c:v>8100</c:v>
                </c:pt>
                <c:pt idx="1348">
                  <c:v>8100</c:v>
                </c:pt>
                <c:pt idx="1349">
                  <c:v>6000</c:v>
                </c:pt>
                <c:pt idx="1350">
                  <c:v>6000</c:v>
                </c:pt>
                <c:pt idx="1351">
                  <c:v>6000</c:v>
                </c:pt>
                <c:pt idx="1352">
                  <c:v>6000</c:v>
                </c:pt>
                <c:pt idx="1353">
                  <c:v>6000</c:v>
                </c:pt>
                <c:pt idx="1354">
                  <c:v>6000</c:v>
                </c:pt>
                <c:pt idx="1355">
                  <c:v>6000</c:v>
                </c:pt>
                <c:pt idx="1356">
                  <c:v>9000</c:v>
                </c:pt>
                <c:pt idx="1357">
                  <c:v>9000</c:v>
                </c:pt>
                <c:pt idx="1358">
                  <c:v>9000</c:v>
                </c:pt>
                <c:pt idx="1359">
                  <c:v>9000</c:v>
                </c:pt>
                <c:pt idx="1360">
                  <c:v>9000</c:v>
                </c:pt>
                <c:pt idx="1361">
                  <c:v>9000</c:v>
                </c:pt>
                <c:pt idx="1362">
                  <c:v>9000</c:v>
                </c:pt>
                <c:pt idx="1363">
                  <c:v>9000</c:v>
                </c:pt>
                <c:pt idx="1364">
                  <c:v>9000</c:v>
                </c:pt>
                <c:pt idx="1365">
                  <c:v>9000</c:v>
                </c:pt>
                <c:pt idx="1366">
                  <c:v>9000</c:v>
                </c:pt>
                <c:pt idx="1367">
                  <c:v>9000</c:v>
                </c:pt>
                <c:pt idx="1368">
                  <c:v>9000</c:v>
                </c:pt>
                <c:pt idx="1369">
                  <c:v>9000</c:v>
                </c:pt>
                <c:pt idx="1370">
                  <c:v>8100</c:v>
                </c:pt>
                <c:pt idx="1371">
                  <c:v>8100</c:v>
                </c:pt>
                <c:pt idx="1372">
                  <c:v>8100</c:v>
                </c:pt>
                <c:pt idx="1373">
                  <c:v>8100</c:v>
                </c:pt>
                <c:pt idx="1374">
                  <c:v>8100</c:v>
                </c:pt>
                <c:pt idx="1375">
                  <c:v>8100</c:v>
                </c:pt>
                <c:pt idx="1376">
                  <c:v>8100</c:v>
                </c:pt>
                <c:pt idx="1377">
                  <c:v>8000</c:v>
                </c:pt>
                <c:pt idx="1378">
                  <c:v>8000</c:v>
                </c:pt>
                <c:pt idx="1379">
                  <c:v>8000</c:v>
                </c:pt>
                <c:pt idx="1380">
                  <c:v>8000</c:v>
                </c:pt>
                <c:pt idx="1381">
                  <c:v>8000</c:v>
                </c:pt>
                <c:pt idx="1382">
                  <c:v>8000</c:v>
                </c:pt>
                <c:pt idx="1383">
                  <c:v>8000</c:v>
                </c:pt>
                <c:pt idx="1384">
                  <c:v>8000</c:v>
                </c:pt>
                <c:pt idx="1385">
                  <c:v>8000</c:v>
                </c:pt>
                <c:pt idx="1386">
                  <c:v>8000</c:v>
                </c:pt>
                <c:pt idx="1387">
                  <c:v>8000</c:v>
                </c:pt>
                <c:pt idx="1388">
                  <c:v>8000</c:v>
                </c:pt>
                <c:pt idx="1389">
                  <c:v>8000</c:v>
                </c:pt>
                <c:pt idx="1390">
                  <c:v>8000</c:v>
                </c:pt>
                <c:pt idx="1391">
                  <c:v>9470</c:v>
                </c:pt>
                <c:pt idx="1392">
                  <c:v>9470</c:v>
                </c:pt>
                <c:pt idx="1393">
                  <c:v>9470</c:v>
                </c:pt>
                <c:pt idx="1394">
                  <c:v>9470</c:v>
                </c:pt>
                <c:pt idx="1395">
                  <c:v>9470</c:v>
                </c:pt>
                <c:pt idx="1396">
                  <c:v>9470</c:v>
                </c:pt>
                <c:pt idx="1397">
                  <c:v>9470</c:v>
                </c:pt>
                <c:pt idx="1398">
                  <c:v>9000</c:v>
                </c:pt>
                <c:pt idx="1399">
                  <c:v>9000</c:v>
                </c:pt>
                <c:pt idx="1400">
                  <c:v>9000</c:v>
                </c:pt>
                <c:pt idx="1401">
                  <c:v>9000</c:v>
                </c:pt>
                <c:pt idx="1402">
                  <c:v>9000</c:v>
                </c:pt>
                <c:pt idx="1403">
                  <c:v>9000</c:v>
                </c:pt>
                <c:pt idx="1404">
                  <c:v>9000</c:v>
                </c:pt>
                <c:pt idx="1405">
                  <c:v>9000</c:v>
                </c:pt>
                <c:pt idx="1406">
                  <c:v>9000</c:v>
                </c:pt>
                <c:pt idx="1407">
                  <c:v>9000</c:v>
                </c:pt>
                <c:pt idx="1408">
                  <c:v>9000</c:v>
                </c:pt>
                <c:pt idx="1409">
                  <c:v>9000</c:v>
                </c:pt>
                <c:pt idx="1410">
                  <c:v>9000</c:v>
                </c:pt>
                <c:pt idx="1411">
                  <c:v>9000</c:v>
                </c:pt>
                <c:pt idx="1412">
                  <c:v>7000</c:v>
                </c:pt>
                <c:pt idx="1413">
                  <c:v>7000</c:v>
                </c:pt>
                <c:pt idx="1414">
                  <c:v>7000</c:v>
                </c:pt>
                <c:pt idx="1415">
                  <c:v>7000</c:v>
                </c:pt>
                <c:pt idx="1416">
                  <c:v>7000</c:v>
                </c:pt>
                <c:pt idx="1417">
                  <c:v>7000</c:v>
                </c:pt>
                <c:pt idx="1418">
                  <c:v>7000</c:v>
                </c:pt>
                <c:pt idx="1419">
                  <c:v>7000</c:v>
                </c:pt>
                <c:pt idx="1420">
                  <c:v>7000</c:v>
                </c:pt>
                <c:pt idx="1421">
                  <c:v>7000</c:v>
                </c:pt>
                <c:pt idx="1422">
                  <c:v>7000</c:v>
                </c:pt>
                <c:pt idx="1423">
                  <c:v>7000</c:v>
                </c:pt>
                <c:pt idx="1424">
                  <c:v>7000</c:v>
                </c:pt>
                <c:pt idx="1425">
                  <c:v>7000</c:v>
                </c:pt>
                <c:pt idx="1426">
                  <c:v>7000</c:v>
                </c:pt>
                <c:pt idx="1427">
                  <c:v>7000</c:v>
                </c:pt>
                <c:pt idx="1428">
                  <c:v>7000</c:v>
                </c:pt>
                <c:pt idx="1429">
                  <c:v>7000</c:v>
                </c:pt>
                <c:pt idx="1430">
                  <c:v>7000</c:v>
                </c:pt>
                <c:pt idx="1431">
                  <c:v>7000</c:v>
                </c:pt>
                <c:pt idx="1432">
                  <c:v>7000</c:v>
                </c:pt>
                <c:pt idx="1433">
                  <c:v>11800</c:v>
                </c:pt>
                <c:pt idx="1434">
                  <c:v>11800</c:v>
                </c:pt>
                <c:pt idx="1435">
                  <c:v>11800</c:v>
                </c:pt>
                <c:pt idx="1436">
                  <c:v>11800</c:v>
                </c:pt>
                <c:pt idx="1437">
                  <c:v>11800</c:v>
                </c:pt>
                <c:pt idx="1438">
                  <c:v>11800</c:v>
                </c:pt>
                <c:pt idx="1439">
                  <c:v>11800</c:v>
                </c:pt>
                <c:pt idx="1440">
                  <c:v>11800</c:v>
                </c:pt>
                <c:pt idx="1441">
                  <c:v>11800</c:v>
                </c:pt>
                <c:pt idx="1442">
                  <c:v>11800</c:v>
                </c:pt>
                <c:pt idx="1443">
                  <c:v>11800</c:v>
                </c:pt>
                <c:pt idx="1444">
                  <c:v>11800</c:v>
                </c:pt>
                <c:pt idx="1445">
                  <c:v>11800</c:v>
                </c:pt>
                <c:pt idx="1446">
                  <c:v>11800</c:v>
                </c:pt>
                <c:pt idx="1447">
                  <c:v>14600</c:v>
                </c:pt>
                <c:pt idx="1448">
                  <c:v>14600</c:v>
                </c:pt>
                <c:pt idx="1449">
                  <c:v>14600</c:v>
                </c:pt>
                <c:pt idx="1450">
                  <c:v>14600</c:v>
                </c:pt>
                <c:pt idx="1451">
                  <c:v>14600</c:v>
                </c:pt>
                <c:pt idx="1452">
                  <c:v>14600</c:v>
                </c:pt>
                <c:pt idx="1453">
                  <c:v>14600</c:v>
                </c:pt>
                <c:pt idx="1454">
                  <c:v>14600</c:v>
                </c:pt>
                <c:pt idx="1455">
                  <c:v>14600</c:v>
                </c:pt>
                <c:pt idx="1456">
                  <c:v>14600</c:v>
                </c:pt>
                <c:pt idx="1457">
                  <c:v>14600</c:v>
                </c:pt>
                <c:pt idx="1458">
                  <c:v>14600</c:v>
                </c:pt>
                <c:pt idx="1459">
                  <c:v>14600</c:v>
                </c:pt>
                <c:pt idx="1460">
                  <c:v>14600</c:v>
                </c:pt>
                <c:pt idx="1461">
                  <c:v>14600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11010</c:v>
                </c:pt>
                <c:pt idx="1469">
                  <c:v>11010</c:v>
                </c:pt>
                <c:pt idx="1470">
                  <c:v>11010</c:v>
                </c:pt>
                <c:pt idx="1471">
                  <c:v>11010</c:v>
                </c:pt>
                <c:pt idx="1472">
                  <c:v>11010</c:v>
                </c:pt>
                <c:pt idx="1473">
                  <c:v>11010</c:v>
                </c:pt>
                <c:pt idx="1474">
                  <c:v>11010</c:v>
                </c:pt>
                <c:pt idx="1475">
                  <c:v>12150</c:v>
                </c:pt>
                <c:pt idx="1476">
                  <c:v>12150</c:v>
                </c:pt>
                <c:pt idx="1477">
                  <c:v>12150</c:v>
                </c:pt>
                <c:pt idx="1478">
                  <c:v>12150</c:v>
                </c:pt>
                <c:pt idx="1479">
                  <c:v>12150</c:v>
                </c:pt>
                <c:pt idx="1480">
                  <c:v>12150</c:v>
                </c:pt>
                <c:pt idx="1481">
                  <c:v>12150</c:v>
                </c:pt>
                <c:pt idx="1482">
                  <c:v>11400</c:v>
                </c:pt>
                <c:pt idx="1483">
                  <c:v>11400</c:v>
                </c:pt>
                <c:pt idx="1484">
                  <c:v>11400</c:v>
                </c:pt>
                <c:pt idx="1485">
                  <c:v>11400</c:v>
                </c:pt>
                <c:pt idx="1486">
                  <c:v>11400</c:v>
                </c:pt>
                <c:pt idx="1487">
                  <c:v>11400</c:v>
                </c:pt>
                <c:pt idx="1488">
                  <c:v>11400</c:v>
                </c:pt>
                <c:pt idx="1489">
                  <c:v>10850</c:v>
                </c:pt>
                <c:pt idx="1490">
                  <c:v>10850</c:v>
                </c:pt>
                <c:pt idx="1491">
                  <c:v>10850</c:v>
                </c:pt>
                <c:pt idx="1492">
                  <c:v>10850</c:v>
                </c:pt>
                <c:pt idx="1493">
                  <c:v>10850</c:v>
                </c:pt>
                <c:pt idx="1494">
                  <c:v>10850</c:v>
                </c:pt>
                <c:pt idx="1495">
                  <c:v>10850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E2-43C2-A9E5-4CA04C7CD3C7}"/>
            </c:ext>
          </c:extLst>
        </c:ser>
        <c:ser>
          <c:idx val="7"/>
          <c:order val="7"/>
          <c:tx>
            <c:v>Facilités de Dépôts (Overnight)</c:v>
          </c:tx>
          <c:spPr>
            <a:solidFill>
              <a:schemeClr val="accent2">
                <a:lumMod val="6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BASE!$A$2:$A$1497</c:f>
              <c:numCache>
                <c:formatCode>m/d/yyyy</c:formatCode>
                <c:ptCount val="1496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  <c:pt idx="1495">
                  <c:v>46057</c:v>
                </c:pt>
              </c:numCache>
            </c:numRef>
          </c:cat>
          <c:val>
            <c:numRef>
              <c:f>BASE!$N$2:$N$1497</c:f>
              <c:numCache>
                <c:formatCode>_-* #\ ##0_-;\-* #\ ##0_-;_-* "-"??_-;_-@_-</c:formatCode>
                <c:ptCount val="14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1200</c:v>
                </c:pt>
                <c:pt idx="909">
                  <c:v>1900</c:v>
                </c:pt>
                <c:pt idx="910">
                  <c:v>1900</c:v>
                </c:pt>
                <c:pt idx="911">
                  <c:v>1900</c:v>
                </c:pt>
                <c:pt idx="912">
                  <c:v>550</c:v>
                </c:pt>
                <c:pt idx="913">
                  <c:v>800</c:v>
                </c:pt>
                <c:pt idx="914">
                  <c:v>700</c:v>
                </c:pt>
                <c:pt idx="915">
                  <c:v>800</c:v>
                </c:pt>
                <c:pt idx="916">
                  <c:v>500</c:v>
                </c:pt>
                <c:pt idx="917">
                  <c:v>500</c:v>
                </c:pt>
                <c:pt idx="918">
                  <c:v>500</c:v>
                </c:pt>
                <c:pt idx="919">
                  <c:v>500</c:v>
                </c:pt>
                <c:pt idx="920">
                  <c:v>900</c:v>
                </c:pt>
                <c:pt idx="921">
                  <c:v>900</c:v>
                </c:pt>
                <c:pt idx="922">
                  <c:v>700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1850</c:v>
                </c:pt>
                <c:pt idx="927">
                  <c:v>1999.7982456200002</c:v>
                </c:pt>
                <c:pt idx="928">
                  <c:v>850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800</c:v>
                </c:pt>
                <c:pt idx="934">
                  <c:v>1080</c:v>
                </c:pt>
                <c:pt idx="935">
                  <c:v>830</c:v>
                </c:pt>
                <c:pt idx="936">
                  <c:v>1980</c:v>
                </c:pt>
                <c:pt idx="937">
                  <c:v>1080</c:v>
                </c:pt>
                <c:pt idx="938">
                  <c:v>1080</c:v>
                </c:pt>
                <c:pt idx="939">
                  <c:v>1080</c:v>
                </c:pt>
                <c:pt idx="940">
                  <c:v>1680</c:v>
                </c:pt>
                <c:pt idx="941">
                  <c:v>1580</c:v>
                </c:pt>
                <c:pt idx="942">
                  <c:v>1680</c:v>
                </c:pt>
                <c:pt idx="943">
                  <c:v>1330</c:v>
                </c:pt>
                <c:pt idx="944">
                  <c:v>1330</c:v>
                </c:pt>
                <c:pt idx="945">
                  <c:v>1330</c:v>
                </c:pt>
                <c:pt idx="946">
                  <c:v>1330</c:v>
                </c:pt>
                <c:pt idx="947">
                  <c:v>2280</c:v>
                </c:pt>
                <c:pt idx="948">
                  <c:v>1330</c:v>
                </c:pt>
                <c:pt idx="949">
                  <c:v>1030</c:v>
                </c:pt>
                <c:pt idx="950">
                  <c:v>2230</c:v>
                </c:pt>
                <c:pt idx="951">
                  <c:v>2775</c:v>
                </c:pt>
                <c:pt idx="952">
                  <c:v>2775</c:v>
                </c:pt>
                <c:pt idx="953">
                  <c:v>2775</c:v>
                </c:pt>
                <c:pt idx="954">
                  <c:v>2970</c:v>
                </c:pt>
                <c:pt idx="955">
                  <c:v>2970</c:v>
                </c:pt>
                <c:pt idx="956">
                  <c:v>2800</c:v>
                </c:pt>
                <c:pt idx="957">
                  <c:v>3300</c:v>
                </c:pt>
                <c:pt idx="958">
                  <c:v>2470</c:v>
                </c:pt>
                <c:pt idx="959">
                  <c:v>2470</c:v>
                </c:pt>
                <c:pt idx="960">
                  <c:v>2470</c:v>
                </c:pt>
                <c:pt idx="961">
                  <c:v>4950</c:v>
                </c:pt>
                <c:pt idx="962">
                  <c:v>4980</c:v>
                </c:pt>
                <c:pt idx="963">
                  <c:v>3570</c:v>
                </c:pt>
                <c:pt idx="964">
                  <c:v>3350</c:v>
                </c:pt>
                <c:pt idx="965">
                  <c:v>3000</c:v>
                </c:pt>
                <c:pt idx="966">
                  <c:v>3000</c:v>
                </c:pt>
                <c:pt idx="967">
                  <c:v>3000</c:v>
                </c:pt>
                <c:pt idx="968">
                  <c:v>4400</c:v>
                </c:pt>
                <c:pt idx="969">
                  <c:v>4500</c:v>
                </c:pt>
                <c:pt idx="970">
                  <c:v>4915</c:v>
                </c:pt>
                <c:pt idx="971">
                  <c:v>3070</c:v>
                </c:pt>
                <c:pt idx="972">
                  <c:v>3172</c:v>
                </c:pt>
                <c:pt idx="973">
                  <c:v>3172</c:v>
                </c:pt>
                <c:pt idx="974">
                  <c:v>3172</c:v>
                </c:pt>
                <c:pt idx="975">
                  <c:v>3280</c:v>
                </c:pt>
                <c:pt idx="976">
                  <c:v>3008</c:v>
                </c:pt>
                <c:pt idx="977">
                  <c:v>3002</c:v>
                </c:pt>
                <c:pt idx="978">
                  <c:v>2506</c:v>
                </c:pt>
                <c:pt idx="979">
                  <c:v>2250</c:v>
                </c:pt>
                <c:pt idx="980">
                  <c:v>2250</c:v>
                </c:pt>
                <c:pt idx="981">
                  <c:v>2250</c:v>
                </c:pt>
                <c:pt idx="982">
                  <c:v>2651</c:v>
                </c:pt>
                <c:pt idx="983">
                  <c:v>2958</c:v>
                </c:pt>
                <c:pt idx="984">
                  <c:v>2745.3939999999998</c:v>
                </c:pt>
                <c:pt idx="985">
                  <c:v>2432</c:v>
                </c:pt>
                <c:pt idx="986">
                  <c:v>4784</c:v>
                </c:pt>
                <c:pt idx="987">
                  <c:v>4784</c:v>
                </c:pt>
                <c:pt idx="988">
                  <c:v>4784</c:v>
                </c:pt>
                <c:pt idx="989">
                  <c:v>4784</c:v>
                </c:pt>
                <c:pt idx="990">
                  <c:v>2444</c:v>
                </c:pt>
                <c:pt idx="991">
                  <c:v>2046</c:v>
                </c:pt>
                <c:pt idx="992">
                  <c:v>2148</c:v>
                </c:pt>
                <c:pt idx="993">
                  <c:v>2244</c:v>
                </c:pt>
                <c:pt idx="994">
                  <c:v>2244</c:v>
                </c:pt>
                <c:pt idx="995">
                  <c:v>2244</c:v>
                </c:pt>
                <c:pt idx="996">
                  <c:v>3306</c:v>
                </c:pt>
                <c:pt idx="997">
                  <c:v>3201</c:v>
                </c:pt>
                <c:pt idx="998">
                  <c:v>3355</c:v>
                </c:pt>
                <c:pt idx="999">
                  <c:v>3151</c:v>
                </c:pt>
                <c:pt idx="1000">
                  <c:v>3829</c:v>
                </c:pt>
                <c:pt idx="1001">
                  <c:v>3829</c:v>
                </c:pt>
                <c:pt idx="1002">
                  <c:v>3829</c:v>
                </c:pt>
                <c:pt idx="1003">
                  <c:v>4197</c:v>
                </c:pt>
                <c:pt idx="1004">
                  <c:v>3201</c:v>
                </c:pt>
                <c:pt idx="1005">
                  <c:v>2175</c:v>
                </c:pt>
                <c:pt idx="1006">
                  <c:v>4354</c:v>
                </c:pt>
                <c:pt idx="1007">
                  <c:v>2862</c:v>
                </c:pt>
                <c:pt idx="1008">
                  <c:v>2862</c:v>
                </c:pt>
                <c:pt idx="1009">
                  <c:v>2862</c:v>
                </c:pt>
                <c:pt idx="1010">
                  <c:v>3532</c:v>
                </c:pt>
                <c:pt idx="1011">
                  <c:v>3643</c:v>
                </c:pt>
                <c:pt idx="1012">
                  <c:v>3952</c:v>
                </c:pt>
                <c:pt idx="1013">
                  <c:v>2928</c:v>
                </c:pt>
                <c:pt idx="1014">
                  <c:v>3167</c:v>
                </c:pt>
                <c:pt idx="1015">
                  <c:v>3167</c:v>
                </c:pt>
                <c:pt idx="1016">
                  <c:v>3167</c:v>
                </c:pt>
                <c:pt idx="1017">
                  <c:v>4002</c:v>
                </c:pt>
                <c:pt idx="1018">
                  <c:v>3456</c:v>
                </c:pt>
                <c:pt idx="1019">
                  <c:v>3380</c:v>
                </c:pt>
                <c:pt idx="1020">
                  <c:v>4075</c:v>
                </c:pt>
                <c:pt idx="1021">
                  <c:v>3178</c:v>
                </c:pt>
                <c:pt idx="1022">
                  <c:v>3178</c:v>
                </c:pt>
                <c:pt idx="1023">
                  <c:v>3178</c:v>
                </c:pt>
                <c:pt idx="1024">
                  <c:v>4110</c:v>
                </c:pt>
                <c:pt idx="1025">
                  <c:v>4220</c:v>
                </c:pt>
                <c:pt idx="1026">
                  <c:v>3320</c:v>
                </c:pt>
                <c:pt idx="1027">
                  <c:v>4540</c:v>
                </c:pt>
                <c:pt idx="1028">
                  <c:v>5721</c:v>
                </c:pt>
                <c:pt idx="1029">
                  <c:v>5721</c:v>
                </c:pt>
                <c:pt idx="1030">
                  <c:v>5721</c:v>
                </c:pt>
                <c:pt idx="1031">
                  <c:v>4340</c:v>
                </c:pt>
                <c:pt idx="1032">
                  <c:v>4940</c:v>
                </c:pt>
                <c:pt idx="1033">
                  <c:v>4185</c:v>
                </c:pt>
                <c:pt idx="1034">
                  <c:v>3600</c:v>
                </c:pt>
                <c:pt idx="1035">
                  <c:v>4052</c:v>
                </c:pt>
                <c:pt idx="1036">
                  <c:v>4052</c:v>
                </c:pt>
                <c:pt idx="1037">
                  <c:v>4052</c:v>
                </c:pt>
                <c:pt idx="1038">
                  <c:v>3072</c:v>
                </c:pt>
                <c:pt idx="1039">
                  <c:v>4271</c:v>
                </c:pt>
                <c:pt idx="1040">
                  <c:v>4492</c:v>
                </c:pt>
                <c:pt idx="1041">
                  <c:v>6089</c:v>
                </c:pt>
                <c:pt idx="1042">
                  <c:v>5600</c:v>
                </c:pt>
                <c:pt idx="1043">
                  <c:v>5600</c:v>
                </c:pt>
                <c:pt idx="1044">
                  <c:v>5600</c:v>
                </c:pt>
                <c:pt idx="1045">
                  <c:v>5920</c:v>
                </c:pt>
                <c:pt idx="1046">
                  <c:v>6342</c:v>
                </c:pt>
                <c:pt idx="1047">
                  <c:v>5902</c:v>
                </c:pt>
                <c:pt idx="1048">
                  <c:v>5875</c:v>
                </c:pt>
                <c:pt idx="1049">
                  <c:v>5339</c:v>
                </c:pt>
                <c:pt idx="1050">
                  <c:v>5339</c:v>
                </c:pt>
                <c:pt idx="1051">
                  <c:v>5339</c:v>
                </c:pt>
                <c:pt idx="1052">
                  <c:v>5122</c:v>
                </c:pt>
                <c:pt idx="1053">
                  <c:v>5230.5</c:v>
                </c:pt>
                <c:pt idx="1054">
                  <c:v>5567</c:v>
                </c:pt>
                <c:pt idx="1055">
                  <c:v>3044</c:v>
                </c:pt>
                <c:pt idx="1056">
                  <c:v>3277</c:v>
                </c:pt>
                <c:pt idx="1057">
                  <c:v>3277</c:v>
                </c:pt>
                <c:pt idx="1058">
                  <c:v>3277</c:v>
                </c:pt>
                <c:pt idx="1059">
                  <c:v>3140.63</c:v>
                </c:pt>
                <c:pt idx="1060">
                  <c:v>3678.52</c:v>
                </c:pt>
                <c:pt idx="1061">
                  <c:v>3479.25</c:v>
                </c:pt>
                <c:pt idx="1062">
                  <c:v>3479.25</c:v>
                </c:pt>
                <c:pt idx="1063">
                  <c:v>3479.25</c:v>
                </c:pt>
                <c:pt idx="1064">
                  <c:v>3479.25</c:v>
                </c:pt>
                <c:pt idx="1065">
                  <c:v>3479.25</c:v>
                </c:pt>
                <c:pt idx="1066">
                  <c:v>4132</c:v>
                </c:pt>
                <c:pt idx="1067">
                  <c:v>3881</c:v>
                </c:pt>
                <c:pt idx="1068">
                  <c:v>3666</c:v>
                </c:pt>
                <c:pt idx="1069">
                  <c:v>3682</c:v>
                </c:pt>
                <c:pt idx="1070">
                  <c:v>3688</c:v>
                </c:pt>
                <c:pt idx="1071">
                  <c:v>3688</c:v>
                </c:pt>
                <c:pt idx="1072">
                  <c:v>3688</c:v>
                </c:pt>
                <c:pt idx="1073">
                  <c:v>3866</c:v>
                </c:pt>
                <c:pt idx="1074">
                  <c:v>3862</c:v>
                </c:pt>
                <c:pt idx="1075">
                  <c:v>3852</c:v>
                </c:pt>
                <c:pt idx="1076">
                  <c:v>4070</c:v>
                </c:pt>
                <c:pt idx="1077">
                  <c:v>4157</c:v>
                </c:pt>
                <c:pt idx="1078">
                  <c:v>4157</c:v>
                </c:pt>
                <c:pt idx="1079">
                  <c:v>4157</c:v>
                </c:pt>
                <c:pt idx="1080">
                  <c:v>4192</c:v>
                </c:pt>
                <c:pt idx="1081">
                  <c:v>4262.0271249999996</c:v>
                </c:pt>
                <c:pt idx="1082">
                  <c:v>4321.0069999999996</c:v>
                </c:pt>
                <c:pt idx="1083">
                  <c:v>4719.66</c:v>
                </c:pt>
                <c:pt idx="1084">
                  <c:v>4230</c:v>
                </c:pt>
                <c:pt idx="1085">
                  <c:v>4230</c:v>
                </c:pt>
                <c:pt idx="1086">
                  <c:v>4230</c:v>
                </c:pt>
                <c:pt idx="1087">
                  <c:v>2886.2</c:v>
                </c:pt>
                <c:pt idx="1088">
                  <c:v>4555.74</c:v>
                </c:pt>
                <c:pt idx="1089">
                  <c:v>4555.74</c:v>
                </c:pt>
                <c:pt idx="1090">
                  <c:v>4491</c:v>
                </c:pt>
                <c:pt idx="1091">
                  <c:v>4337.201</c:v>
                </c:pt>
                <c:pt idx="1092">
                  <c:v>4337.201</c:v>
                </c:pt>
                <c:pt idx="1093">
                  <c:v>4337.201</c:v>
                </c:pt>
                <c:pt idx="1094">
                  <c:v>4416.1719999999996</c:v>
                </c:pt>
                <c:pt idx="1095">
                  <c:v>3880</c:v>
                </c:pt>
                <c:pt idx="1096">
                  <c:v>3880</c:v>
                </c:pt>
                <c:pt idx="1097">
                  <c:v>2800</c:v>
                </c:pt>
                <c:pt idx="1098">
                  <c:v>4090.223</c:v>
                </c:pt>
                <c:pt idx="1099">
                  <c:v>4090.223</c:v>
                </c:pt>
                <c:pt idx="1100">
                  <c:v>4090.223</c:v>
                </c:pt>
                <c:pt idx="1101">
                  <c:v>4215.24</c:v>
                </c:pt>
                <c:pt idx="1102">
                  <c:v>4291.88</c:v>
                </c:pt>
                <c:pt idx="1103">
                  <c:v>4161.165</c:v>
                </c:pt>
                <c:pt idx="1104">
                  <c:v>4519.8280000000004</c:v>
                </c:pt>
                <c:pt idx="1105">
                  <c:v>5343.47</c:v>
                </c:pt>
                <c:pt idx="1106">
                  <c:v>5343.47</c:v>
                </c:pt>
                <c:pt idx="1107">
                  <c:v>5343.47</c:v>
                </c:pt>
                <c:pt idx="1108">
                  <c:v>4521.1180000000004</c:v>
                </c:pt>
                <c:pt idx="1109">
                  <c:v>4963.17</c:v>
                </c:pt>
                <c:pt idx="1110">
                  <c:v>5096.6000000000004</c:v>
                </c:pt>
                <c:pt idx="1111">
                  <c:v>6100</c:v>
                </c:pt>
                <c:pt idx="1112">
                  <c:v>6222</c:v>
                </c:pt>
                <c:pt idx="1113">
                  <c:v>6222</c:v>
                </c:pt>
                <c:pt idx="1114">
                  <c:v>6222</c:v>
                </c:pt>
                <c:pt idx="1115">
                  <c:v>4520</c:v>
                </c:pt>
                <c:pt idx="1116">
                  <c:v>5110</c:v>
                </c:pt>
                <c:pt idx="1117">
                  <c:v>5380</c:v>
                </c:pt>
                <c:pt idx="1118">
                  <c:v>4900</c:v>
                </c:pt>
                <c:pt idx="1119">
                  <c:v>3880</c:v>
                </c:pt>
                <c:pt idx="1120">
                  <c:v>3880</c:v>
                </c:pt>
                <c:pt idx="1121">
                  <c:v>3880</c:v>
                </c:pt>
                <c:pt idx="1122">
                  <c:v>5510</c:v>
                </c:pt>
                <c:pt idx="1123">
                  <c:v>6630</c:v>
                </c:pt>
                <c:pt idx="1124">
                  <c:v>6640</c:v>
                </c:pt>
                <c:pt idx="1125">
                  <c:v>7322</c:v>
                </c:pt>
                <c:pt idx="1126">
                  <c:v>7470</c:v>
                </c:pt>
                <c:pt idx="1127">
                  <c:v>7470</c:v>
                </c:pt>
                <c:pt idx="1128">
                  <c:v>7470</c:v>
                </c:pt>
                <c:pt idx="1129">
                  <c:v>7220</c:v>
                </c:pt>
                <c:pt idx="1130">
                  <c:v>7192</c:v>
                </c:pt>
                <c:pt idx="1131">
                  <c:v>6730</c:v>
                </c:pt>
                <c:pt idx="1132">
                  <c:v>7150</c:v>
                </c:pt>
                <c:pt idx="1133">
                  <c:v>7440</c:v>
                </c:pt>
                <c:pt idx="1134">
                  <c:v>7440</c:v>
                </c:pt>
                <c:pt idx="1135">
                  <c:v>7440</c:v>
                </c:pt>
                <c:pt idx="1136">
                  <c:v>7860</c:v>
                </c:pt>
                <c:pt idx="1137">
                  <c:v>5920</c:v>
                </c:pt>
                <c:pt idx="1138">
                  <c:v>6020</c:v>
                </c:pt>
                <c:pt idx="1139">
                  <c:v>7390</c:v>
                </c:pt>
                <c:pt idx="1140">
                  <c:v>6880</c:v>
                </c:pt>
                <c:pt idx="1141">
                  <c:v>6880</c:v>
                </c:pt>
                <c:pt idx="1142">
                  <c:v>6880</c:v>
                </c:pt>
                <c:pt idx="1143">
                  <c:v>4990</c:v>
                </c:pt>
                <c:pt idx="1144">
                  <c:v>6430</c:v>
                </c:pt>
                <c:pt idx="1145">
                  <c:v>5760</c:v>
                </c:pt>
                <c:pt idx="1146">
                  <c:v>6254</c:v>
                </c:pt>
                <c:pt idx="1147">
                  <c:v>6490</c:v>
                </c:pt>
                <c:pt idx="1148">
                  <c:v>6490</c:v>
                </c:pt>
                <c:pt idx="1149">
                  <c:v>6490</c:v>
                </c:pt>
                <c:pt idx="1150">
                  <c:v>6880</c:v>
                </c:pt>
                <c:pt idx="1151">
                  <c:v>7775</c:v>
                </c:pt>
                <c:pt idx="1152">
                  <c:v>8060</c:v>
                </c:pt>
                <c:pt idx="1153">
                  <c:v>7615</c:v>
                </c:pt>
                <c:pt idx="1154">
                  <c:v>7340</c:v>
                </c:pt>
                <c:pt idx="1155">
                  <c:v>7340</c:v>
                </c:pt>
                <c:pt idx="1156">
                  <c:v>7340</c:v>
                </c:pt>
                <c:pt idx="1157">
                  <c:v>7716</c:v>
                </c:pt>
                <c:pt idx="1158">
                  <c:v>7920</c:v>
                </c:pt>
                <c:pt idx="1159">
                  <c:v>7890</c:v>
                </c:pt>
                <c:pt idx="1160">
                  <c:v>7730</c:v>
                </c:pt>
                <c:pt idx="1161">
                  <c:v>7830</c:v>
                </c:pt>
                <c:pt idx="1162">
                  <c:v>7830</c:v>
                </c:pt>
                <c:pt idx="1163">
                  <c:v>7830</c:v>
                </c:pt>
                <c:pt idx="1164">
                  <c:v>8170</c:v>
                </c:pt>
                <c:pt idx="1165">
                  <c:v>8320</c:v>
                </c:pt>
                <c:pt idx="1166">
                  <c:v>7990</c:v>
                </c:pt>
                <c:pt idx="1167">
                  <c:v>7267</c:v>
                </c:pt>
                <c:pt idx="1168">
                  <c:v>6870</c:v>
                </c:pt>
                <c:pt idx="1169">
                  <c:v>6870</c:v>
                </c:pt>
                <c:pt idx="1170">
                  <c:v>6870</c:v>
                </c:pt>
                <c:pt idx="1171">
                  <c:v>6810</c:v>
                </c:pt>
                <c:pt idx="1172">
                  <c:v>6680</c:v>
                </c:pt>
                <c:pt idx="1173">
                  <c:v>6670</c:v>
                </c:pt>
                <c:pt idx="1174">
                  <c:v>7340</c:v>
                </c:pt>
                <c:pt idx="1175">
                  <c:v>6960</c:v>
                </c:pt>
                <c:pt idx="1176">
                  <c:v>6960</c:v>
                </c:pt>
                <c:pt idx="1177">
                  <c:v>6960</c:v>
                </c:pt>
                <c:pt idx="1178">
                  <c:v>7320</c:v>
                </c:pt>
                <c:pt idx="1179">
                  <c:v>7022</c:v>
                </c:pt>
                <c:pt idx="1180">
                  <c:v>7620</c:v>
                </c:pt>
                <c:pt idx="1181">
                  <c:v>8312</c:v>
                </c:pt>
                <c:pt idx="1182">
                  <c:v>7665</c:v>
                </c:pt>
                <c:pt idx="1183">
                  <c:v>7665</c:v>
                </c:pt>
                <c:pt idx="1184">
                  <c:v>7665</c:v>
                </c:pt>
                <c:pt idx="1185">
                  <c:v>7665</c:v>
                </c:pt>
                <c:pt idx="1186">
                  <c:v>6850</c:v>
                </c:pt>
                <c:pt idx="1187">
                  <c:v>7280</c:v>
                </c:pt>
                <c:pt idx="1188">
                  <c:v>6710</c:v>
                </c:pt>
                <c:pt idx="1189">
                  <c:v>7220</c:v>
                </c:pt>
                <c:pt idx="1190">
                  <c:v>7220</c:v>
                </c:pt>
                <c:pt idx="1191">
                  <c:v>7220</c:v>
                </c:pt>
                <c:pt idx="1192">
                  <c:v>6350</c:v>
                </c:pt>
                <c:pt idx="1193">
                  <c:v>6450</c:v>
                </c:pt>
                <c:pt idx="1194">
                  <c:v>6750</c:v>
                </c:pt>
                <c:pt idx="1195">
                  <c:v>6690</c:v>
                </c:pt>
                <c:pt idx="1196">
                  <c:v>6290</c:v>
                </c:pt>
                <c:pt idx="1197">
                  <c:v>6290</c:v>
                </c:pt>
                <c:pt idx="1198">
                  <c:v>6290</c:v>
                </c:pt>
                <c:pt idx="1199">
                  <c:v>6600</c:v>
                </c:pt>
                <c:pt idx="1200">
                  <c:v>7310</c:v>
                </c:pt>
                <c:pt idx="1201">
                  <c:v>7077</c:v>
                </c:pt>
                <c:pt idx="1202">
                  <c:v>6734</c:v>
                </c:pt>
                <c:pt idx="1203">
                  <c:v>6938</c:v>
                </c:pt>
                <c:pt idx="1204">
                  <c:v>6938</c:v>
                </c:pt>
                <c:pt idx="1205">
                  <c:v>6938</c:v>
                </c:pt>
                <c:pt idx="1206">
                  <c:v>7550</c:v>
                </c:pt>
                <c:pt idx="1207">
                  <c:v>7357</c:v>
                </c:pt>
                <c:pt idx="1208">
                  <c:v>7650</c:v>
                </c:pt>
                <c:pt idx="1209">
                  <c:v>8270</c:v>
                </c:pt>
                <c:pt idx="1210">
                  <c:v>9150</c:v>
                </c:pt>
                <c:pt idx="1211">
                  <c:v>9150</c:v>
                </c:pt>
                <c:pt idx="1212">
                  <c:v>9150</c:v>
                </c:pt>
                <c:pt idx="1213">
                  <c:v>8330</c:v>
                </c:pt>
                <c:pt idx="1214">
                  <c:v>8790</c:v>
                </c:pt>
                <c:pt idx="1215">
                  <c:v>7950</c:v>
                </c:pt>
                <c:pt idx="1216">
                  <c:v>7950</c:v>
                </c:pt>
                <c:pt idx="1217">
                  <c:v>7070</c:v>
                </c:pt>
                <c:pt idx="1218">
                  <c:v>7070</c:v>
                </c:pt>
                <c:pt idx="1219">
                  <c:v>7070</c:v>
                </c:pt>
                <c:pt idx="1220">
                  <c:v>7720</c:v>
                </c:pt>
                <c:pt idx="1221">
                  <c:v>8030</c:v>
                </c:pt>
                <c:pt idx="1222">
                  <c:v>7150</c:v>
                </c:pt>
                <c:pt idx="1223">
                  <c:v>8270</c:v>
                </c:pt>
                <c:pt idx="1224">
                  <c:v>8400</c:v>
                </c:pt>
                <c:pt idx="1225">
                  <c:v>8400</c:v>
                </c:pt>
                <c:pt idx="1226">
                  <c:v>8400</c:v>
                </c:pt>
                <c:pt idx="1227">
                  <c:v>5980</c:v>
                </c:pt>
                <c:pt idx="1228">
                  <c:v>8090</c:v>
                </c:pt>
                <c:pt idx="1229">
                  <c:v>8385</c:v>
                </c:pt>
                <c:pt idx="1230">
                  <c:v>7970</c:v>
                </c:pt>
                <c:pt idx="1231">
                  <c:v>6610</c:v>
                </c:pt>
                <c:pt idx="1232">
                  <c:v>6610</c:v>
                </c:pt>
                <c:pt idx="1233">
                  <c:v>6610</c:v>
                </c:pt>
                <c:pt idx="1234">
                  <c:v>8060</c:v>
                </c:pt>
                <c:pt idx="1235">
                  <c:v>7980</c:v>
                </c:pt>
                <c:pt idx="1236">
                  <c:v>7060</c:v>
                </c:pt>
                <c:pt idx="1237">
                  <c:v>6390</c:v>
                </c:pt>
                <c:pt idx="1238">
                  <c:v>7671</c:v>
                </c:pt>
                <c:pt idx="1239">
                  <c:v>7671</c:v>
                </c:pt>
                <c:pt idx="1240">
                  <c:v>7671</c:v>
                </c:pt>
                <c:pt idx="1241">
                  <c:v>6940</c:v>
                </c:pt>
                <c:pt idx="1242">
                  <c:v>8704</c:v>
                </c:pt>
                <c:pt idx="1243">
                  <c:v>7000</c:v>
                </c:pt>
                <c:pt idx="1244">
                  <c:v>8620</c:v>
                </c:pt>
                <c:pt idx="1245">
                  <c:v>9320</c:v>
                </c:pt>
                <c:pt idx="1246">
                  <c:v>9320</c:v>
                </c:pt>
                <c:pt idx="1247">
                  <c:v>9320</c:v>
                </c:pt>
                <c:pt idx="1248">
                  <c:v>9110</c:v>
                </c:pt>
                <c:pt idx="1249">
                  <c:v>8270</c:v>
                </c:pt>
                <c:pt idx="1250">
                  <c:v>8570</c:v>
                </c:pt>
                <c:pt idx="1251">
                  <c:v>7050</c:v>
                </c:pt>
                <c:pt idx="1252">
                  <c:v>9830</c:v>
                </c:pt>
                <c:pt idx="1253">
                  <c:v>9830</c:v>
                </c:pt>
                <c:pt idx="1254">
                  <c:v>9830</c:v>
                </c:pt>
                <c:pt idx="1255">
                  <c:v>8700</c:v>
                </c:pt>
                <c:pt idx="1256">
                  <c:v>8985</c:v>
                </c:pt>
                <c:pt idx="1257">
                  <c:v>9255</c:v>
                </c:pt>
                <c:pt idx="1258">
                  <c:v>9270</c:v>
                </c:pt>
                <c:pt idx="1259">
                  <c:v>10221</c:v>
                </c:pt>
                <c:pt idx="1260">
                  <c:v>10221</c:v>
                </c:pt>
                <c:pt idx="1261">
                  <c:v>10221</c:v>
                </c:pt>
                <c:pt idx="1262">
                  <c:v>9660</c:v>
                </c:pt>
                <c:pt idx="1263">
                  <c:v>9754</c:v>
                </c:pt>
                <c:pt idx="1264">
                  <c:v>8875</c:v>
                </c:pt>
                <c:pt idx="1265">
                  <c:v>8214</c:v>
                </c:pt>
                <c:pt idx="1266">
                  <c:v>8214</c:v>
                </c:pt>
                <c:pt idx="1267">
                  <c:v>8214</c:v>
                </c:pt>
                <c:pt idx="1268">
                  <c:v>8214</c:v>
                </c:pt>
                <c:pt idx="1269">
                  <c:v>6600</c:v>
                </c:pt>
                <c:pt idx="1270">
                  <c:v>8340</c:v>
                </c:pt>
                <c:pt idx="1271">
                  <c:v>8610</c:v>
                </c:pt>
                <c:pt idx="1272">
                  <c:v>8770</c:v>
                </c:pt>
                <c:pt idx="1273">
                  <c:v>8770</c:v>
                </c:pt>
                <c:pt idx="1274">
                  <c:v>8770</c:v>
                </c:pt>
                <c:pt idx="1275">
                  <c:v>8770</c:v>
                </c:pt>
                <c:pt idx="1276">
                  <c:v>8785</c:v>
                </c:pt>
                <c:pt idx="1277">
                  <c:v>9542</c:v>
                </c:pt>
                <c:pt idx="1278">
                  <c:v>8280</c:v>
                </c:pt>
                <c:pt idx="1279">
                  <c:v>7244</c:v>
                </c:pt>
                <c:pt idx="1280">
                  <c:v>7000</c:v>
                </c:pt>
                <c:pt idx="1281">
                  <c:v>7000</c:v>
                </c:pt>
                <c:pt idx="1282">
                  <c:v>7000</c:v>
                </c:pt>
                <c:pt idx="1283">
                  <c:v>6780</c:v>
                </c:pt>
                <c:pt idx="1284">
                  <c:v>6310</c:v>
                </c:pt>
                <c:pt idx="1285">
                  <c:v>6306</c:v>
                </c:pt>
                <c:pt idx="1286">
                  <c:v>4480</c:v>
                </c:pt>
                <c:pt idx="1287">
                  <c:v>5680</c:v>
                </c:pt>
                <c:pt idx="1288">
                  <c:v>5680</c:v>
                </c:pt>
                <c:pt idx="1289">
                  <c:v>5680</c:v>
                </c:pt>
                <c:pt idx="1290">
                  <c:v>5350</c:v>
                </c:pt>
                <c:pt idx="1291">
                  <c:v>6501</c:v>
                </c:pt>
                <c:pt idx="1292">
                  <c:v>6090</c:v>
                </c:pt>
                <c:pt idx="1293">
                  <c:v>5970</c:v>
                </c:pt>
                <c:pt idx="1294">
                  <c:v>5000</c:v>
                </c:pt>
                <c:pt idx="1295">
                  <c:v>5000</c:v>
                </c:pt>
                <c:pt idx="1296">
                  <c:v>5000</c:v>
                </c:pt>
                <c:pt idx="1297">
                  <c:v>6630</c:v>
                </c:pt>
                <c:pt idx="1298">
                  <c:v>6390</c:v>
                </c:pt>
                <c:pt idx="1299">
                  <c:v>5900</c:v>
                </c:pt>
                <c:pt idx="1300">
                  <c:v>7334</c:v>
                </c:pt>
                <c:pt idx="1301">
                  <c:v>7278</c:v>
                </c:pt>
                <c:pt idx="1302">
                  <c:v>7278</c:v>
                </c:pt>
                <c:pt idx="1303">
                  <c:v>7278</c:v>
                </c:pt>
                <c:pt idx="1304">
                  <c:v>7220</c:v>
                </c:pt>
                <c:pt idx="1305">
                  <c:v>7340</c:v>
                </c:pt>
                <c:pt idx="1306">
                  <c:v>7395</c:v>
                </c:pt>
                <c:pt idx="1307">
                  <c:v>5700</c:v>
                </c:pt>
                <c:pt idx="1308">
                  <c:v>5805</c:v>
                </c:pt>
                <c:pt idx="1309">
                  <c:v>5805</c:v>
                </c:pt>
                <c:pt idx="1310">
                  <c:v>5805</c:v>
                </c:pt>
                <c:pt idx="1311">
                  <c:v>5600</c:v>
                </c:pt>
                <c:pt idx="1312">
                  <c:v>5600</c:v>
                </c:pt>
                <c:pt idx="1313">
                  <c:v>6060</c:v>
                </c:pt>
                <c:pt idx="1314">
                  <c:v>5800</c:v>
                </c:pt>
                <c:pt idx="1315">
                  <c:v>4220</c:v>
                </c:pt>
                <c:pt idx="1316">
                  <c:v>4220</c:v>
                </c:pt>
                <c:pt idx="1317">
                  <c:v>4220</c:v>
                </c:pt>
                <c:pt idx="1318">
                  <c:v>5260</c:v>
                </c:pt>
                <c:pt idx="1319">
                  <c:v>5190</c:v>
                </c:pt>
                <c:pt idx="1320">
                  <c:v>5475</c:v>
                </c:pt>
                <c:pt idx="1321">
                  <c:v>4901</c:v>
                </c:pt>
                <c:pt idx="1322">
                  <c:v>4990</c:v>
                </c:pt>
                <c:pt idx="1323">
                  <c:v>4990</c:v>
                </c:pt>
                <c:pt idx="1324">
                  <c:v>4990</c:v>
                </c:pt>
                <c:pt idx="1325">
                  <c:v>5143</c:v>
                </c:pt>
                <c:pt idx="1326">
                  <c:v>3220</c:v>
                </c:pt>
                <c:pt idx="1327">
                  <c:v>4550</c:v>
                </c:pt>
                <c:pt idx="1328">
                  <c:v>3000</c:v>
                </c:pt>
                <c:pt idx="1329">
                  <c:v>3730</c:v>
                </c:pt>
                <c:pt idx="1330">
                  <c:v>3730</c:v>
                </c:pt>
                <c:pt idx="1331">
                  <c:v>3730</c:v>
                </c:pt>
                <c:pt idx="1332">
                  <c:v>4554</c:v>
                </c:pt>
                <c:pt idx="1333">
                  <c:v>4800</c:v>
                </c:pt>
                <c:pt idx="1334">
                  <c:v>6200</c:v>
                </c:pt>
                <c:pt idx="1335">
                  <c:v>6200</c:v>
                </c:pt>
                <c:pt idx="1336">
                  <c:v>6456</c:v>
                </c:pt>
                <c:pt idx="1337">
                  <c:v>6456</c:v>
                </c:pt>
                <c:pt idx="1338">
                  <c:v>6456</c:v>
                </c:pt>
                <c:pt idx="1339">
                  <c:v>5120</c:v>
                </c:pt>
                <c:pt idx="1340">
                  <c:v>5570</c:v>
                </c:pt>
                <c:pt idx="1341">
                  <c:v>5520</c:v>
                </c:pt>
                <c:pt idx="1342">
                  <c:v>5340</c:v>
                </c:pt>
                <c:pt idx="1343">
                  <c:v>5340</c:v>
                </c:pt>
                <c:pt idx="1344">
                  <c:v>5340</c:v>
                </c:pt>
                <c:pt idx="1345">
                  <c:v>5340</c:v>
                </c:pt>
                <c:pt idx="1346">
                  <c:v>4270</c:v>
                </c:pt>
                <c:pt idx="1347">
                  <c:v>4820</c:v>
                </c:pt>
                <c:pt idx="1348">
                  <c:v>4720</c:v>
                </c:pt>
                <c:pt idx="1349">
                  <c:v>3840</c:v>
                </c:pt>
                <c:pt idx="1350">
                  <c:v>3930</c:v>
                </c:pt>
                <c:pt idx="1351">
                  <c:v>3930</c:v>
                </c:pt>
                <c:pt idx="1352">
                  <c:v>3930</c:v>
                </c:pt>
                <c:pt idx="1353">
                  <c:v>3231</c:v>
                </c:pt>
                <c:pt idx="1354">
                  <c:v>3450</c:v>
                </c:pt>
                <c:pt idx="1355">
                  <c:v>3482</c:v>
                </c:pt>
                <c:pt idx="1356">
                  <c:v>2501</c:v>
                </c:pt>
                <c:pt idx="1357">
                  <c:v>2350</c:v>
                </c:pt>
                <c:pt idx="1358">
                  <c:v>2350</c:v>
                </c:pt>
                <c:pt idx="1359">
                  <c:v>2350</c:v>
                </c:pt>
                <c:pt idx="1360">
                  <c:v>1924</c:v>
                </c:pt>
                <c:pt idx="1361">
                  <c:v>1760</c:v>
                </c:pt>
                <c:pt idx="1362">
                  <c:v>1920</c:v>
                </c:pt>
                <c:pt idx="1363">
                  <c:v>1851</c:v>
                </c:pt>
                <c:pt idx="1364">
                  <c:v>1770</c:v>
                </c:pt>
                <c:pt idx="1365">
                  <c:v>1770</c:v>
                </c:pt>
                <c:pt idx="1366">
                  <c:v>1770</c:v>
                </c:pt>
                <c:pt idx="1367">
                  <c:v>1772</c:v>
                </c:pt>
                <c:pt idx="1368">
                  <c:v>2620</c:v>
                </c:pt>
                <c:pt idx="1369">
                  <c:v>2360</c:v>
                </c:pt>
                <c:pt idx="1370">
                  <c:v>4400</c:v>
                </c:pt>
                <c:pt idx="1371">
                  <c:v>4020</c:v>
                </c:pt>
                <c:pt idx="1372">
                  <c:v>4020</c:v>
                </c:pt>
                <c:pt idx="1373">
                  <c:v>4020</c:v>
                </c:pt>
                <c:pt idx="1374">
                  <c:v>4630</c:v>
                </c:pt>
                <c:pt idx="1375">
                  <c:v>3945</c:v>
                </c:pt>
                <c:pt idx="1376">
                  <c:v>3575</c:v>
                </c:pt>
                <c:pt idx="1377">
                  <c:v>1916</c:v>
                </c:pt>
                <c:pt idx="1378">
                  <c:v>3120</c:v>
                </c:pt>
                <c:pt idx="1379">
                  <c:v>3120</c:v>
                </c:pt>
                <c:pt idx="1380">
                  <c:v>3120</c:v>
                </c:pt>
                <c:pt idx="1381">
                  <c:v>3840</c:v>
                </c:pt>
                <c:pt idx="1382">
                  <c:v>3670</c:v>
                </c:pt>
                <c:pt idx="1383">
                  <c:v>3450</c:v>
                </c:pt>
                <c:pt idx="1384">
                  <c:v>4251</c:v>
                </c:pt>
                <c:pt idx="1385">
                  <c:v>3300</c:v>
                </c:pt>
                <c:pt idx="1386">
                  <c:v>3300</c:v>
                </c:pt>
                <c:pt idx="1387">
                  <c:v>3300</c:v>
                </c:pt>
                <c:pt idx="1388">
                  <c:v>3120</c:v>
                </c:pt>
                <c:pt idx="1389">
                  <c:v>3651</c:v>
                </c:pt>
                <c:pt idx="1390">
                  <c:v>4032</c:v>
                </c:pt>
                <c:pt idx="1391">
                  <c:v>2340</c:v>
                </c:pt>
                <c:pt idx="1392">
                  <c:v>3750</c:v>
                </c:pt>
                <c:pt idx="1393">
                  <c:v>3750</c:v>
                </c:pt>
                <c:pt idx="1394">
                  <c:v>3750</c:v>
                </c:pt>
                <c:pt idx="1395">
                  <c:v>3807</c:v>
                </c:pt>
                <c:pt idx="1396">
                  <c:v>4093</c:v>
                </c:pt>
                <c:pt idx="1397">
                  <c:v>3776</c:v>
                </c:pt>
                <c:pt idx="1398">
                  <c:v>3985</c:v>
                </c:pt>
                <c:pt idx="1399">
                  <c:v>3867</c:v>
                </c:pt>
                <c:pt idx="1400">
                  <c:v>3867</c:v>
                </c:pt>
                <c:pt idx="1401">
                  <c:v>3867</c:v>
                </c:pt>
                <c:pt idx="1402">
                  <c:v>2150</c:v>
                </c:pt>
                <c:pt idx="1403">
                  <c:v>4320</c:v>
                </c:pt>
                <c:pt idx="1404">
                  <c:v>4182</c:v>
                </c:pt>
                <c:pt idx="1405">
                  <c:v>3140</c:v>
                </c:pt>
                <c:pt idx="1406">
                  <c:v>3200</c:v>
                </c:pt>
                <c:pt idx="1407">
                  <c:v>3200</c:v>
                </c:pt>
                <c:pt idx="1408">
                  <c:v>3200</c:v>
                </c:pt>
                <c:pt idx="1409">
                  <c:v>3170</c:v>
                </c:pt>
                <c:pt idx="1410">
                  <c:v>4305</c:v>
                </c:pt>
                <c:pt idx="1411">
                  <c:v>3369</c:v>
                </c:pt>
                <c:pt idx="1412">
                  <c:v>3388</c:v>
                </c:pt>
                <c:pt idx="1413">
                  <c:v>2780</c:v>
                </c:pt>
                <c:pt idx="1414">
                  <c:v>2780</c:v>
                </c:pt>
                <c:pt idx="1415">
                  <c:v>2780</c:v>
                </c:pt>
                <c:pt idx="1416">
                  <c:v>3845</c:v>
                </c:pt>
                <c:pt idx="1417">
                  <c:v>3971</c:v>
                </c:pt>
                <c:pt idx="1418">
                  <c:v>3615</c:v>
                </c:pt>
                <c:pt idx="1419">
                  <c:v>3547</c:v>
                </c:pt>
                <c:pt idx="1420">
                  <c:v>3082</c:v>
                </c:pt>
                <c:pt idx="1421">
                  <c:v>3082</c:v>
                </c:pt>
                <c:pt idx="1422">
                  <c:v>3082</c:v>
                </c:pt>
                <c:pt idx="1423">
                  <c:v>4402</c:v>
                </c:pt>
                <c:pt idx="1424">
                  <c:v>5429</c:v>
                </c:pt>
                <c:pt idx="1425">
                  <c:v>5999</c:v>
                </c:pt>
                <c:pt idx="1426">
                  <c:v>5088</c:v>
                </c:pt>
                <c:pt idx="1427">
                  <c:v>5088</c:v>
                </c:pt>
                <c:pt idx="1428">
                  <c:v>5088</c:v>
                </c:pt>
                <c:pt idx="1429">
                  <c:v>5088</c:v>
                </c:pt>
                <c:pt idx="1430">
                  <c:v>4979</c:v>
                </c:pt>
                <c:pt idx="1431">
                  <c:v>4697</c:v>
                </c:pt>
                <c:pt idx="1432">
                  <c:v>3779</c:v>
                </c:pt>
                <c:pt idx="1433">
                  <c:v>5442</c:v>
                </c:pt>
                <c:pt idx="1434">
                  <c:v>2277</c:v>
                </c:pt>
                <c:pt idx="1435">
                  <c:v>2277</c:v>
                </c:pt>
                <c:pt idx="1436">
                  <c:v>2277</c:v>
                </c:pt>
                <c:pt idx="1437">
                  <c:v>5077</c:v>
                </c:pt>
                <c:pt idx="1438">
                  <c:v>5077</c:v>
                </c:pt>
                <c:pt idx="1439">
                  <c:v>5785</c:v>
                </c:pt>
                <c:pt idx="1440">
                  <c:v>3000</c:v>
                </c:pt>
                <c:pt idx="1441">
                  <c:v>3400</c:v>
                </c:pt>
                <c:pt idx="1442">
                  <c:v>3400</c:v>
                </c:pt>
                <c:pt idx="1443">
                  <c:v>3400</c:v>
                </c:pt>
                <c:pt idx="1444">
                  <c:v>1320</c:v>
                </c:pt>
                <c:pt idx="1445">
                  <c:v>400</c:v>
                </c:pt>
                <c:pt idx="1446">
                  <c:v>400</c:v>
                </c:pt>
                <c:pt idx="1447">
                  <c:v>400</c:v>
                </c:pt>
                <c:pt idx="1448">
                  <c:v>2040</c:v>
                </c:pt>
                <c:pt idx="1449">
                  <c:v>2040</c:v>
                </c:pt>
                <c:pt idx="1450">
                  <c:v>2040</c:v>
                </c:pt>
                <c:pt idx="1451">
                  <c:v>2040</c:v>
                </c:pt>
                <c:pt idx="1452">
                  <c:v>2040</c:v>
                </c:pt>
                <c:pt idx="1453">
                  <c:v>2040</c:v>
                </c:pt>
                <c:pt idx="1454">
                  <c:v>0</c:v>
                </c:pt>
                <c:pt idx="1455">
                  <c:v>200</c:v>
                </c:pt>
                <c:pt idx="1456">
                  <c:v>200</c:v>
                </c:pt>
                <c:pt idx="1457">
                  <c:v>200</c:v>
                </c:pt>
                <c:pt idx="1458">
                  <c:v>500</c:v>
                </c:pt>
                <c:pt idx="1459">
                  <c:v>500</c:v>
                </c:pt>
                <c:pt idx="1460">
                  <c:v>400</c:v>
                </c:pt>
                <c:pt idx="1461">
                  <c:v>400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2200</c:v>
                </c:pt>
                <c:pt idx="1466">
                  <c:v>2100</c:v>
                </c:pt>
                <c:pt idx="1467">
                  <c:v>2270</c:v>
                </c:pt>
                <c:pt idx="1468">
                  <c:v>670</c:v>
                </c:pt>
                <c:pt idx="1469">
                  <c:v>1670</c:v>
                </c:pt>
                <c:pt idx="1470">
                  <c:v>1670</c:v>
                </c:pt>
                <c:pt idx="1471">
                  <c:v>1670</c:v>
                </c:pt>
                <c:pt idx="1472">
                  <c:v>1920</c:v>
                </c:pt>
                <c:pt idx="1473">
                  <c:v>1420</c:v>
                </c:pt>
                <c:pt idx="1474">
                  <c:v>670</c:v>
                </c:pt>
                <c:pt idx="1475">
                  <c:v>750</c:v>
                </c:pt>
                <c:pt idx="1476">
                  <c:v>1120</c:v>
                </c:pt>
                <c:pt idx="1477">
                  <c:v>1120</c:v>
                </c:pt>
                <c:pt idx="1478">
                  <c:v>1120</c:v>
                </c:pt>
                <c:pt idx="1479">
                  <c:v>1220</c:v>
                </c:pt>
                <c:pt idx="1480">
                  <c:v>540</c:v>
                </c:pt>
                <c:pt idx="1481">
                  <c:v>400</c:v>
                </c:pt>
                <c:pt idx="1482">
                  <c:v>650</c:v>
                </c:pt>
                <c:pt idx="1483">
                  <c:v>580</c:v>
                </c:pt>
                <c:pt idx="1484">
                  <c:v>580</c:v>
                </c:pt>
                <c:pt idx="1485">
                  <c:v>580</c:v>
                </c:pt>
                <c:pt idx="1486">
                  <c:v>690</c:v>
                </c:pt>
                <c:pt idx="1487">
                  <c:v>1040</c:v>
                </c:pt>
                <c:pt idx="1488">
                  <c:v>1130</c:v>
                </c:pt>
                <c:pt idx="1489">
                  <c:v>1300</c:v>
                </c:pt>
                <c:pt idx="1490">
                  <c:v>1400</c:v>
                </c:pt>
                <c:pt idx="1491">
                  <c:v>1400</c:v>
                </c:pt>
                <c:pt idx="1492">
                  <c:v>1400</c:v>
                </c:pt>
                <c:pt idx="1493">
                  <c:v>1560</c:v>
                </c:pt>
                <c:pt idx="1494">
                  <c:v>1375</c:v>
                </c:pt>
                <c:pt idx="1495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E2-43C2-A9E5-4CA04C7CD3C7}"/>
            </c:ext>
          </c:extLst>
        </c:ser>
        <c:ser>
          <c:idx val="8"/>
          <c:order val="8"/>
          <c:tx>
            <c:v>Facilités de Dépôt Islamique ( Overnight Chariaa Compliance)</c:v>
          </c:tx>
          <c:spPr>
            <a:solidFill>
              <a:schemeClr val="accent3">
                <a:lumMod val="6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BASE!$A$2:$A$1497</c:f>
              <c:numCache>
                <c:formatCode>m/d/yyyy</c:formatCode>
                <c:ptCount val="1496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  <c:pt idx="1495">
                  <c:v>46057</c:v>
                </c:pt>
              </c:numCache>
            </c:numRef>
          </c:cat>
          <c:val>
            <c:numRef>
              <c:f>BASE!$O$2:$O$1497</c:f>
              <c:numCache>
                <c:formatCode>_-* #\ ##0_-;\-* #\ ##0_-;_-* "-"??_-;_-@_-</c:formatCode>
                <c:ptCount val="14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2740</c:v>
                </c:pt>
                <c:pt idx="1096">
                  <c:v>2740</c:v>
                </c:pt>
                <c:pt idx="1097">
                  <c:v>6220</c:v>
                </c:pt>
                <c:pt idx="1098">
                  <c:v>6420</c:v>
                </c:pt>
                <c:pt idx="1099">
                  <c:v>6420</c:v>
                </c:pt>
                <c:pt idx="1100">
                  <c:v>6420</c:v>
                </c:pt>
                <c:pt idx="1101">
                  <c:v>6260</c:v>
                </c:pt>
                <c:pt idx="1102">
                  <c:v>6140</c:v>
                </c:pt>
                <c:pt idx="1103">
                  <c:v>6160</c:v>
                </c:pt>
                <c:pt idx="1104">
                  <c:v>300</c:v>
                </c:pt>
                <c:pt idx="1105">
                  <c:v>8800</c:v>
                </c:pt>
                <c:pt idx="1106">
                  <c:v>8800</c:v>
                </c:pt>
                <c:pt idx="1107">
                  <c:v>8800</c:v>
                </c:pt>
                <c:pt idx="1108">
                  <c:v>8650</c:v>
                </c:pt>
                <c:pt idx="1109">
                  <c:v>8700</c:v>
                </c:pt>
                <c:pt idx="1110">
                  <c:v>8650</c:v>
                </c:pt>
                <c:pt idx="1111">
                  <c:v>8900</c:v>
                </c:pt>
                <c:pt idx="1112">
                  <c:v>9050</c:v>
                </c:pt>
                <c:pt idx="1113">
                  <c:v>9050</c:v>
                </c:pt>
                <c:pt idx="1114">
                  <c:v>9050</c:v>
                </c:pt>
                <c:pt idx="1115">
                  <c:v>8650</c:v>
                </c:pt>
                <c:pt idx="1116">
                  <c:v>5170</c:v>
                </c:pt>
                <c:pt idx="1117">
                  <c:v>7800</c:v>
                </c:pt>
                <c:pt idx="1118">
                  <c:v>9415</c:v>
                </c:pt>
                <c:pt idx="1119">
                  <c:v>10515</c:v>
                </c:pt>
                <c:pt idx="1120">
                  <c:v>10515</c:v>
                </c:pt>
                <c:pt idx="1121">
                  <c:v>10515</c:v>
                </c:pt>
                <c:pt idx="1122">
                  <c:v>5950</c:v>
                </c:pt>
                <c:pt idx="1123">
                  <c:v>10080</c:v>
                </c:pt>
                <c:pt idx="1124">
                  <c:v>10580</c:v>
                </c:pt>
                <c:pt idx="1125">
                  <c:v>9370</c:v>
                </c:pt>
                <c:pt idx="1126">
                  <c:v>10450</c:v>
                </c:pt>
                <c:pt idx="1127">
                  <c:v>10450</c:v>
                </c:pt>
                <c:pt idx="1128">
                  <c:v>10450</c:v>
                </c:pt>
                <c:pt idx="1129">
                  <c:v>6800</c:v>
                </c:pt>
                <c:pt idx="1130">
                  <c:v>10300</c:v>
                </c:pt>
                <c:pt idx="1131">
                  <c:v>10300</c:v>
                </c:pt>
                <c:pt idx="1132">
                  <c:v>10800</c:v>
                </c:pt>
                <c:pt idx="1133">
                  <c:v>10765</c:v>
                </c:pt>
                <c:pt idx="1134">
                  <c:v>10765</c:v>
                </c:pt>
                <c:pt idx="1135">
                  <c:v>10765</c:v>
                </c:pt>
                <c:pt idx="1136">
                  <c:v>10735</c:v>
                </c:pt>
                <c:pt idx="1137">
                  <c:v>10765</c:v>
                </c:pt>
                <c:pt idx="1138">
                  <c:v>10600</c:v>
                </c:pt>
                <c:pt idx="1139">
                  <c:v>10100</c:v>
                </c:pt>
                <c:pt idx="1140">
                  <c:v>6850</c:v>
                </c:pt>
                <c:pt idx="1141">
                  <c:v>6850</c:v>
                </c:pt>
                <c:pt idx="1142">
                  <c:v>6850</c:v>
                </c:pt>
                <c:pt idx="1143">
                  <c:v>10080</c:v>
                </c:pt>
                <c:pt idx="1144">
                  <c:v>10000</c:v>
                </c:pt>
                <c:pt idx="1145">
                  <c:v>10080</c:v>
                </c:pt>
                <c:pt idx="1146">
                  <c:v>10500</c:v>
                </c:pt>
                <c:pt idx="1147">
                  <c:v>10500</c:v>
                </c:pt>
                <c:pt idx="1148">
                  <c:v>10500</c:v>
                </c:pt>
                <c:pt idx="1149">
                  <c:v>10500</c:v>
                </c:pt>
                <c:pt idx="1150">
                  <c:v>10500</c:v>
                </c:pt>
                <c:pt idx="1151">
                  <c:v>10620</c:v>
                </c:pt>
                <c:pt idx="1152">
                  <c:v>10950</c:v>
                </c:pt>
                <c:pt idx="1153">
                  <c:v>10850</c:v>
                </c:pt>
                <c:pt idx="1154">
                  <c:v>10950</c:v>
                </c:pt>
                <c:pt idx="1155">
                  <c:v>10950</c:v>
                </c:pt>
                <c:pt idx="1156">
                  <c:v>10950</c:v>
                </c:pt>
                <c:pt idx="1157">
                  <c:v>10950</c:v>
                </c:pt>
                <c:pt idx="1158">
                  <c:v>10950</c:v>
                </c:pt>
                <c:pt idx="1159">
                  <c:v>10950</c:v>
                </c:pt>
                <c:pt idx="1160">
                  <c:v>10800</c:v>
                </c:pt>
                <c:pt idx="1161">
                  <c:v>10900</c:v>
                </c:pt>
                <c:pt idx="1162">
                  <c:v>10900</c:v>
                </c:pt>
                <c:pt idx="1163">
                  <c:v>10900</c:v>
                </c:pt>
                <c:pt idx="1164">
                  <c:v>10750</c:v>
                </c:pt>
                <c:pt idx="1165">
                  <c:v>10750</c:v>
                </c:pt>
                <c:pt idx="1166">
                  <c:v>9650</c:v>
                </c:pt>
                <c:pt idx="1167">
                  <c:v>9700</c:v>
                </c:pt>
                <c:pt idx="1168">
                  <c:v>2270</c:v>
                </c:pt>
                <c:pt idx="1169">
                  <c:v>2270</c:v>
                </c:pt>
                <c:pt idx="1170">
                  <c:v>2270</c:v>
                </c:pt>
                <c:pt idx="1171">
                  <c:v>10770</c:v>
                </c:pt>
                <c:pt idx="1172">
                  <c:v>10770</c:v>
                </c:pt>
                <c:pt idx="1173">
                  <c:v>10770</c:v>
                </c:pt>
                <c:pt idx="1174">
                  <c:v>9770</c:v>
                </c:pt>
                <c:pt idx="1175">
                  <c:v>9770</c:v>
                </c:pt>
                <c:pt idx="1176">
                  <c:v>9770</c:v>
                </c:pt>
                <c:pt idx="1177">
                  <c:v>9770</c:v>
                </c:pt>
                <c:pt idx="1178">
                  <c:v>9800</c:v>
                </c:pt>
                <c:pt idx="1179">
                  <c:v>9780</c:v>
                </c:pt>
                <c:pt idx="1180">
                  <c:v>10000</c:v>
                </c:pt>
                <c:pt idx="1181">
                  <c:v>9820</c:v>
                </c:pt>
                <c:pt idx="1182">
                  <c:v>10900</c:v>
                </c:pt>
                <c:pt idx="1183">
                  <c:v>10900</c:v>
                </c:pt>
                <c:pt idx="1184">
                  <c:v>10900</c:v>
                </c:pt>
                <c:pt idx="1185">
                  <c:v>10900</c:v>
                </c:pt>
                <c:pt idx="1186">
                  <c:v>8750</c:v>
                </c:pt>
                <c:pt idx="1187">
                  <c:v>8750</c:v>
                </c:pt>
                <c:pt idx="1188">
                  <c:v>8650</c:v>
                </c:pt>
                <c:pt idx="1189">
                  <c:v>8650</c:v>
                </c:pt>
                <c:pt idx="1190">
                  <c:v>8650</c:v>
                </c:pt>
                <c:pt idx="1191">
                  <c:v>8650</c:v>
                </c:pt>
                <c:pt idx="1192">
                  <c:v>8650</c:v>
                </c:pt>
                <c:pt idx="1193">
                  <c:v>9650</c:v>
                </c:pt>
                <c:pt idx="1194">
                  <c:v>9350</c:v>
                </c:pt>
                <c:pt idx="1195">
                  <c:v>9600</c:v>
                </c:pt>
                <c:pt idx="1196">
                  <c:v>9700</c:v>
                </c:pt>
                <c:pt idx="1197">
                  <c:v>9700</c:v>
                </c:pt>
                <c:pt idx="1198">
                  <c:v>9700</c:v>
                </c:pt>
                <c:pt idx="1199">
                  <c:v>9800</c:v>
                </c:pt>
                <c:pt idx="1200">
                  <c:v>9800</c:v>
                </c:pt>
                <c:pt idx="1201">
                  <c:v>9800</c:v>
                </c:pt>
                <c:pt idx="1202">
                  <c:v>9750</c:v>
                </c:pt>
                <c:pt idx="1203">
                  <c:v>9750</c:v>
                </c:pt>
                <c:pt idx="1204">
                  <c:v>9750</c:v>
                </c:pt>
                <c:pt idx="1205">
                  <c:v>9750</c:v>
                </c:pt>
                <c:pt idx="1206">
                  <c:v>9800</c:v>
                </c:pt>
                <c:pt idx="1207">
                  <c:v>9750</c:v>
                </c:pt>
                <c:pt idx="1208">
                  <c:v>10000</c:v>
                </c:pt>
                <c:pt idx="1209">
                  <c:v>11000</c:v>
                </c:pt>
                <c:pt idx="1210">
                  <c:v>9800</c:v>
                </c:pt>
                <c:pt idx="1211">
                  <c:v>9800</c:v>
                </c:pt>
                <c:pt idx="1212">
                  <c:v>9800</c:v>
                </c:pt>
                <c:pt idx="1213">
                  <c:v>9700</c:v>
                </c:pt>
                <c:pt idx="1214">
                  <c:v>9600</c:v>
                </c:pt>
                <c:pt idx="1215">
                  <c:v>11500</c:v>
                </c:pt>
                <c:pt idx="1216">
                  <c:v>11500</c:v>
                </c:pt>
                <c:pt idx="1217">
                  <c:v>11500</c:v>
                </c:pt>
                <c:pt idx="1218">
                  <c:v>11500</c:v>
                </c:pt>
                <c:pt idx="1219">
                  <c:v>11500</c:v>
                </c:pt>
                <c:pt idx="1220">
                  <c:v>10300</c:v>
                </c:pt>
                <c:pt idx="1221">
                  <c:v>9200</c:v>
                </c:pt>
                <c:pt idx="1222">
                  <c:v>9300</c:v>
                </c:pt>
                <c:pt idx="1223">
                  <c:v>9500</c:v>
                </c:pt>
                <c:pt idx="1224">
                  <c:v>9550</c:v>
                </c:pt>
                <c:pt idx="1225">
                  <c:v>9550</c:v>
                </c:pt>
                <c:pt idx="1226">
                  <c:v>9550</c:v>
                </c:pt>
                <c:pt idx="1227">
                  <c:v>10750</c:v>
                </c:pt>
                <c:pt idx="1228">
                  <c:v>10750</c:v>
                </c:pt>
                <c:pt idx="1229">
                  <c:v>10750</c:v>
                </c:pt>
                <c:pt idx="1230">
                  <c:v>10700</c:v>
                </c:pt>
                <c:pt idx="1231">
                  <c:v>10750</c:v>
                </c:pt>
                <c:pt idx="1232">
                  <c:v>10750</c:v>
                </c:pt>
                <c:pt idx="1233">
                  <c:v>10750</c:v>
                </c:pt>
                <c:pt idx="1234">
                  <c:v>11750</c:v>
                </c:pt>
                <c:pt idx="1235">
                  <c:v>11800</c:v>
                </c:pt>
                <c:pt idx="1236">
                  <c:v>11700</c:v>
                </c:pt>
                <c:pt idx="1237">
                  <c:v>11050</c:v>
                </c:pt>
                <c:pt idx="1238">
                  <c:v>10800</c:v>
                </c:pt>
                <c:pt idx="1239">
                  <c:v>10800</c:v>
                </c:pt>
                <c:pt idx="1240">
                  <c:v>10800</c:v>
                </c:pt>
                <c:pt idx="1241">
                  <c:v>10900</c:v>
                </c:pt>
                <c:pt idx="1242">
                  <c:v>10900</c:v>
                </c:pt>
                <c:pt idx="1243">
                  <c:v>11700</c:v>
                </c:pt>
                <c:pt idx="1244">
                  <c:v>10900</c:v>
                </c:pt>
                <c:pt idx="1245">
                  <c:v>11900</c:v>
                </c:pt>
                <c:pt idx="1246">
                  <c:v>11900</c:v>
                </c:pt>
                <c:pt idx="1247">
                  <c:v>11900</c:v>
                </c:pt>
                <c:pt idx="1248">
                  <c:v>10900</c:v>
                </c:pt>
                <c:pt idx="1249">
                  <c:v>10400</c:v>
                </c:pt>
                <c:pt idx="1250">
                  <c:v>10400</c:v>
                </c:pt>
                <c:pt idx="1251">
                  <c:v>10400</c:v>
                </c:pt>
                <c:pt idx="1252">
                  <c:v>10240</c:v>
                </c:pt>
                <c:pt idx="1253">
                  <c:v>10240</c:v>
                </c:pt>
                <c:pt idx="1254">
                  <c:v>10240</c:v>
                </c:pt>
                <c:pt idx="1255">
                  <c:v>11900</c:v>
                </c:pt>
                <c:pt idx="1256">
                  <c:v>11900</c:v>
                </c:pt>
                <c:pt idx="1257">
                  <c:v>11900</c:v>
                </c:pt>
                <c:pt idx="1258">
                  <c:v>12000</c:v>
                </c:pt>
                <c:pt idx="1259">
                  <c:v>13000</c:v>
                </c:pt>
                <c:pt idx="1260">
                  <c:v>13000</c:v>
                </c:pt>
                <c:pt idx="1261">
                  <c:v>13000</c:v>
                </c:pt>
                <c:pt idx="1262">
                  <c:v>12900</c:v>
                </c:pt>
                <c:pt idx="1263">
                  <c:v>12900</c:v>
                </c:pt>
                <c:pt idx="1264">
                  <c:v>12800</c:v>
                </c:pt>
                <c:pt idx="1265">
                  <c:v>12700</c:v>
                </c:pt>
                <c:pt idx="1266">
                  <c:v>12700</c:v>
                </c:pt>
                <c:pt idx="1267">
                  <c:v>12700</c:v>
                </c:pt>
                <c:pt idx="1268">
                  <c:v>12700</c:v>
                </c:pt>
                <c:pt idx="1269">
                  <c:v>11800</c:v>
                </c:pt>
                <c:pt idx="1270">
                  <c:v>11800</c:v>
                </c:pt>
                <c:pt idx="1271">
                  <c:v>13000</c:v>
                </c:pt>
                <c:pt idx="1272">
                  <c:v>13100</c:v>
                </c:pt>
                <c:pt idx="1273">
                  <c:v>13100</c:v>
                </c:pt>
                <c:pt idx="1274">
                  <c:v>13100</c:v>
                </c:pt>
                <c:pt idx="1275">
                  <c:v>13100</c:v>
                </c:pt>
                <c:pt idx="1276">
                  <c:v>13200</c:v>
                </c:pt>
                <c:pt idx="1277">
                  <c:v>13700</c:v>
                </c:pt>
                <c:pt idx="1278">
                  <c:v>13100</c:v>
                </c:pt>
                <c:pt idx="1279">
                  <c:v>13520</c:v>
                </c:pt>
                <c:pt idx="1280">
                  <c:v>13410</c:v>
                </c:pt>
                <c:pt idx="1281">
                  <c:v>13410</c:v>
                </c:pt>
                <c:pt idx="1282">
                  <c:v>13410</c:v>
                </c:pt>
                <c:pt idx="1283">
                  <c:v>14130</c:v>
                </c:pt>
                <c:pt idx="1284">
                  <c:v>14500</c:v>
                </c:pt>
                <c:pt idx="1285">
                  <c:v>14500</c:v>
                </c:pt>
                <c:pt idx="1286">
                  <c:v>14100</c:v>
                </c:pt>
                <c:pt idx="1287">
                  <c:v>14150</c:v>
                </c:pt>
                <c:pt idx="1288">
                  <c:v>14150</c:v>
                </c:pt>
                <c:pt idx="1289">
                  <c:v>14150</c:v>
                </c:pt>
                <c:pt idx="1290">
                  <c:v>13900</c:v>
                </c:pt>
                <c:pt idx="1291">
                  <c:v>14000</c:v>
                </c:pt>
                <c:pt idx="1292">
                  <c:v>14700</c:v>
                </c:pt>
                <c:pt idx="1293">
                  <c:v>14250</c:v>
                </c:pt>
                <c:pt idx="1294">
                  <c:v>14300</c:v>
                </c:pt>
                <c:pt idx="1295">
                  <c:v>14300</c:v>
                </c:pt>
                <c:pt idx="1296">
                  <c:v>14300</c:v>
                </c:pt>
                <c:pt idx="1297">
                  <c:v>13700</c:v>
                </c:pt>
                <c:pt idx="1298">
                  <c:v>14050</c:v>
                </c:pt>
                <c:pt idx="1299">
                  <c:v>13650</c:v>
                </c:pt>
                <c:pt idx="1300">
                  <c:v>13650</c:v>
                </c:pt>
                <c:pt idx="1301">
                  <c:v>13700</c:v>
                </c:pt>
                <c:pt idx="1302">
                  <c:v>13700</c:v>
                </c:pt>
                <c:pt idx="1303">
                  <c:v>13700</c:v>
                </c:pt>
                <c:pt idx="1304">
                  <c:v>13000</c:v>
                </c:pt>
                <c:pt idx="1305">
                  <c:v>13100</c:v>
                </c:pt>
                <c:pt idx="1306">
                  <c:v>13000</c:v>
                </c:pt>
                <c:pt idx="1307">
                  <c:v>13300</c:v>
                </c:pt>
                <c:pt idx="1308">
                  <c:v>10770</c:v>
                </c:pt>
                <c:pt idx="1309">
                  <c:v>10770</c:v>
                </c:pt>
                <c:pt idx="1310">
                  <c:v>10770</c:v>
                </c:pt>
                <c:pt idx="1311">
                  <c:v>11210</c:v>
                </c:pt>
                <c:pt idx="1312">
                  <c:v>10770</c:v>
                </c:pt>
                <c:pt idx="1313">
                  <c:v>11310</c:v>
                </c:pt>
                <c:pt idx="1314">
                  <c:v>6030</c:v>
                </c:pt>
                <c:pt idx="1315">
                  <c:v>8300</c:v>
                </c:pt>
                <c:pt idx="1316">
                  <c:v>8300</c:v>
                </c:pt>
                <c:pt idx="1317">
                  <c:v>8300</c:v>
                </c:pt>
                <c:pt idx="1318">
                  <c:v>9200</c:v>
                </c:pt>
                <c:pt idx="1319">
                  <c:v>9050</c:v>
                </c:pt>
                <c:pt idx="1320">
                  <c:v>9100</c:v>
                </c:pt>
                <c:pt idx="1321">
                  <c:v>8800</c:v>
                </c:pt>
                <c:pt idx="1322">
                  <c:v>8850</c:v>
                </c:pt>
                <c:pt idx="1323">
                  <c:v>8850</c:v>
                </c:pt>
                <c:pt idx="1324">
                  <c:v>8850</c:v>
                </c:pt>
                <c:pt idx="1325">
                  <c:v>8250</c:v>
                </c:pt>
                <c:pt idx="1326">
                  <c:v>8400</c:v>
                </c:pt>
                <c:pt idx="1327">
                  <c:v>8250</c:v>
                </c:pt>
                <c:pt idx="1328">
                  <c:v>250</c:v>
                </c:pt>
                <c:pt idx="1329">
                  <c:v>8600</c:v>
                </c:pt>
                <c:pt idx="1330">
                  <c:v>8600</c:v>
                </c:pt>
                <c:pt idx="1331">
                  <c:v>8600</c:v>
                </c:pt>
                <c:pt idx="1332">
                  <c:v>8600</c:v>
                </c:pt>
                <c:pt idx="1333">
                  <c:v>8650</c:v>
                </c:pt>
                <c:pt idx="1334">
                  <c:v>3600</c:v>
                </c:pt>
                <c:pt idx="1335">
                  <c:v>4150</c:v>
                </c:pt>
                <c:pt idx="1336">
                  <c:v>3000</c:v>
                </c:pt>
                <c:pt idx="1337">
                  <c:v>3000</c:v>
                </c:pt>
                <c:pt idx="1338">
                  <c:v>3000</c:v>
                </c:pt>
                <c:pt idx="1339">
                  <c:v>3300</c:v>
                </c:pt>
                <c:pt idx="1340">
                  <c:v>3900</c:v>
                </c:pt>
                <c:pt idx="1341">
                  <c:v>3900</c:v>
                </c:pt>
                <c:pt idx="1342">
                  <c:v>2800</c:v>
                </c:pt>
                <c:pt idx="1343">
                  <c:v>2800</c:v>
                </c:pt>
                <c:pt idx="1344">
                  <c:v>2800</c:v>
                </c:pt>
                <c:pt idx="1345">
                  <c:v>2800</c:v>
                </c:pt>
                <c:pt idx="1346">
                  <c:v>3300</c:v>
                </c:pt>
                <c:pt idx="1347">
                  <c:v>4300</c:v>
                </c:pt>
                <c:pt idx="1348">
                  <c:v>4300</c:v>
                </c:pt>
                <c:pt idx="1349">
                  <c:v>6100</c:v>
                </c:pt>
                <c:pt idx="1350">
                  <c:v>7050</c:v>
                </c:pt>
                <c:pt idx="1351">
                  <c:v>7050</c:v>
                </c:pt>
                <c:pt idx="1352">
                  <c:v>7050</c:v>
                </c:pt>
                <c:pt idx="1353">
                  <c:v>50</c:v>
                </c:pt>
                <c:pt idx="1354">
                  <c:v>50</c:v>
                </c:pt>
                <c:pt idx="1355">
                  <c:v>30</c:v>
                </c:pt>
                <c:pt idx="1356">
                  <c:v>5020</c:v>
                </c:pt>
                <c:pt idx="1357">
                  <c:v>5330</c:v>
                </c:pt>
                <c:pt idx="1358">
                  <c:v>5330</c:v>
                </c:pt>
                <c:pt idx="1359">
                  <c:v>5330</c:v>
                </c:pt>
                <c:pt idx="1360">
                  <c:v>5250</c:v>
                </c:pt>
                <c:pt idx="1361">
                  <c:v>5110</c:v>
                </c:pt>
                <c:pt idx="1362">
                  <c:v>5150</c:v>
                </c:pt>
                <c:pt idx="1363">
                  <c:v>5150</c:v>
                </c:pt>
                <c:pt idx="1364">
                  <c:v>5100</c:v>
                </c:pt>
                <c:pt idx="1365">
                  <c:v>5100</c:v>
                </c:pt>
                <c:pt idx="1366">
                  <c:v>5100</c:v>
                </c:pt>
                <c:pt idx="1367">
                  <c:v>3350</c:v>
                </c:pt>
                <c:pt idx="1368">
                  <c:v>4020</c:v>
                </c:pt>
                <c:pt idx="1369">
                  <c:v>3850</c:v>
                </c:pt>
                <c:pt idx="1370">
                  <c:v>3670</c:v>
                </c:pt>
                <c:pt idx="1371">
                  <c:v>4210</c:v>
                </c:pt>
                <c:pt idx="1372">
                  <c:v>4210</c:v>
                </c:pt>
                <c:pt idx="1373">
                  <c:v>4210</c:v>
                </c:pt>
                <c:pt idx="1374">
                  <c:v>3010</c:v>
                </c:pt>
                <c:pt idx="1375">
                  <c:v>3010</c:v>
                </c:pt>
                <c:pt idx="1376">
                  <c:v>3500</c:v>
                </c:pt>
                <c:pt idx="1377">
                  <c:v>5610</c:v>
                </c:pt>
                <c:pt idx="1378">
                  <c:v>5110</c:v>
                </c:pt>
                <c:pt idx="1379">
                  <c:v>5110</c:v>
                </c:pt>
                <c:pt idx="1380">
                  <c:v>5110</c:v>
                </c:pt>
                <c:pt idx="1381">
                  <c:v>4810</c:v>
                </c:pt>
                <c:pt idx="1382">
                  <c:v>4450</c:v>
                </c:pt>
                <c:pt idx="1383">
                  <c:v>5100</c:v>
                </c:pt>
                <c:pt idx="1384">
                  <c:v>4510</c:v>
                </c:pt>
                <c:pt idx="1385">
                  <c:v>4510</c:v>
                </c:pt>
                <c:pt idx="1386">
                  <c:v>4510</c:v>
                </c:pt>
                <c:pt idx="1387">
                  <c:v>4510</c:v>
                </c:pt>
                <c:pt idx="1388">
                  <c:v>4510</c:v>
                </c:pt>
                <c:pt idx="1389">
                  <c:v>4110</c:v>
                </c:pt>
                <c:pt idx="1390">
                  <c:v>4410</c:v>
                </c:pt>
                <c:pt idx="1391">
                  <c:v>3500</c:v>
                </c:pt>
                <c:pt idx="1392">
                  <c:v>3850</c:v>
                </c:pt>
                <c:pt idx="1393">
                  <c:v>3850</c:v>
                </c:pt>
                <c:pt idx="1394">
                  <c:v>3850</c:v>
                </c:pt>
                <c:pt idx="1395">
                  <c:v>3290</c:v>
                </c:pt>
                <c:pt idx="1396">
                  <c:v>5340</c:v>
                </c:pt>
                <c:pt idx="1397">
                  <c:v>5290</c:v>
                </c:pt>
                <c:pt idx="1398">
                  <c:v>5050</c:v>
                </c:pt>
                <c:pt idx="1399">
                  <c:v>5070</c:v>
                </c:pt>
                <c:pt idx="1400">
                  <c:v>5070</c:v>
                </c:pt>
                <c:pt idx="1401">
                  <c:v>5070</c:v>
                </c:pt>
                <c:pt idx="1402">
                  <c:v>5050</c:v>
                </c:pt>
                <c:pt idx="1403">
                  <c:v>5070</c:v>
                </c:pt>
                <c:pt idx="1404">
                  <c:v>5055</c:v>
                </c:pt>
                <c:pt idx="1405">
                  <c:v>4005</c:v>
                </c:pt>
                <c:pt idx="1406">
                  <c:v>4155</c:v>
                </c:pt>
                <c:pt idx="1407">
                  <c:v>4155</c:v>
                </c:pt>
                <c:pt idx="1408">
                  <c:v>4155</c:v>
                </c:pt>
                <c:pt idx="1409">
                  <c:v>4005</c:v>
                </c:pt>
                <c:pt idx="1410">
                  <c:v>5000</c:v>
                </c:pt>
                <c:pt idx="1411">
                  <c:v>5000</c:v>
                </c:pt>
                <c:pt idx="1412">
                  <c:v>5000</c:v>
                </c:pt>
                <c:pt idx="1413">
                  <c:v>5900</c:v>
                </c:pt>
                <c:pt idx="1414">
                  <c:v>5900</c:v>
                </c:pt>
                <c:pt idx="1415">
                  <c:v>5900</c:v>
                </c:pt>
                <c:pt idx="1416">
                  <c:v>6750</c:v>
                </c:pt>
                <c:pt idx="1417">
                  <c:v>6070</c:v>
                </c:pt>
                <c:pt idx="1418">
                  <c:v>6050</c:v>
                </c:pt>
                <c:pt idx="1419">
                  <c:v>5200</c:v>
                </c:pt>
                <c:pt idx="1420">
                  <c:v>5400</c:v>
                </c:pt>
                <c:pt idx="1421">
                  <c:v>5400</c:v>
                </c:pt>
                <c:pt idx="1422">
                  <c:v>5400</c:v>
                </c:pt>
                <c:pt idx="1423">
                  <c:v>5150</c:v>
                </c:pt>
                <c:pt idx="1424">
                  <c:v>5140</c:v>
                </c:pt>
                <c:pt idx="1425">
                  <c:v>5085</c:v>
                </c:pt>
                <c:pt idx="1426">
                  <c:v>6140</c:v>
                </c:pt>
                <c:pt idx="1427">
                  <c:v>6140</c:v>
                </c:pt>
                <c:pt idx="1428">
                  <c:v>6140</c:v>
                </c:pt>
                <c:pt idx="1429">
                  <c:v>6140</c:v>
                </c:pt>
                <c:pt idx="1430">
                  <c:v>240</c:v>
                </c:pt>
                <c:pt idx="1431">
                  <c:v>265</c:v>
                </c:pt>
                <c:pt idx="1432">
                  <c:v>9265</c:v>
                </c:pt>
                <c:pt idx="1433">
                  <c:v>3145</c:v>
                </c:pt>
                <c:pt idx="1434">
                  <c:v>125</c:v>
                </c:pt>
                <c:pt idx="1435">
                  <c:v>125</c:v>
                </c:pt>
                <c:pt idx="1436">
                  <c:v>125</c:v>
                </c:pt>
                <c:pt idx="1437">
                  <c:v>755</c:v>
                </c:pt>
                <c:pt idx="1438">
                  <c:v>755</c:v>
                </c:pt>
                <c:pt idx="1439">
                  <c:v>2630</c:v>
                </c:pt>
                <c:pt idx="1440">
                  <c:v>2200</c:v>
                </c:pt>
                <c:pt idx="1441">
                  <c:v>2200</c:v>
                </c:pt>
                <c:pt idx="1442">
                  <c:v>2200</c:v>
                </c:pt>
                <c:pt idx="1443">
                  <c:v>2200</c:v>
                </c:pt>
                <c:pt idx="1444">
                  <c:v>130</c:v>
                </c:pt>
                <c:pt idx="1445">
                  <c:v>130</c:v>
                </c:pt>
                <c:pt idx="1446">
                  <c:v>130</c:v>
                </c:pt>
                <c:pt idx="1447">
                  <c:v>0</c:v>
                </c:pt>
                <c:pt idx="1448">
                  <c:v>410</c:v>
                </c:pt>
                <c:pt idx="1449">
                  <c:v>410</c:v>
                </c:pt>
                <c:pt idx="1450">
                  <c:v>410</c:v>
                </c:pt>
                <c:pt idx="1451">
                  <c:v>1910</c:v>
                </c:pt>
                <c:pt idx="1452">
                  <c:v>1910</c:v>
                </c:pt>
                <c:pt idx="1453">
                  <c:v>1500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4500</c:v>
                </c:pt>
                <c:pt idx="1469">
                  <c:v>4750</c:v>
                </c:pt>
                <c:pt idx="1470">
                  <c:v>4750</c:v>
                </c:pt>
                <c:pt idx="1471">
                  <c:v>4750</c:v>
                </c:pt>
                <c:pt idx="1472">
                  <c:v>4750</c:v>
                </c:pt>
                <c:pt idx="1473">
                  <c:v>250</c:v>
                </c:pt>
                <c:pt idx="1474">
                  <c:v>0</c:v>
                </c:pt>
                <c:pt idx="1475">
                  <c:v>3100</c:v>
                </c:pt>
                <c:pt idx="1476">
                  <c:v>3100</c:v>
                </c:pt>
                <c:pt idx="1477">
                  <c:v>3100</c:v>
                </c:pt>
                <c:pt idx="1478">
                  <c:v>3100</c:v>
                </c:pt>
                <c:pt idx="1479">
                  <c:v>3100</c:v>
                </c:pt>
                <c:pt idx="1480">
                  <c:v>2000</c:v>
                </c:pt>
                <c:pt idx="1481">
                  <c:v>2300</c:v>
                </c:pt>
                <c:pt idx="1482">
                  <c:v>2300</c:v>
                </c:pt>
                <c:pt idx="1483">
                  <c:v>300</c:v>
                </c:pt>
                <c:pt idx="1484">
                  <c:v>300</c:v>
                </c:pt>
                <c:pt idx="1485">
                  <c:v>300</c:v>
                </c:pt>
                <c:pt idx="1486">
                  <c:v>3000</c:v>
                </c:pt>
                <c:pt idx="1487">
                  <c:v>3000</c:v>
                </c:pt>
                <c:pt idx="1488">
                  <c:v>3300</c:v>
                </c:pt>
                <c:pt idx="1489">
                  <c:v>300</c:v>
                </c:pt>
                <c:pt idx="1490">
                  <c:v>2300</c:v>
                </c:pt>
                <c:pt idx="1491">
                  <c:v>2300</c:v>
                </c:pt>
                <c:pt idx="1492">
                  <c:v>2300</c:v>
                </c:pt>
                <c:pt idx="1493">
                  <c:v>3500</c:v>
                </c:pt>
                <c:pt idx="1494">
                  <c:v>3500</c:v>
                </c:pt>
                <c:pt idx="1495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E2-43C2-A9E5-4CA04C7CD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106192"/>
        <c:axId val="289753600"/>
      </c:areaChart>
      <c:dateAx>
        <c:axId val="872106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9753600"/>
        <c:crosses val="autoZero"/>
        <c:auto val="1"/>
        <c:lblOffset val="100"/>
        <c:baseTimeUnit val="days"/>
      </c:dateAx>
      <c:valAx>
        <c:axId val="289753600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210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62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2000" b="0" i="0" u="none" strike="noStrike" kern="1200" spc="0" baseline="0" dirty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Évolution de la participation des banques au niveau du Marché des Valeurs du Trésor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62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BASE!$R$1</c:f>
              <c:strCache>
                <c:ptCount val="1"/>
                <c:pt idx="0">
                  <c:v>BT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BASE!$A$2:$A$1496</c:f>
              <c:numCache>
                <c:formatCode>m/d/yyyy</c:formatCode>
                <c:ptCount val="1495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</c:numCache>
            </c:numRef>
          </c:cat>
          <c:val>
            <c:numRef>
              <c:f>BASE!$R$2:$R$1496</c:f>
              <c:numCache>
                <c:formatCode>0%</c:formatCode>
                <c:ptCount val="1495"/>
                <c:pt idx="0">
                  <c:v>0.20615879828326181</c:v>
                </c:pt>
                <c:pt idx="1">
                  <c:v>0.20615879828326181</c:v>
                </c:pt>
                <c:pt idx="2">
                  <c:v>0.20615879828326181</c:v>
                </c:pt>
                <c:pt idx="3">
                  <c:v>0.20615879828326181</c:v>
                </c:pt>
                <c:pt idx="4">
                  <c:v>0.2083947939262473</c:v>
                </c:pt>
                <c:pt idx="5">
                  <c:v>0.2083947939262473</c:v>
                </c:pt>
                <c:pt idx="6">
                  <c:v>0.2083947939262473</c:v>
                </c:pt>
                <c:pt idx="7">
                  <c:v>0.2083947939262473</c:v>
                </c:pt>
                <c:pt idx="8">
                  <c:v>0.2083947939262473</c:v>
                </c:pt>
                <c:pt idx="9">
                  <c:v>0.2083947939262473</c:v>
                </c:pt>
                <c:pt idx="10">
                  <c:v>0.2083947939262473</c:v>
                </c:pt>
                <c:pt idx="11">
                  <c:v>0.20397027600849257</c:v>
                </c:pt>
                <c:pt idx="12">
                  <c:v>0.20397027600849257</c:v>
                </c:pt>
                <c:pt idx="13">
                  <c:v>0.20397027600849257</c:v>
                </c:pt>
                <c:pt idx="14">
                  <c:v>0.20397027600849257</c:v>
                </c:pt>
                <c:pt idx="15">
                  <c:v>0.20397027600849257</c:v>
                </c:pt>
                <c:pt idx="16">
                  <c:v>0.20397027600849257</c:v>
                </c:pt>
                <c:pt idx="17">
                  <c:v>0.20397027600849257</c:v>
                </c:pt>
                <c:pt idx="18">
                  <c:v>0.19981281198003328</c:v>
                </c:pt>
                <c:pt idx="19">
                  <c:v>0.20979617304492512</c:v>
                </c:pt>
                <c:pt idx="20">
                  <c:v>0.20979617304492512</c:v>
                </c:pt>
                <c:pt idx="21">
                  <c:v>0.20979617304492512</c:v>
                </c:pt>
                <c:pt idx="22">
                  <c:v>0.20979617304492512</c:v>
                </c:pt>
                <c:pt idx="23">
                  <c:v>0.20979617304492512</c:v>
                </c:pt>
                <c:pt idx="24">
                  <c:v>0.20979617304492512</c:v>
                </c:pt>
                <c:pt idx="25">
                  <c:v>0.24259259259259261</c:v>
                </c:pt>
                <c:pt idx="26">
                  <c:v>0.21933621933621933</c:v>
                </c:pt>
                <c:pt idx="27">
                  <c:v>0.21933621933621933</c:v>
                </c:pt>
                <c:pt idx="28">
                  <c:v>0.21933621933621933</c:v>
                </c:pt>
                <c:pt idx="29">
                  <c:v>0.21933621933621933</c:v>
                </c:pt>
                <c:pt idx="30">
                  <c:v>0.21933621933621933</c:v>
                </c:pt>
                <c:pt idx="31">
                  <c:v>0.21933621933621933</c:v>
                </c:pt>
                <c:pt idx="32">
                  <c:v>0.21928348160615532</c:v>
                </c:pt>
                <c:pt idx="33">
                  <c:v>0.21952392402019716</c:v>
                </c:pt>
                <c:pt idx="34">
                  <c:v>0.21952392402019716</c:v>
                </c:pt>
                <c:pt idx="35">
                  <c:v>0.21952392402019716</c:v>
                </c:pt>
                <c:pt idx="36">
                  <c:v>0.21952392402019716</c:v>
                </c:pt>
                <c:pt idx="37">
                  <c:v>0.21952392402019716</c:v>
                </c:pt>
                <c:pt idx="38">
                  <c:v>0.21952392402019716</c:v>
                </c:pt>
                <c:pt idx="39">
                  <c:v>0.21041714680802029</c:v>
                </c:pt>
                <c:pt idx="40">
                  <c:v>0.21041714680802029</c:v>
                </c:pt>
                <c:pt idx="41">
                  <c:v>0.21041714680802029</c:v>
                </c:pt>
                <c:pt idx="42">
                  <c:v>0.21041714680802029</c:v>
                </c:pt>
                <c:pt idx="43">
                  <c:v>0.21041714680802029</c:v>
                </c:pt>
                <c:pt idx="44">
                  <c:v>0.21041714680802029</c:v>
                </c:pt>
                <c:pt idx="45">
                  <c:v>0.21041714680802029</c:v>
                </c:pt>
                <c:pt idx="46">
                  <c:v>0.19680965725371846</c:v>
                </c:pt>
                <c:pt idx="47">
                  <c:v>0.19680965725371846</c:v>
                </c:pt>
                <c:pt idx="48">
                  <c:v>0.19680965725371846</c:v>
                </c:pt>
                <c:pt idx="49">
                  <c:v>0.19680965725371846</c:v>
                </c:pt>
                <c:pt idx="50">
                  <c:v>0.19680965725371846</c:v>
                </c:pt>
                <c:pt idx="51">
                  <c:v>0.19680965725371846</c:v>
                </c:pt>
                <c:pt idx="52">
                  <c:v>0.19680965725371846</c:v>
                </c:pt>
                <c:pt idx="53">
                  <c:v>0.19680965725371846</c:v>
                </c:pt>
                <c:pt idx="54">
                  <c:v>0.19680965725371846</c:v>
                </c:pt>
                <c:pt idx="55">
                  <c:v>0.19680965725371846</c:v>
                </c:pt>
                <c:pt idx="56">
                  <c:v>0.19680965725371846</c:v>
                </c:pt>
                <c:pt idx="57">
                  <c:v>0.19680965725371846</c:v>
                </c:pt>
                <c:pt idx="58">
                  <c:v>0.19680965725371846</c:v>
                </c:pt>
                <c:pt idx="59">
                  <c:v>0.19680965725371846</c:v>
                </c:pt>
                <c:pt idx="60">
                  <c:v>0.19184702668627862</c:v>
                </c:pt>
                <c:pt idx="61">
                  <c:v>0.21706240806892205</c:v>
                </c:pt>
                <c:pt idx="62">
                  <c:v>0.21706240806892205</c:v>
                </c:pt>
                <c:pt idx="63">
                  <c:v>0.21706240806892205</c:v>
                </c:pt>
                <c:pt idx="64">
                  <c:v>0.21706240806892205</c:v>
                </c:pt>
                <c:pt idx="65">
                  <c:v>0.21706240806892205</c:v>
                </c:pt>
                <c:pt idx="66">
                  <c:v>0.21706240806892205</c:v>
                </c:pt>
                <c:pt idx="67">
                  <c:v>0.21706240806892205</c:v>
                </c:pt>
                <c:pt idx="68">
                  <c:v>0.21706240806892205</c:v>
                </c:pt>
                <c:pt idx="69">
                  <c:v>0.21706240806892205</c:v>
                </c:pt>
                <c:pt idx="70">
                  <c:v>0.21706240806892205</c:v>
                </c:pt>
                <c:pt idx="71">
                  <c:v>0.21706240806892205</c:v>
                </c:pt>
                <c:pt idx="72">
                  <c:v>0.21706240806892205</c:v>
                </c:pt>
                <c:pt idx="73">
                  <c:v>0.21706240806892205</c:v>
                </c:pt>
                <c:pt idx="74">
                  <c:v>0.21706240806892205</c:v>
                </c:pt>
                <c:pt idx="75">
                  <c:v>0.21706240806892205</c:v>
                </c:pt>
                <c:pt idx="76">
                  <c:v>0.21706240806892205</c:v>
                </c:pt>
                <c:pt idx="77">
                  <c:v>0.21706240806892205</c:v>
                </c:pt>
                <c:pt idx="78">
                  <c:v>0.21706240806892205</c:v>
                </c:pt>
                <c:pt idx="79">
                  <c:v>0.21706240806892205</c:v>
                </c:pt>
                <c:pt idx="80">
                  <c:v>0.21706240806892205</c:v>
                </c:pt>
                <c:pt idx="81">
                  <c:v>0.21710802858343842</c:v>
                </c:pt>
                <c:pt idx="82">
                  <c:v>0.21689785624211855</c:v>
                </c:pt>
                <c:pt idx="83">
                  <c:v>0.21689785624211855</c:v>
                </c:pt>
                <c:pt idx="84">
                  <c:v>0.21689785624211855</c:v>
                </c:pt>
                <c:pt idx="85">
                  <c:v>0.21689785624211855</c:v>
                </c:pt>
                <c:pt idx="86">
                  <c:v>0.21689785624211855</c:v>
                </c:pt>
                <c:pt idx="87">
                  <c:v>0.21689785624211855</c:v>
                </c:pt>
                <c:pt idx="88">
                  <c:v>0.21243310004116919</c:v>
                </c:pt>
                <c:pt idx="89">
                  <c:v>0.23301770275833678</c:v>
                </c:pt>
                <c:pt idx="90">
                  <c:v>0.23301770275833678</c:v>
                </c:pt>
                <c:pt idx="91">
                  <c:v>0.23301770275833678</c:v>
                </c:pt>
                <c:pt idx="92">
                  <c:v>0.23301770275833678</c:v>
                </c:pt>
                <c:pt idx="93">
                  <c:v>0.23301770275833678</c:v>
                </c:pt>
                <c:pt idx="94">
                  <c:v>0.23301770275833678</c:v>
                </c:pt>
                <c:pt idx="95">
                  <c:v>0.23301770275833678</c:v>
                </c:pt>
                <c:pt idx="96">
                  <c:v>0.23301770275833678</c:v>
                </c:pt>
                <c:pt idx="97">
                  <c:v>0.23301770275833678</c:v>
                </c:pt>
                <c:pt idx="98">
                  <c:v>0.23301770275833678</c:v>
                </c:pt>
                <c:pt idx="99">
                  <c:v>0.23301770275833678</c:v>
                </c:pt>
                <c:pt idx="100">
                  <c:v>0.23301770275833678</c:v>
                </c:pt>
                <c:pt idx="101">
                  <c:v>0.23301770275833678</c:v>
                </c:pt>
                <c:pt idx="102">
                  <c:v>0.23301770275833678</c:v>
                </c:pt>
                <c:pt idx="103">
                  <c:v>0.23301770275833678</c:v>
                </c:pt>
                <c:pt idx="104">
                  <c:v>0.23301770275833678</c:v>
                </c:pt>
                <c:pt idx="105">
                  <c:v>0.23301770275833678</c:v>
                </c:pt>
                <c:pt idx="106">
                  <c:v>0.23301770275833678</c:v>
                </c:pt>
                <c:pt idx="107">
                  <c:v>0.23301770275833678</c:v>
                </c:pt>
                <c:pt idx="108">
                  <c:v>0.23301770275833678</c:v>
                </c:pt>
                <c:pt idx="109">
                  <c:v>0.23301770275833678</c:v>
                </c:pt>
                <c:pt idx="110">
                  <c:v>0.23301770275833678</c:v>
                </c:pt>
                <c:pt idx="111">
                  <c:v>0.23301770275833678</c:v>
                </c:pt>
                <c:pt idx="112">
                  <c:v>0.23301770275833678</c:v>
                </c:pt>
                <c:pt idx="113">
                  <c:v>0.23301770275833678</c:v>
                </c:pt>
                <c:pt idx="114">
                  <c:v>0.23301770275833678</c:v>
                </c:pt>
                <c:pt idx="115">
                  <c:v>0.23301770275833678</c:v>
                </c:pt>
                <c:pt idx="116">
                  <c:v>0.23301770275833678</c:v>
                </c:pt>
                <c:pt idx="117">
                  <c:v>0.23301770275833678</c:v>
                </c:pt>
                <c:pt idx="118">
                  <c:v>0.23301770275833678</c:v>
                </c:pt>
                <c:pt idx="119">
                  <c:v>0.23301770275833678</c:v>
                </c:pt>
                <c:pt idx="120">
                  <c:v>0.23301770275833678</c:v>
                </c:pt>
                <c:pt idx="121">
                  <c:v>0.23301770275833678</c:v>
                </c:pt>
                <c:pt idx="122">
                  <c:v>0.23301770275833678</c:v>
                </c:pt>
                <c:pt idx="123">
                  <c:v>0.23301770275833678</c:v>
                </c:pt>
                <c:pt idx="124">
                  <c:v>0.23301770275833678</c:v>
                </c:pt>
                <c:pt idx="125">
                  <c:v>0.23301770275833678</c:v>
                </c:pt>
                <c:pt idx="126">
                  <c:v>0.23301770275833678</c:v>
                </c:pt>
                <c:pt idx="127">
                  <c:v>0.23301770275833678</c:v>
                </c:pt>
                <c:pt idx="128">
                  <c:v>0.23301770275833678</c:v>
                </c:pt>
                <c:pt idx="129">
                  <c:v>0.23301770275833678</c:v>
                </c:pt>
                <c:pt idx="130">
                  <c:v>0.23301770275833678</c:v>
                </c:pt>
                <c:pt idx="131">
                  <c:v>0.23301770275833678</c:v>
                </c:pt>
                <c:pt idx="132">
                  <c:v>0.23301770275833678</c:v>
                </c:pt>
                <c:pt idx="133">
                  <c:v>0.23301770275833678</c:v>
                </c:pt>
                <c:pt idx="134">
                  <c:v>0.23301770275833678</c:v>
                </c:pt>
                <c:pt idx="135">
                  <c:v>0.23301770275833678</c:v>
                </c:pt>
                <c:pt idx="136">
                  <c:v>0.23301770275833678</c:v>
                </c:pt>
                <c:pt idx="137">
                  <c:v>0.25449640287769787</c:v>
                </c:pt>
                <c:pt idx="138">
                  <c:v>0.25449640287769787</c:v>
                </c:pt>
                <c:pt idx="139">
                  <c:v>0.25449640287769787</c:v>
                </c:pt>
                <c:pt idx="140">
                  <c:v>0.25449640287769787</c:v>
                </c:pt>
                <c:pt idx="141">
                  <c:v>0.25449640287769787</c:v>
                </c:pt>
                <c:pt idx="142">
                  <c:v>0.25449640287769787</c:v>
                </c:pt>
                <c:pt idx="143">
                  <c:v>0.25449640287769787</c:v>
                </c:pt>
                <c:pt idx="144">
                  <c:v>0.26034958601655933</c:v>
                </c:pt>
                <c:pt idx="145">
                  <c:v>0.26034958601655933</c:v>
                </c:pt>
                <c:pt idx="146">
                  <c:v>0.26034958601655933</c:v>
                </c:pt>
                <c:pt idx="147">
                  <c:v>0.26034958601655933</c:v>
                </c:pt>
                <c:pt idx="148">
                  <c:v>0.26034958601655933</c:v>
                </c:pt>
                <c:pt idx="149">
                  <c:v>0.26034958601655933</c:v>
                </c:pt>
                <c:pt idx="150">
                  <c:v>0.26034958601655933</c:v>
                </c:pt>
                <c:pt idx="151">
                  <c:v>0.26034958601655933</c:v>
                </c:pt>
                <c:pt idx="152">
                  <c:v>0.26034958601655933</c:v>
                </c:pt>
                <c:pt idx="153">
                  <c:v>0.26034958601655933</c:v>
                </c:pt>
                <c:pt idx="154">
                  <c:v>0.26034958601655933</c:v>
                </c:pt>
                <c:pt idx="155">
                  <c:v>0.26034958601655933</c:v>
                </c:pt>
                <c:pt idx="156">
                  <c:v>0.26034958601655933</c:v>
                </c:pt>
                <c:pt idx="157">
                  <c:v>0.26034958601655933</c:v>
                </c:pt>
                <c:pt idx="158">
                  <c:v>0.2571558382553385</c:v>
                </c:pt>
                <c:pt idx="159">
                  <c:v>0.21172194457064972</c:v>
                </c:pt>
                <c:pt idx="160">
                  <c:v>0.21172194457064972</c:v>
                </c:pt>
                <c:pt idx="161">
                  <c:v>0.21172194457064972</c:v>
                </c:pt>
                <c:pt idx="162">
                  <c:v>0.21172194457064972</c:v>
                </c:pt>
                <c:pt idx="163">
                  <c:v>0.21172194457064972</c:v>
                </c:pt>
                <c:pt idx="164">
                  <c:v>0.21172194457064972</c:v>
                </c:pt>
                <c:pt idx="165">
                  <c:v>0.21172194457064972</c:v>
                </c:pt>
                <c:pt idx="166">
                  <c:v>0.21172194457064972</c:v>
                </c:pt>
                <c:pt idx="167">
                  <c:v>0.21172194457064972</c:v>
                </c:pt>
                <c:pt idx="168">
                  <c:v>0.21172194457064972</c:v>
                </c:pt>
                <c:pt idx="169">
                  <c:v>0.21172194457064972</c:v>
                </c:pt>
                <c:pt idx="170">
                  <c:v>0.21172194457064972</c:v>
                </c:pt>
                <c:pt idx="171">
                  <c:v>0.21172194457064972</c:v>
                </c:pt>
                <c:pt idx="172">
                  <c:v>0.21172194457064972</c:v>
                </c:pt>
                <c:pt idx="173">
                  <c:v>0.16628805088596094</c:v>
                </c:pt>
                <c:pt idx="174">
                  <c:v>0.16628805088596094</c:v>
                </c:pt>
                <c:pt idx="175">
                  <c:v>0.16628805088596094</c:v>
                </c:pt>
                <c:pt idx="176">
                  <c:v>0.16628805088596094</c:v>
                </c:pt>
                <c:pt idx="177">
                  <c:v>0.16628805088596094</c:v>
                </c:pt>
                <c:pt idx="178">
                  <c:v>0.16628805088596094</c:v>
                </c:pt>
                <c:pt idx="179">
                  <c:v>0.16628805088596094</c:v>
                </c:pt>
                <c:pt idx="180">
                  <c:v>0.21172194457064972</c:v>
                </c:pt>
                <c:pt idx="181">
                  <c:v>0.21172194457064972</c:v>
                </c:pt>
                <c:pt idx="182">
                  <c:v>0.21172194457064972</c:v>
                </c:pt>
                <c:pt idx="183">
                  <c:v>0.21172194457064972</c:v>
                </c:pt>
                <c:pt idx="184">
                  <c:v>0.21172194457064972</c:v>
                </c:pt>
                <c:pt idx="185">
                  <c:v>0.21172194457064972</c:v>
                </c:pt>
                <c:pt idx="186">
                  <c:v>0.21172194457064972</c:v>
                </c:pt>
                <c:pt idx="187">
                  <c:v>0.21194911403907316</c:v>
                </c:pt>
                <c:pt idx="188">
                  <c:v>0.21194911403907316</c:v>
                </c:pt>
                <c:pt idx="189">
                  <c:v>0.21194911403907316</c:v>
                </c:pt>
                <c:pt idx="190">
                  <c:v>0.21194911403907316</c:v>
                </c:pt>
                <c:pt idx="191">
                  <c:v>0.21194911403907316</c:v>
                </c:pt>
                <c:pt idx="192">
                  <c:v>0.21194911403907316</c:v>
                </c:pt>
                <c:pt idx="193">
                  <c:v>0.21194911403907316</c:v>
                </c:pt>
                <c:pt idx="194">
                  <c:v>0.21217628350749659</c:v>
                </c:pt>
                <c:pt idx="195">
                  <c:v>0.21217628350749659</c:v>
                </c:pt>
                <c:pt idx="196">
                  <c:v>0.21217628350749659</c:v>
                </c:pt>
                <c:pt idx="197">
                  <c:v>0.21217628350749659</c:v>
                </c:pt>
                <c:pt idx="198">
                  <c:v>0.21217628350749659</c:v>
                </c:pt>
                <c:pt idx="199">
                  <c:v>0.21217628350749659</c:v>
                </c:pt>
                <c:pt idx="200">
                  <c:v>0.21217628350749659</c:v>
                </c:pt>
                <c:pt idx="201">
                  <c:v>0.16628805088596094</c:v>
                </c:pt>
                <c:pt idx="202">
                  <c:v>0.16628805088596094</c:v>
                </c:pt>
                <c:pt idx="203">
                  <c:v>0.16628805088596094</c:v>
                </c:pt>
                <c:pt idx="204">
                  <c:v>0.16628805088596094</c:v>
                </c:pt>
                <c:pt idx="205">
                  <c:v>0.16628805088596094</c:v>
                </c:pt>
                <c:pt idx="206">
                  <c:v>0.16628805088596094</c:v>
                </c:pt>
                <c:pt idx="207">
                  <c:v>0.19880499728408474</c:v>
                </c:pt>
                <c:pt idx="208">
                  <c:v>0.18250950570342206</c:v>
                </c:pt>
                <c:pt idx="209">
                  <c:v>0.18250950570342206</c:v>
                </c:pt>
                <c:pt idx="210">
                  <c:v>0.18250950570342206</c:v>
                </c:pt>
                <c:pt idx="211">
                  <c:v>0.18250950570342206</c:v>
                </c:pt>
                <c:pt idx="212">
                  <c:v>0.18250950570342206</c:v>
                </c:pt>
                <c:pt idx="213">
                  <c:v>0.18250950570342206</c:v>
                </c:pt>
                <c:pt idx="214">
                  <c:v>0.18385772913816689</c:v>
                </c:pt>
                <c:pt idx="215">
                  <c:v>0.15595075239398085</c:v>
                </c:pt>
                <c:pt idx="216">
                  <c:v>0.15595075239398085</c:v>
                </c:pt>
                <c:pt idx="217">
                  <c:v>0.15595075239398085</c:v>
                </c:pt>
                <c:pt idx="218">
                  <c:v>0.15595075239398085</c:v>
                </c:pt>
                <c:pt idx="219">
                  <c:v>0.15595075239398085</c:v>
                </c:pt>
                <c:pt idx="220">
                  <c:v>0.15595075239398085</c:v>
                </c:pt>
                <c:pt idx="221">
                  <c:v>0.15595075239398085</c:v>
                </c:pt>
                <c:pt idx="222">
                  <c:v>0.15595075239398085</c:v>
                </c:pt>
                <c:pt idx="223">
                  <c:v>0.15595075239398085</c:v>
                </c:pt>
                <c:pt idx="224">
                  <c:v>0.15595075239398085</c:v>
                </c:pt>
                <c:pt idx="225">
                  <c:v>0.15595075239398085</c:v>
                </c:pt>
                <c:pt idx="226">
                  <c:v>0.15595075239398085</c:v>
                </c:pt>
                <c:pt idx="227">
                  <c:v>0.15595075239398085</c:v>
                </c:pt>
                <c:pt idx="228">
                  <c:v>0.15595075239398085</c:v>
                </c:pt>
                <c:pt idx="229">
                  <c:v>0.15595075239398085</c:v>
                </c:pt>
                <c:pt idx="230">
                  <c:v>0.15595075239398085</c:v>
                </c:pt>
                <c:pt idx="231">
                  <c:v>0.15595075239398085</c:v>
                </c:pt>
                <c:pt idx="232">
                  <c:v>0.15595075239398085</c:v>
                </c:pt>
                <c:pt idx="233">
                  <c:v>0.15595075239398085</c:v>
                </c:pt>
                <c:pt idx="234">
                  <c:v>0.15595075239398085</c:v>
                </c:pt>
                <c:pt idx="235">
                  <c:v>0.15595075239398085</c:v>
                </c:pt>
                <c:pt idx="236">
                  <c:v>0.15595075239398085</c:v>
                </c:pt>
                <c:pt idx="237">
                  <c:v>0.15595075239398085</c:v>
                </c:pt>
                <c:pt idx="238">
                  <c:v>0.15595075239398085</c:v>
                </c:pt>
                <c:pt idx="239">
                  <c:v>0.15595075239398085</c:v>
                </c:pt>
                <c:pt idx="240">
                  <c:v>0.15595075239398085</c:v>
                </c:pt>
                <c:pt idx="241">
                  <c:v>0.15595075239398085</c:v>
                </c:pt>
                <c:pt idx="242">
                  <c:v>0.16124469589816123</c:v>
                </c:pt>
                <c:pt idx="243">
                  <c:v>0.16124469589816123</c:v>
                </c:pt>
                <c:pt idx="244">
                  <c:v>0.16124469589816123</c:v>
                </c:pt>
                <c:pt idx="245">
                  <c:v>0.16124469589816123</c:v>
                </c:pt>
                <c:pt idx="246">
                  <c:v>0.16124469589816123</c:v>
                </c:pt>
                <c:pt idx="247">
                  <c:v>0.16124469589816123</c:v>
                </c:pt>
                <c:pt idx="248">
                  <c:v>0.16124469589816123</c:v>
                </c:pt>
                <c:pt idx="249">
                  <c:v>0.16124469589816123</c:v>
                </c:pt>
                <c:pt idx="250">
                  <c:v>0.12729844413012731</c:v>
                </c:pt>
                <c:pt idx="251">
                  <c:v>0.12729844413012731</c:v>
                </c:pt>
                <c:pt idx="252">
                  <c:v>0.12729844413012731</c:v>
                </c:pt>
                <c:pt idx="253">
                  <c:v>0.12729844413012731</c:v>
                </c:pt>
                <c:pt idx="254">
                  <c:v>0.12729844413012731</c:v>
                </c:pt>
                <c:pt idx="255">
                  <c:v>0.12729844413012731</c:v>
                </c:pt>
                <c:pt idx="256">
                  <c:v>0.13100436681222707</c:v>
                </c:pt>
                <c:pt idx="257">
                  <c:v>0.10189228529839883</c:v>
                </c:pt>
                <c:pt idx="258">
                  <c:v>0.10189228529839883</c:v>
                </c:pt>
                <c:pt idx="259">
                  <c:v>0.10189228529839883</c:v>
                </c:pt>
                <c:pt idx="260">
                  <c:v>0.10189228529839883</c:v>
                </c:pt>
                <c:pt idx="261">
                  <c:v>0.10189228529839883</c:v>
                </c:pt>
                <c:pt idx="262">
                  <c:v>0.10189228529839883</c:v>
                </c:pt>
                <c:pt idx="263">
                  <c:v>0.10494752623688156</c:v>
                </c:pt>
                <c:pt idx="264">
                  <c:v>7.4962518740629688E-2</c:v>
                </c:pt>
                <c:pt idx="265">
                  <c:v>7.4962518740629688E-2</c:v>
                </c:pt>
                <c:pt idx="266">
                  <c:v>7.4962518740629688E-2</c:v>
                </c:pt>
                <c:pt idx="267">
                  <c:v>7.4962518740629688E-2</c:v>
                </c:pt>
                <c:pt idx="268">
                  <c:v>7.4962518740629688E-2</c:v>
                </c:pt>
                <c:pt idx="269">
                  <c:v>7.4962518740629688E-2</c:v>
                </c:pt>
                <c:pt idx="270">
                  <c:v>7.4962518740629688E-2</c:v>
                </c:pt>
                <c:pt idx="271">
                  <c:v>7.4962518740629688E-2</c:v>
                </c:pt>
                <c:pt idx="272">
                  <c:v>7.4962518740629688E-2</c:v>
                </c:pt>
                <c:pt idx="273">
                  <c:v>7.4962518740629688E-2</c:v>
                </c:pt>
                <c:pt idx="274">
                  <c:v>7.4962518740629688E-2</c:v>
                </c:pt>
                <c:pt idx="275">
                  <c:v>7.4962518740629688E-2</c:v>
                </c:pt>
                <c:pt idx="276">
                  <c:v>7.4962518740629688E-2</c:v>
                </c:pt>
                <c:pt idx="277">
                  <c:v>6.8775790921595595E-2</c:v>
                </c:pt>
                <c:pt idx="278">
                  <c:v>2.7510316368638238E-2</c:v>
                </c:pt>
                <c:pt idx="279">
                  <c:v>2.7510316368638238E-2</c:v>
                </c:pt>
                <c:pt idx="280">
                  <c:v>2.7510316368638238E-2</c:v>
                </c:pt>
                <c:pt idx="281">
                  <c:v>2.7510316368638238E-2</c:v>
                </c:pt>
                <c:pt idx="282">
                  <c:v>2.7510316368638238E-2</c:v>
                </c:pt>
                <c:pt idx="283">
                  <c:v>2.7510316368638238E-2</c:v>
                </c:pt>
                <c:pt idx="284">
                  <c:v>2.677376171352075E-2</c:v>
                </c:pt>
                <c:pt idx="285">
                  <c:v>9.3708165997322623E-2</c:v>
                </c:pt>
                <c:pt idx="286">
                  <c:v>9.3708165997322623E-2</c:v>
                </c:pt>
                <c:pt idx="287">
                  <c:v>9.3708165997322623E-2</c:v>
                </c:pt>
                <c:pt idx="288">
                  <c:v>9.3708165997322623E-2</c:v>
                </c:pt>
                <c:pt idx="289">
                  <c:v>9.3708165997322623E-2</c:v>
                </c:pt>
                <c:pt idx="290">
                  <c:v>9.3708165997322623E-2</c:v>
                </c:pt>
                <c:pt idx="291">
                  <c:v>9.3708165997322623E-2</c:v>
                </c:pt>
                <c:pt idx="292">
                  <c:v>9.3708165997322623E-2</c:v>
                </c:pt>
                <c:pt idx="293">
                  <c:v>9.3708165997322623E-2</c:v>
                </c:pt>
                <c:pt idx="294">
                  <c:v>9.3708165997322623E-2</c:v>
                </c:pt>
                <c:pt idx="295">
                  <c:v>9.3708165997322623E-2</c:v>
                </c:pt>
                <c:pt idx="296">
                  <c:v>9.3708165997322623E-2</c:v>
                </c:pt>
                <c:pt idx="297">
                  <c:v>9.3708165997322623E-2</c:v>
                </c:pt>
                <c:pt idx="298">
                  <c:v>9.3708165997322623E-2</c:v>
                </c:pt>
                <c:pt idx="299">
                  <c:v>9.3708165997322623E-2</c:v>
                </c:pt>
                <c:pt idx="300">
                  <c:v>9.3708165997322623E-2</c:v>
                </c:pt>
                <c:pt idx="301">
                  <c:v>9.3708165997322623E-2</c:v>
                </c:pt>
                <c:pt idx="302">
                  <c:v>9.3708165997322623E-2</c:v>
                </c:pt>
                <c:pt idx="303">
                  <c:v>9.3708165997322623E-2</c:v>
                </c:pt>
                <c:pt idx="304">
                  <c:v>9.3708165997322623E-2</c:v>
                </c:pt>
                <c:pt idx="305">
                  <c:v>9.3708165997322623E-2</c:v>
                </c:pt>
                <c:pt idx="306">
                  <c:v>9.3708165997322623E-2</c:v>
                </c:pt>
                <c:pt idx="307">
                  <c:v>9.3708165997322623E-2</c:v>
                </c:pt>
                <c:pt idx="308">
                  <c:v>9.3708165997322623E-2</c:v>
                </c:pt>
                <c:pt idx="309">
                  <c:v>9.3708165997322623E-2</c:v>
                </c:pt>
                <c:pt idx="310">
                  <c:v>9.3708165997322623E-2</c:v>
                </c:pt>
                <c:pt idx="311">
                  <c:v>9.3708165997322623E-2</c:v>
                </c:pt>
                <c:pt idx="312">
                  <c:v>9.6286107290233833E-2</c:v>
                </c:pt>
                <c:pt idx="313">
                  <c:v>6.8775790921595595E-2</c:v>
                </c:pt>
                <c:pt idx="314">
                  <c:v>6.8775790921595595E-2</c:v>
                </c:pt>
                <c:pt idx="315">
                  <c:v>6.8775790921595595E-2</c:v>
                </c:pt>
                <c:pt idx="316">
                  <c:v>6.8775790921595595E-2</c:v>
                </c:pt>
                <c:pt idx="317">
                  <c:v>6.8775790921595595E-2</c:v>
                </c:pt>
                <c:pt idx="318">
                  <c:v>6.8775790921595595E-2</c:v>
                </c:pt>
                <c:pt idx="319">
                  <c:v>6.6934404283801874E-2</c:v>
                </c:pt>
                <c:pt idx="320">
                  <c:v>9.3708165997322623E-2</c:v>
                </c:pt>
                <c:pt idx="321">
                  <c:v>9.3708165997322623E-2</c:v>
                </c:pt>
                <c:pt idx="322">
                  <c:v>9.3708165997322623E-2</c:v>
                </c:pt>
                <c:pt idx="323">
                  <c:v>9.3708165997322623E-2</c:v>
                </c:pt>
                <c:pt idx="324">
                  <c:v>9.3708165997322623E-2</c:v>
                </c:pt>
                <c:pt idx="325">
                  <c:v>9.3708165997322623E-2</c:v>
                </c:pt>
                <c:pt idx="326">
                  <c:v>9.3708165997322623E-2</c:v>
                </c:pt>
                <c:pt idx="327">
                  <c:v>9.3708165997322623E-2</c:v>
                </c:pt>
                <c:pt idx="328">
                  <c:v>9.3708165997322623E-2</c:v>
                </c:pt>
                <c:pt idx="329">
                  <c:v>9.3708165997322623E-2</c:v>
                </c:pt>
                <c:pt idx="330">
                  <c:v>9.3708165997322623E-2</c:v>
                </c:pt>
                <c:pt idx="331">
                  <c:v>9.3708165997322623E-2</c:v>
                </c:pt>
                <c:pt idx="332">
                  <c:v>9.3708165997322623E-2</c:v>
                </c:pt>
                <c:pt idx="333">
                  <c:v>9.3708165997322623E-2</c:v>
                </c:pt>
                <c:pt idx="334">
                  <c:v>9.3708165997322623E-2</c:v>
                </c:pt>
                <c:pt idx="335">
                  <c:v>9.3708165997322623E-2</c:v>
                </c:pt>
                <c:pt idx="336">
                  <c:v>9.3708165997322623E-2</c:v>
                </c:pt>
                <c:pt idx="337">
                  <c:v>9.3708165997322623E-2</c:v>
                </c:pt>
                <c:pt idx="338">
                  <c:v>9.3708165997322623E-2</c:v>
                </c:pt>
                <c:pt idx="339">
                  <c:v>9.3708165997322623E-2</c:v>
                </c:pt>
                <c:pt idx="340">
                  <c:v>9.1288471570161706E-2</c:v>
                </c:pt>
                <c:pt idx="341">
                  <c:v>0.11215440792905582</c:v>
                </c:pt>
                <c:pt idx="342">
                  <c:v>0.11215440792905582</c:v>
                </c:pt>
                <c:pt idx="343">
                  <c:v>0.11215440792905582</c:v>
                </c:pt>
                <c:pt idx="344">
                  <c:v>0.11215440792905582</c:v>
                </c:pt>
                <c:pt idx="345">
                  <c:v>0.11215440792905582</c:v>
                </c:pt>
                <c:pt idx="346">
                  <c:v>0.11215440792905582</c:v>
                </c:pt>
                <c:pt idx="347">
                  <c:v>0.11215440792905582</c:v>
                </c:pt>
                <c:pt idx="348">
                  <c:v>0.11215440792905582</c:v>
                </c:pt>
                <c:pt idx="349">
                  <c:v>0.11215440792905582</c:v>
                </c:pt>
                <c:pt idx="350">
                  <c:v>0.11215440792905582</c:v>
                </c:pt>
                <c:pt idx="351">
                  <c:v>0.11215440792905582</c:v>
                </c:pt>
                <c:pt idx="352">
                  <c:v>0.11215440792905582</c:v>
                </c:pt>
                <c:pt idx="353">
                  <c:v>0.11215440792905582</c:v>
                </c:pt>
                <c:pt idx="354">
                  <c:v>0.11215440792905582</c:v>
                </c:pt>
                <c:pt idx="355">
                  <c:v>0.11215440792905582</c:v>
                </c:pt>
                <c:pt idx="356">
                  <c:v>0.11215440792905582</c:v>
                </c:pt>
                <c:pt idx="357">
                  <c:v>0.11215440792905582</c:v>
                </c:pt>
                <c:pt idx="358">
                  <c:v>0.11215440792905582</c:v>
                </c:pt>
                <c:pt idx="359">
                  <c:v>0.11215440792905582</c:v>
                </c:pt>
                <c:pt idx="360">
                  <c:v>0.11215440792905582</c:v>
                </c:pt>
                <c:pt idx="361">
                  <c:v>0.11515800749866095</c:v>
                </c:pt>
                <c:pt idx="362">
                  <c:v>8.8377075522228177E-2</c:v>
                </c:pt>
                <c:pt idx="363">
                  <c:v>8.8377075522228177E-2</c:v>
                </c:pt>
                <c:pt idx="364">
                  <c:v>8.8377075522228177E-2</c:v>
                </c:pt>
                <c:pt idx="365">
                  <c:v>8.8377075522228177E-2</c:v>
                </c:pt>
                <c:pt idx="366">
                  <c:v>8.8377075522228177E-2</c:v>
                </c:pt>
                <c:pt idx="367">
                  <c:v>8.8377075522228177E-2</c:v>
                </c:pt>
                <c:pt idx="368">
                  <c:v>8.5625324338349768E-2</c:v>
                </c:pt>
                <c:pt idx="369">
                  <c:v>0.11676180591593149</c:v>
                </c:pt>
                <c:pt idx="370">
                  <c:v>0.11676180591593149</c:v>
                </c:pt>
                <c:pt idx="371">
                  <c:v>0.11676180591593149</c:v>
                </c:pt>
                <c:pt idx="372">
                  <c:v>0.11676180591593149</c:v>
                </c:pt>
                <c:pt idx="373">
                  <c:v>0.11676180591593149</c:v>
                </c:pt>
                <c:pt idx="374">
                  <c:v>0.11676180591593149</c:v>
                </c:pt>
                <c:pt idx="375">
                  <c:v>0.11600928074245939</c:v>
                </c:pt>
                <c:pt idx="376">
                  <c:v>0.11600928074245939</c:v>
                </c:pt>
                <c:pt idx="377">
                  <c:v>0.11600928074245939</c:v>
                </c:pt>
                <c:pt idx="378">
                  <c:v>0.11600928074245939</c:v>
                </c:pt>
                <c:pt idx="379">
                  <c:v>0.11600928074245939</c:v>
                </c:pt>
                <c:pt idx="380">
                  <c:v>0.11600928074245939</c:v>
                </c:pt>
                <c:pt idx="381">
                  <c:v>0.11600928074245939</c:v>
                </c:pt>
                <c:pt idx="382">
                  <c:v>0.11600928074245939</c:v>
                </c:pt>
                <c:pt idx="383">
                  <c:v>0.11600928074245939</c:v>
                </c:pt>
                <c:pt idx="384">
                  <c:v>0.11600928074245939</c:v>
                </c:pt>
                <c:pt idx="385">
                  <c:v>0.11600928074245939</c:v>
                </c:pt>
                <c:pt idx="386">
                  <c:v>0.11600928074245939</c:v>
                </c:pt>
                <c:pt idx="387">
                  <c:v>0.11600928074245939</c:v>
                </c:pt>
                <c:pt idx="388">
                  <c:v>0.11600928074245939</c:v>
                </c:pt>
                <c:pt idx="389">
                  <c:v>0.11907912146070389</c:v>
                </c:pt>
                <c:pt idx="390">
                  <c:v>9.2617094469436362E-2</c:v>
                </c:pt>
                <c:pt idx="391">
                  <c:v>9.2617094469436362E-2</c:v>
                </c:pt>
                <c:pt idx="392">
                  <c:v>9.2617094469436362E-2</c:v>
                </c:pt>
                <c:pt idx="393">
                  <c:v>9.2617094469436362E-2</c:v>
                </c:pt>
                <c:pt idx="394">
                  <c:v>9.2617094469436362E-2</c:v>
                </c:pt>
                <c:pt idx="395">
                  <c:v>9.2617094469436362E-2</c:v>
                </c:pt>
                <c:pt idx="396">
                  <c:v>0.10545344983428744</c:v>
                </c:pt>
                <c:pt idx="397">
                  <c:v>0.10545344983428744</c:v>
                </c:pt>
                <c:pt idx="398">
                  <c:v>4.5194335643266047E-2</c:v>
                </c:pt>
                <c:pt idx="399">
                  <c:v>4.5194335643266047E-2</c:v>
                </c:pt>
                <c:pt idx="400">
                  <c:v>4.5194335643266047E-2</c:v>
                </c:pt>
                <c:pt idx="401">
                  <c:v>4.5194335643266047E-2</c:v>
                </c:pt>
                <c:pt idx="402">
                  <c:v>4.5194335643266047E-2</c:v>
                </c:pt>
                <c:pt idx="403">
                  <c:v>4.2869391254644187E-2</c:v>
                </c:pt>
                <c:pt idx="404">
                  <c:v>4.2869391254644187E-2</c:v>
                </c:pt>
                <c:pt idx="405">
                  <c:v>4.2869391254644187E-2</c:v>
                </c:pt>
                <c:pt idx="406">
                  <c:v>4.2869391254644187E-2</c:v>
                </c:pt>
                <c:pt idx="407">
                  <c:v>4.2869391254644187E-2</c:v>
                </c:pt>
                <c:pt idx="408">
                  <c:v>4.2869391254644187E-2</c:v>
                </c:pt>
                <c:pt idx="409">
                  <c:v>4.2869391254644187E-2</c:v>
                </c:pt>
                <c:pt idx="410">
                  <c:v>4.0916530278232409E-2</c:v>
                </c:pt>
                <c:pt idx="411">
                  <c:v>0.12274959083469722</c:v>
                </c:pt>
                <c:pt idx="412">
                  <c:v>0.12274959083469722</c:v>
                </c:pt>
                <c:pt idx="413">
                  <c:v>0.12274959083469722</c:v>
                </c:pt>
                <c:pt idx="414">
                  <c:v>0.12274959083469722</c:v>
                </c:pt>
                <c:pt idx="415">
                  <c:v>0.12274959083469722</c:v>
                </c:pt>
                <c:pt idx="416">
                  <c:v>0.12274959083469722</c:v>
                </c:pt>
                <c:pt idx="417">
                  <c:v>0.12274959083469722</c:v>
                </c:pt>
                <c:pt idx="418">
                  <c:v>0.12274959083469722</c:v>
                </c:pt>
                <c:pt idx="419">
                  <c:v>0.12274959083469722</c:v>
                </c:pt>
                <c:pt idx="420">
                  <c:v>0.12274959083469722</c:v>
                </c:pt>
                <c:pt idx="421">
                  <c:v>0.12274959083469722</c:v>
                </c:pt>
                <c:pt idx="422">
                  <c:v>0.12274959083469722</c:v>
                </c:pt>
                <c:pt idx="423">
                  <c:v>0.12274959083469722</c:v>
                </c:pt>
                <c:pt idx="424">
                  <c:v>0.11580030880082347</c:v>
                </c:pt>
                <c:pt idx="425">
                  <c:v>0.11580030880082347</c:v>
                </c:pt>
                <c:pt idx="426">
                  <c:v>0.11580030880082347</c:v>
                </c:pt>
                <c:pt idx="427">
                  <c:v>0.11580030880082347</c:v>
                </c:pt>
                <c:pt idx="428">
                  <c:v>0.11580030880082347</c:v>
                </c:pt>
                <c:pt idx="429">
                  <c:v>0.11580030880082347</c:v>
                </c:pt>
                <c:pt idx="430">
                  <c:v>0.11580030880082347</c:v>
                </c:pt>
                <c:pt idx="431">
                  <c:v>0.11580030880082347</c:v>
                </c:pt>
                <c:pt idx="432">
                  <c:v>0.11580030880082347</c:v>
                </c:pt>
                <c:pt idx="433">
                  <c:v>0.11580030880082347</c:v>
                </c:pt>
                <c:pt idx="434">
                  <c:v>0.11580030880082347</c:v>
                </c:pt>
                <c:pt idx="435">
                  <c:v>0.11580030880082347</c:v>
                </c:pt>
                <c:pt idx="436">
                  <c:v>0.11580030880082347</c:v>
                </c:pt>
                <c:pt idx="437">
                  <c:v>0.11580030880082347</c:v>
                </c:pt>
                <c:pt idx="438">
                  <c:v>0.11580030880082347</c:v>
                </c:pt>
                <c:pt idx="439">
                  <c:v>0.11580030880082347</c:v>
                </c:pt>
                <c:pt idx="440">
                  <c:v>0.11580030880082347</c:v>
                </c:pt>
                <c:pt idx="441">
                  <c:v>0.11580030880082347</c:v>
                </c:pt>
                <c:pt idx="442">
                  <c:v>0.11580030880082347</c:v>
                </c:pt>
                <c:pt idx="443">
                  <c:v>0.11580030880082347</c:v>
                </c:pt>
                <c:pt idx="444">
                  <c:v>0.11580030880082347</c:v>
                </c:pt>
                <c:pt idx="445">
                  <c:v>0.11580030880082347</c:v>
                </c:pt>
                <c:pt idx="446">
                  <c:v>0.11580030880082347</c:v>
                </c:pt>
                <c:pt idx="447">
                  <c:v>0.11580030880082347</c:v>
                </c:pt>
                <c:pt idx="448">
                  <c:v>0.11580030880082347</c:v>
                </c:pt>
                <c:pt idx="449">
                  <c:v>0.11580030880082347</c:v>
                </c:pt>
                <c:pt idx="450">
                  <c:v>0.11580030880082347</c:v>
                </c:pt>
                <c:pt idx="451">
                  <c:v>0.11580030880082347</c:v>
                </c:pt>
                <c:pt idx="452">
                  <c:v>0.12342292923752057</c:v>
                </c:pt>
                <c:pt idx="453">
                  <c:v>0.15085024684585849</c:v>
                </c:pt>
                <c:pt idx="454">
                  <c:v>0.15085024684585849</c:v>
                </c:pt>
                <c:pt idx="455">
                  <c:v>0.15085024684585849</c:v>
                </c:pt>
                <c:pt idx="456">
                  <c:v>0.15085024684585849</c:v>
                </c:pt>
                <c:pt idx="457">
                  <c:v>0.15085024684585849</c:v>
                </c:pt>
                <c:pt idx="458">
                  <c:v>0.15085024684585849</c:v>
                </c:pt>
                <c:pt idx="459">
                  <c:v>0.13938165230613278</c:v>
                </c:pt>
                <c:pt idx="460">
                  <c:v>0.21540800810947794</c:v>
                </c:pt>
                <c:pt idx="461">
                  <c:v>0.21540800810947794</c:v>
                </c:pt>
                <c:pt idx="462">
                  <c:v>0.21540800810947794</c:v>
                </c:pt>
                <c:pt idx="463">
                  <c:v>0.21540800810947794</c:v>
                </c:pt>
                <c:pt idx="464">
                  <c:v>0.21540800810947794</c:v>
                </c:pt>
                <c:pt idx="465">
                  <c:v>0.21540800810947794</c:v>
                </c:pt>
                <c:pt idx="466">
                  <c:v>0.21873391662377767</c:v>
                </c:pt>
                <c:pt idx="467">
                  <c:v>0.19300051466803911</c:v>
                </c:pt>
                <c:pt idx="468">
                  <c:v>0.19300051466803911</c:v>
                </c:pt>
                <c:pt idx="469">
                  <c:v>0.19300051466803911</c:v>
                </c:pt>
                <c:pt idx="470">
                  <c:v>0.19300051466803911</c:v>
                </c:pt>
                <c:pt idx="471">
                  <c:v>0.19300051466803911</c:v>
                </c:pt>
                <c:pt idx="472">
                  <c:v>0.19300051466803911</c:v>
                </c:pt>
                <c:pt idx="473">
                  <c:v>0.17916865742952701</c:v>
                </c:pt>
                <c:pt idx="474">
                  <c:v>0.20305781175346393</c:v>
                </c:pt>
                <c:pt idx="475">
                  <c:v>0.20305781175346393</c:v>
                </c:pt>
                <c:pt idx="476">
                  <c:v>0.20305781175346393</c:v>
                </c:pt>
                <c:pt idx="477">
                  <c:v>0.20305781175346393</c:v>
                </c:pt>
                <c:pt idx="478">
                  <c:v>0.20305781175346393</c:v>
                </c:pt>
                <c:pt idx="479">
                  <c:v>0.20305781175346393</c:v>
                </c:pt>
                <c:pt idx="480">
                  <c:v>0.19878391019644528</c:v>
                </c:pt>
                <c:pt idx="481">
                  <c:v>0.19878391019644528</c:v>
                </c:pt>
                <c:pt idx="482">
                  <c:v>0.19878391019644528</c:v>
                </c:pt>
                <c:pt idx="483">
                  <c:v>0.19878391019644528</c:v>
                </c:pt>
                <c:pt idx="484">
                  <c:v>0.19878391019644528</c:v>
                </c:pt>
                <c:pt idx="485">
                  <c:v>0.19878391019644528</c:v>
                </c:pt>
                <c:pt idx="486">
                  <c:v>0.19878391019644528</c:v>
                </c:pt>
                <c:pt idx="487">
                  <c:v>0.20354406130268199</c:v>
                </c:pt>
                <c:pt idx="488">
                  <c:v>0.17959770114942528</c:v>
                </c:pt>
                <c:pt idx="489">
                  <c:v>0.17959770114942528</c:v>
                </c:pt>
                <c:pt idx="490">
                  <c:v>0.17959770114942528</c:v>
                </c:pt>
                <c:pt idx="491">
                  <c:v>0.17959770114942528</c:v>
                </c:pt>
                <c:pt idx="492">
                  <c:v>0.17959770114942528</c:v>
                </c:pt>
                <c:pt idx="493">
                  <c:v>0.17959770114942528</c:v>
                </c:pt>
                <c:pt idx="494">
                  <c:v>0.17060964513193813</c:v>
                </c:pt>
                <c:pt idx="495">
                  <c:v>0.2570518653321201</c:v>
                </c:pt>
                <c:pt idx="496">
                  <c:v>0.2570518653321201</c:v>
                </c:pt>
                <c:pt idx="497">
                  <c:v>0.2570518653321201</c:v>
                </c:pt>
                <c:pt idx="498">
                  <c:v>0.2570518653321201</c:v>
                </c:pt>
                <c:pt idx="499">
                  <c:v>0.2570518653321201</c:v>
                </c:pt>
                <c:pt idx="500">
                  <c:v>0.2570518653321201</c:v>
                </c:pt>
                <c:pt idx="501">
                  <c:v>0.25473399458972046</c:v>
                </c:pt>
                <c:pt idx="502">
                  <c:v>0.25473399458972046</c:v>
                </c:pt>
                <c:pt idx="503">
                  <c:v>0.25473399458972046</c:v>
                </c:pt>
                <c:pt idx="504">
                  <c:v>0.25473399458972046</c:v>
                </c:pt>
                <c:pt idx="505">
                  <c:v>0.25473399458972046</c:v>
                </c:pt>
                <c:pt idx="506">
                  <c:v>0.25473399458972046</c:v>
                </c:pt>
                <c:pt idx="507">
                  <c:v>0.25473399458972046</c:v>
                </c:pt>
                <c:pt idx="508">
                  <c:v>0.25234479678427868</c:v>
                </c:pt>
                <c:pt idx="509">
                  <c:v>0.26127735596248325</c:v>
                </c:pt>
                <c:pt idx="510">
                  <c:v>0.26127735596248325</c:v>
                </c:pt>
                <c:pt idx="511">
                  <c:v>0.26127735596248325</c:v>
                </c:pt>
                <c:pt idx="512">
                  <c:v>0.26127735596248325</c:v>
                </c:pt>
                <c:pt idx="513">
                  <c:v>0.26127735596248325</c:v>
                </c:pt>
                <c:pt idx="514">
                  <c:v>0.26127735596248325</c:v>
                </c:pt>
                <c:pt idx="515">
                  <c:v>0.26127735596248325</c:v>
                </c:pt>
                <c:pt idx="516">
                  <c:v>0.26127735596248325</c:v>
                </c:pt>
                <c:pt idx="517">
                  <c:v>0.26127735596248325</c:v>
                </c:pt>
                <c:pt idx="518">
                  <c:v>0.26127735596248325</c:v>
                </c:pt>
                <c:pt idx="519">
                  <c:v>0.26127735596248325</c:v>
                </c:pt>
                <c:pt idx="520">
                  <c:v>0.26127735596248325</c:v>
                </c:pt>
                <c:pt idx="521">
                  <c:v>0.26127735596248325</c:v>
                </c:pt>
                <c:pt idx="522">
                  <c:v>0.29411764705882354</c:v>
                </c:pt>
                <c:pt idx="523">
                  <c:v>0.23378582202111614</c:v>
                </c:pt>
                <c:pt idx="524">
                  <c:v>0.23378582202111614</c:v>
                </c:pt>
                <c:pt idx="525">
                  <c:v>0.23378582202111614</c:v>
                </c:pt>
                <c:pt idx="526">
                  <c:v>0.23378582202111614</c:v>
                </c:pt>
                <c:pt idx="527">
                  <c:v>0.23378582202111614</c:v>
                </c:pt>
                <c:pt idx="528">
                  <c:v>0.23378582202111614</c:v>
                </c:pt>
                <c:pt idx="529">
                  <c:v>0.19880290722530997</c:v>
                </c:pt>
                <c:pt idx="530">
                  <c:v>0.39119281744335188</c:v>
                </c:pt>
                <c:pt idx="531">
                  <c:v>0.39119281744335188</c:v>
                </c:pt>
                <c:pt idx="532">
                  <c:v>0.39119281744335188</c:v>
                </c:pt>
                <c:pt idx="533">
                  <c:v>0.39119281744335188</c:v>
                </c:pt>
                <c:pt idx="534">
                  <c:v>0.39119281744335188</c:v>
                </c:pt>
                <c:pt idx="535">
                  <c:v>0.39119281744335188</c:v>
                </c:pt>
                <c:pt idx="536">
                  <c:v>0.36999595632834614</c:v>
                </c:pt>
                <c:pt idx="537">
                  <c:v>0.40234532955923979</c:v>
                </c:pt>
                <c:pt idx="538">
                  <c:v>0.40234532955923979</c:v>
                </c:pt>
                <c:pt idx="539">
                  <c:v>0.40234532955923979</c:v>
                </c:pt>
                <c:pt idx="540">
                  <c:v>0.40234532955923979</c:v>
                </c:pt>
                <c:pt idx="541">
                  <c:v>0.40234532955923979</c:v>
                </c:pt>
                <c:pt idx="542">
                  <c:v>0.40234532955923979</c:v>
                </c:pt>
                <c:pt idx="543">
                  <c:v>0.4106479570780025</c:v>
                </c:pt>
                <c:pt idx="544">
                  <c:v>0.39001238134543953</c:v>
                </c:pt>
                <c:pt idx="545">
                  <c:v>0.39001238134543953</c:v>
                </c:pt>
                <c:pt idx="546">
                  <c:v>0.39001238134543953</c:v>
                </c:pt>
                <c:pt idx="547">
                  <c:v>0.39001238134543953</c:v>
                </c:pt>
                <c:pt idx="548">
                  <c:v>0.39001238134543953</c:v>
                </c:pt>
                <c:pt idx="549">
                  <c:v>0.39001238134543953</c:v>
                </c:pt>
                <c:pt idx="550">
                  <c:v>0.39655895929500629</c:v>
                </c:pt>
                <c:pt idx="551">
                  <c:v>0.37977339488040285</c:v>
                </c:pt>
                <c:pt idx="552">
                  <c:v>0.37977339488040285</c:v>
                </c:pt>
                <c:pt idx="553">
                  <c:v>0.37977339488040285</c:v>
                </c:pt>
                <c:pt idx="554">
                  <c:v>0.37977339488040285</c:v>
                </c:pt>
                <c:pt idx="555">
                  <c:v>0.37977339488040285</c:v>
                </c:pt>
                <c:pt idx="556">
                  <c:v>0.37977339488040285</c:v>
                </c:pt>
                <c:pt idx="557">
                  <c:v>0.40756586354424679</c:v>
                </c:pt>
                <c:pt idx="558">
                  <c:v>0.3039855888313443</c:v>
                </c:pt>
                <c:pt idx="559">
                  <c:v>0.3039855888313443</c:v>
                </c:pt>
                <c:pt idx="560">
                  <c:v>0.3039855888313443</c:v>
                </c:pt>
                <c:pt idx="561">
                  <c:v>0.3039855888313443</c:v>
                </c:pt>
                <c:pt idx="562">
                  <c:v>0.3039855888313443</c:v>
                </c:pt>
                <c:pt idx="563">
                  <c:v>0.3039855888313443</c:v>
                </c:pt>
                <c:pt idx="564">
                  <c:v>0.30674846625766872</c:v>
                </c:pt>
                <c:pt idx="565">
                  <c:v>0.28402635764598955</c:v>
                </c:pt>
                <c:pt idx="566">
                  <c:v>0.28402635764598955</c:v>
                </c:pt>
                <c:pt idx="567">
                  <c:v>0.28402635764598955</c:v>
                </c:pt>
                <c:pt idx="568">
                  <c:v>0.28402635764598955</c:v>
                </c:pt>
                <c:pt idx="569">
                  <c:v>0.28402635764598955</c:v>
                </c:pt>
                <c:pt idx="570">
                  <c:v>0.28402635764598955</c:v>
                </c:pt>
                <c:pt idx="571">
                  <c:v>0.28020623178659493</c:v>
                </c:pt>
                <c:pt idx="572">
                  <c:v>0.29365613091235149</c:v>
                </c:pt>
                <c:pt idx="573">
                  <c:v>0.29365613091235149</c:v>
                </c:pt>
                <c:pt idx="574">
                  <c:v>0.29365613091235149</c:v>
                </c:pt>
                <c:pt idx="575">
                  <c:v>0.29365613091235149</c:v>
                </c:pt>
                <c:pt idx="576">
                  <c:v>0.29365613091235149</c:v>
                </c:pt>
                <c:pt idx="577">
                  <c:v>0.29365613091235149</c:v>
                </c:pt>
                <c:pt idx="578">
                  <c:v>0.28753292361720806</c:v>
                </c:pt>
                <c:pt idx="579">
                  <c:v>0.29850746268656714</c:v>
                </c:pt>
                <c:pt idx="580">
                  <c:v>0.29850746268656714</c:v>
                </c:pt>
                <c:pt idx="581">
                  <c:v>0.29850746268656714</c:v>
                </c:pt>
                <c:pt idx="582">
                  <c:v>0.29850746268656714</c:v>
                </c:pt>
                <c:pt idx="583">
                  <c:v>0.29850746268656714</c:v>
                </c:pt>
                <c:pt idx="584">
                  <c:v>0.29850746268656714</c:v>
                </c:pt>
                <c:pt idx="585">
                  <c:v>0.32567049808429116</c:v>
                </c:pt>
                <c:pt idx="586">
                  <c:v>0.31609195402298851</c:v>
                </c:pt>
                <c:pt idx="587">
                  <c:v>0.31609195402298851</c:v>
                </c:pt>
                <c:pt idx="588">
                  <c:v>0.31609195402298851</c:v>
                </c:pt>
                <c:pt idx="589">
                  <c:v>0.31609195402298851</c:v>
                </c:pt>
                <c:pt idx="590">
                  <c:v>0.31609195402298851</c:v>
                </c:pt>
                <c:pt idx="591">
                  <c:v>0.31609195402298851</c:v>
                </c:pt>
                <c:pt idx="592">
                  <c:v>0.3276247207743857</c:v>
                </c:pt>
                <c:pt idx="593">
                  <c:v>0.29039463886820549</c:v>
                </c:pt>
                <c:pt idx="594">
                  <c:v>0.29039463886820549</c:v>
                </c:pt>
                <c:pt idx="595">
                  <c:v>0.29039463886820549</c:v>
                </c:pt>
                <c:pt idx="596">
                  <c:v>0.29039463886820549</c:v>
                </c:pt>
                <c:pt idx="597">
                  <c:v>0.29039463886820549</c:v>
                </c:pt>
                <c:pt idx="598">
                  <c:v>0.29039463886820549</c:v>
                </c:pt>
                <c:pt idx="599">
                  <c:v>0.25058899121867639</c:v>
                </c:pt>
                <c:pt idx="600">
                  <c:v>0.32340972370957377</c:v>
                </c:pt>
                <c:pt idx="601">
                  <c:v>0.32340972370957377</c:v>
                </c:pt>
                <c:pt idx="602">
                  <c:v>0.32340972370957377</c:v>
                </c:pt>
                <c:pt idx="603">
                  <c:v>0.32340972370957377</c:v>
                </c:pt>
                <c:pt idx="604">
                  <c:v>0.32340972370957377</c:v>
                </c:pt>
                <c:pt idx="605">
                  <c:v>0.32340972370957377</c:v>
                </c:pt>
                <c:pt idx="606">
                  <c:v>0.28767384263669271</c:v>
                </c:pt>
                <c:pt idx="607">
                  <c:v>0.35244808534959038</c:v>
                </c:pt>
                <c:pt idx="608">
                  <c:v>0.35244808534959038</c:v>
                </c:pt>
                <c:pt idx="609">
                  <c:v>0.35244808534959038</c:v>
                </c:pt>
                <c:pt idx="610">
                  <c:v>0.35244808534959038</c:v>
                </c:pt>
                <c:pt idx="611">
                  <c:v>0.35244808534959038</c:v>
                </c:pt>
                <c:pt idx="612">
                  <c:v>0.35244808534959038</c:v>
                </c:pt>
                <c:pt idx="613">
                  <c:v>0.37007401480296059</c:v>
                </c:pt>
                <c:pt idx="614">
                  <c:v>0.32006401280256053</c:v>
                </c:pt>
                <c:pt idx="615">
                  <c:v>0.32006401280256053</c:v>
                </c:pt>
                <c:pt idx="616">
                  <c:v>0.32006401280256053</c:v>
                </c:pt>
                <c:pt idx="617">
                  <c:v>0.32006401280256053</c:v>
                </c:pt>
                <c:pt idx="618">
                  <c:v>0.32006401280256053</c:v>
                </c:pt>
                <c:pt idx="619">
                  <c:v>0.32006401280256053</c:v>
                </c:pt>
                <c:pt idx="620">
                  <c:v>0.31378701706216905</c:v>
                </c:pt>
                <c:pt idx="621">
                  <c:v>0.33339870562855461</c:v>
                </c:pt>
                <c:pt idx="622">
                  <c:v>0.33339870562855461</c:v>
                </c:pt>
                <c:pt idx="623">
                  <c:v>0.33339870562855461</c:v>
                </c:pt>
                <c:pt idx="624">
                  <c:v>0.33339870562855461</c:v>
                </c:pt>
                <c:pt idx="625">
                  <c:v>0.33339870562855461</c:v>
                </c:pt>
                <c:pt idx="626">
                  <c:v>0.33339870562855461</c:v>
                </c:pt>
                <c:pt idx="627">
                  <c:v>0.32081524816003021</c:v>
                </c:pt>
                <c:pt idx="628">
                  <c:v>0.35855821853179848</c:v>
                </c:pt>
                <c:pt idx="629">
                  <c:v>0.35855821853179848</c:v>
                </c:pt>
                <c:pt idx="630">
                  <c:v>0.35855821853179848</c:v>
                </c:pt>
                <c:pt idx="631">
                  <c:v>0.35855821853179848</c:v>
                </c:pt>
                <c:pt idx="632">
                  <c:v>0.35855821853179848</c:v>
                </c:pt>
                <c:pt idx="633">
                  <c:v>0.35855821853179848</c:v>
                </c:pt>
                <c:pt idx="634">
                  <c:v>0.34457743924555678</c:v>
                </c:pt>
                <c:pt idx="635">
                  <c:v>0.39898440333696045</c:v>
                </c:pt>
                <c:pt idx="636">
                  <c:v>0.39898440333696045</c:v>
                </c:pt>
                <c:pt idx="637">
                  <c:v>0.39898440333696045</c:v>
                </c:pt>
                <c:pt idx="638">
                  <c:v>0.39898440333696045</c:v>
                </c:pt>
                <c:pt idx="639">
                  <c:v>0.39898440333696045</c:v>
                </c:pt>
                <c:pt idx="640">
                  <c:v>0.39898440333696045</c:v>
                </c:pt>
                <c:pt idx="641">
                  <c:v>0.39898440333696045</c:v>
                </c:pt>
                <c:pt idx="642">
                  <c:v>0.39898440333696045</c:v>
                </c:pt>
                <c:pt idx="643">
                  <c:v>0.39898440333696045</c:v>
                </c:pt>
                <c:pt idx="644">
                  <c:v>0.39898440333696045</c:v>
                </c:pt>
                <c:pt idx="645">
                  <c:v>0.39898440333696045</c:v>
                </c:pt>
                <c:pt idx="646">
                  <c:v>0.39898440333696045</c:v>
                </c:pt>
                <c:pt idx="647">
                  <c:v>0.39898440333696045</c:v>
                </c:pt>
                <c:pt idx="648">
                  <c:v>0.38501925096254813</c:v>
                </c:pt>
                <c:pt idx="649">
                  <c:v>0.42002100105005252</c:v>
                </c:pt>
                <c:pt idx="650">
                  <c:v>0.42002100105005252</c:v>
                </c:pt>
                <c:pt idx="651">
                  <c:v>0.42002100105005252</c:v>
                </c:pt>
                <c:pt idx="652">
                  <c:v>0.42002100105005252</c:v>
                </c:pt>
                <c:pt idx="653">
                  <c:v>0.42002100105005252</c:v>
                </c:pt>
                <c:pt idx="654">
                  <c:v>0.42002100105005252</c:v>
                </c:pt>
                <c:pt idx="655">
                  <c:v>0.42223786066150598</c:v>
                </c:pt>
                <c:pt idx="656">
                  <c:v>0.36418015482054888</c:v>
                </c:pt>
                <c:pt idx="657">
                  <c:v>0.36418015482054888</c:v>
                </c:pt>
                <c:pt idx="658">
                  <c:v>0.36418015482054888</c:v>
                </c:pt>
                <c:pt idx="659">
                  <c:v>0.36418015482054888</c:v>
                </c:pt>
                <c:pt idx="660">
                  <c:v>0.36418015482054888</c:v>
                </c:pt>
                <c:pt idx="661">
                  <c:v>0.36418015482054888</c:v>
                </c:pt>
                <c:pt idx="662">
                  <c:v>0.36386008085779575</c:v>
                </c:pt>
                <c:pt idx="663">
                  <c:v>0.36473896994199334</c:v>
                </c:pt>
                <c:pt idx="664">
                  <c:v>0.36473896994199334</c:v>
                </c:pt>
                <c:pt idx="665">
                  <c:v>0.36473896994199334</c:v>
                </c:pt>
                <c:pt idx="666">
                  <c:v>0.36473896994199334</c:v>
                </c:pt>
                <c:pt idx="667">
                  <c:v>0.36473896994199334</c:v>
                </c:pt>
                <c:pt idx="668">
                  <c:v>0.36473896994199334</c:v>
                </c:pt>
                <c:pt idx="669">
                  <c:v>0.34646852563032227</c:v>
                </c:pt>
                <c:pt idx="670">
                  <c:v>0.3965603606612122</c:v>
                </c:pt>
                <c:pt idx="671">
                  <c:v>0.3965603606612122</c:v>
                </c:pt>
                <c:pt idx="672">
                  <c:v>0.3965603606612122</c:v>
                </c:pt>
                <c:pt idx="673">
                  <c:v>0.3965603606612122</c:v>
                </c:pt>
                <c:pt idx="674">
                  <c:v>0.3965603606612122</c:v>
                </c:pt>
                <c:pt idx="675">
                  <c:v>0.3965603606612122</c:v>
                </c:pt>
                <c:pt idx="676">
                  <c:v>0.3965603606612122</c:v>
                </c:pt>
                <c:pt idx="677">
                  <c:v>0.41325763900484219</c:v>
                </c:pt>
                <c:pt idx="678">
                  <c:v>0.41325763900484219</c:v>
                </c:pt>
                <c:pt idx="679">
                  <c:v>0.41325763900484219</c:v>
                </c:pt>
                <c:pt idx="680">
                  <c:v>0.41325763900484219</c:v>
                </c:pt>
                <c:pt idx="681">
                  <c:v>0.41325763900484219</c:v>
                </c:pt>
                <c:pt idx="682">
                  <c:v>0.41325763900484219</c:v>
                </c:pt>
                <c:pt idx="683">
                  <c:v>0.41325763900484219</c:v>
                </c:pt>
                <c:pt idx="684">
                  <c:v>0.41823539040759533</c:v>
                </c:pt>
                <c:pt idx="685">
                  <c:v>0.41823539040759533</c:v>
                </c:pt>
                <c:pt idx="686">
                  <c:v>0.41823539040759533</c:v>
                </c:pt>
                <c:pt idx="687">
                  <c:v>0.41823539040759533</c:v>
                </c:pt>
                <c:pt idx="688">
                  <c:v>0.41823539040759533</c:v>
                </c:pt>
                <c:pt idx="689">
                  <c:v>0.41823539040759533</c:v>
                </c:pt>
                <c:pt idx="690">
                  <c:v>0.41823539040759533</c:v>
                </c:pt>
                <c:pt idx="691">
                  <c:v>0.39140572951365754</c:v>
                </c:pt>
                <c:pt idx="692">
                  <c:v>0.39140572951365754</c:v>
                </c:pt>
                <c:pt idx="693">
                  <c:v>0.39140572951365754</c:v>
                </c:pt>
                <c:pt idx="694">
                  <c:v>0.39140572951365754</c:v>
                </c:pt>
                <c:pt idx="695">
                  <c:v>0.39140572951365754</c:v>
                </c:pt>
                <c:pt idx="696">
                  <c:v>0.39140572951365754</c:v>
                </c:pt>
                <c:pt idx="697">
                  <c:v>0.39140572951365754</c:v>
                </c:pt>
                <c:pt idx="698">
                  <c:v>0.38346613545816732</c:v>
                </c:pt>
                <c:pt idx="699">
                  <c:v>0.38346613545816732</c:v>
                </c:pt>
                <c:pt idx="700">
                  <c:v>0.38346613545816732</c:v>
                </c:pt>
                <c:pt idx="701">
                  <c:v>0.38346613545816732</c:v>
                </c:pt>
                <c:pt idx="702">
                  <c:v>0.38346613545816732</c:v>
                </c:pt>
                <c:pt idx="703">
                  <c:v>0.38346613545816732</c:v>
                </c:pt>
                <c:pt idx="704">
                  <c:v>0.38346613545816732</c:v>
                </c:pt>
                <c:pt idx="705">
                  <c:v>0.4136406694032207</c:v>
                </c:pt>
                <c:pt idx="706">
                  <c:v>0.4136406694032207</c:v>
                </c:pt>
                <c:pt idx="707">
                  <c:v>0.4136406694032207</c:v>
                </c:pt>
                <c:pt idx="708">
                  <c:v>0.4136406694032207</c:v>
                </c:pt>
                <c:pt idx="709">
                  <c:v>0.4136406694032207</c:v>
                </c:pt>
                <c:pt idx="710">
                  <c:v>0.4136406694032207</c:v>
                </c:pt>
                <c:pt idx="711">
                  <c:v>0.4136406694032207</c:v>
                </c:pt>
                <c:pt idx="712">
                  <c:v>0.40097949188858278</c:v>
                </c:pt>
                <c:pt idx="713">
                  <c:v>0.40097949188858278</c:v>
                </c:pt>
                <c:pt idx="714">
                  <c:v>0.40097949188858278</c:v>
                </c:pt>
                <c:pt idx="715">
                  <c:v>0.40097949188858278</c:v>
                </c:pt>
                <c:pt idx="716">
                  <c:v>0.40097949188858278</c:v>
                </c:pt>
                <c:pt idx="717">
                  <c:v>0.40097949188858278</c:v>
                </c:pt>
                <c:pt idx="718">
                  <c:v>0.40097949188858278</c:v>
                </c:pt>
                <c:pt idx="719">
                  <c:v>0.41920166196765096</c:v>
                </c:pt>
                <c:pt idx="720">
                  <c:v>0.41920166196765096</c:v>
                </c:pt>
                <c:pt idx="721">
                  <c:v>0.41920166196765096</c:v>
                </c:pt>
                <c:pt idx="722">
                  <c:v>0.41920166196765096</c:v>
                </c:pt>
                <c:pt idx="723">
                  <c:v>0.41920166196765096</c:v>
                </c:pt>
                <c:pt idx="724">
                  <c:v>0.41920166196765096</c:v>
                </c:pt>
                <c:pt idx="725">
                  <c:v>0.41920166196765096</c:v>
                </c:pt>
                <c:pt idx="726">
                  <c:v>0.43564211451164153</c:v>
                </c:pt>
                <c:pt idx="727">
                  <c:v>0.43564211451164153</c:v>
                </c:pt>
                <c:pt idx="728">
                  <c:v>0.43564211451164153</c:v>
                </c:pt>
                <c:pt idx="729">
                  <c:v>0.43564211451164153</c:v>
                </c:pt>
                <c:pt idx="730">
                  <c:v>0.43564211451164153</c:v>
                </c:pt>
                <c:pt idx="731">
                  <c:v>0.43564211451164153</c:v>
                </c:pt>
                <c:pt idx="732">
                  <c:v>0.43564211451164153</c:v>
                </c:pt>
                <c:pt idx="733">
                  <c:v>0.45931758530183725</c:v>
                </c:pt>
                <c:pt idx="734">
                  <c:v>0.45931758530183725</c:v>
                </c:pt>
                <c:pt idx="735">
                  <c:v>0.45931758530183725</c:v>
                </c:pt>
                <c:pt idx="736">
                  <c:v>0.45931758530183725</c:v>
                </c:pt>
                <c:pt idx="737">
                  <c:v>0.45931758530183725</c:v>
                </c:pt>
                <c:pt idx="738">
                  <c:v>0.45931758530183725</c:v>
                </c:pt>
                <c:pt idx="739">
                  <c:v>0.45931758530183725</c:v>
                </c:pt>
                <c:pt idx="740">
                  <c:v>0.47385401263610699</c:v>
                </c:pt>
                <c:pt idx="741">
                  <c:v>0.47385401263610699</c:v>
                </c:pt>
                <c:pt idx="742">
                  <c:v>0.47385401263610699</c:v>
                </c:pt>
                <c:pt idx="743">
                  <c:v>0.47385401263610699</c:v>
                </c:pt>
                <c:pt idx="744">
                  <c:v>0.47385401263610699</c:v>
                </c:pt>
                <c:pt idx="745">
                  <c:v>0.47385401263610699</c:v>
                </c:pt>
                <c:pt idx="746">
                  <c:v>0.47385401263610699</c:v>
                </c:pt>
                <c:pt idx="747">
                  <c:v>0.510815741464686</c:v>
                </c:pt>
                <c:pt idx="748">
                  <c:v>0.510815741464686</c:v>
                </c:pt>
                <c:pt idx="749">
                  <c:v>0.510815741464686</c:v>
                </c:pt>
                <c:pt idx="750">
                  <c:v>0.510815741464686</c:v>
                </c:pt>
                <c:pt idx="751">
                  <c:v>0.510815741464686</c:v>
                </c:pt>
                <c:pt idx="752">
                  <c:v>0.510815741464686</c:v>
                </c:pt>
                <c:pt idx="753">
                  <c:v>0.510815741464686</c:v>
                </c:pt>
                <c:pt idx="754">
                  <c:v>0.4965268844867507</c:v>
                </c:pt>
                <c:pt idx="755">
                  <c:v>0.4965268844867507</c:v>
                </c:pt>
                <c:pt idx="756">
                  <c:v>0.4965268844867507</c:v>
                </c:pt>
                <c:pt idx="757">
                  <c:v>0.4965268844867507</c:v>
                </c:pt>
                <c:pt idx="758">
                  <c:v>0.4965268844867507</c:v>
                </c:pt>
                <c:pt idx="759">
                  <c:v>0.4965268844867507</c:v>
                </c:pt>
                <c:pt idx="760">
                  <c:v>0.4965268844867507</c:v>
                </c:pt>
                <c:pt idx="761">
                  <c:v>0.51160469178936863</c:v>
                </c:pt>
                <c:pt idx="762">
                  <c:v>0.51160469178936863</c:v>
                </c:pt>
                <c:pt idx="763">
                  <c:v>0.51160469178936863</c:v>
                </c:pt>
                <c:pt idx="764">
                  <c:v>0.51160469178936863</c:v>
                </c:pt>
                <c:pt idx="765">
                  <c:v>0.51160469178936863</c:v>
                </c:pt>
                <c:pt idx="766">
                  <c:v>0.51160469178936863</c:v>
                </c:pt>
                <c:pt idx="767">
                  <c:v>0.51160469178936863</c:v>
                </c:pt>
                <c:pt idx="768">
                  <c:v>0.51175132676269897</c:v>
                </c:pt>
                <c:pt idx="769">
                  <c:v>0.51175132676269897</c:v>
                </c:pt>
                <c:pt idx="770">
                  <c:v>0.51175132676269897</c:v>
                </c:pt>
                <c:pt idx="771">
                  <c:v>0.51175132676269897</c:v>
                </c:pt>
                <c:pt idx="772">
                  <c:v>0.51175132676269897</c:v>
                </c:pt>
                <c:pt idx="773">
                  <c:v>0.51175132676269897</c:v>
                </c:pt>
                <c:pt idx="774">
                  <c:v>0.51175132676269897</c:v>
                </c:pt>
                <c:pt idx="775">
                  <c:v>0.50912149049036093</c:v>
                </c:pt>
                <c:pt idx="776">
                  <c:v>0.50912149049036093</c:v>
                </c:pt>
                <c:pt idx="777">
                  <c:v>0.50912149049036093</c:v>
                </c:pt>
                <c:pt idx="778">
                  <c:v>0.50912149049036093</c:v>
                </c:pt>
                <c:pt idx="779">
                  <c:v>0.50912149049036093</c:v>
                </c:pt>
                <c:pt idx="780">
                  <c:v>0.50912149049036093</c:v>
                </c:pt>
                <c:pt idx="781">
                  <c:v>0.50912149049036093</c:v>
                </c:pt>
                <c:pt idx="782">
                  <c:v>0.52746294681778549</c:v>
                </c:pt>
                <c:pt idx="783">
                  <c:v>0.52746294681778549</c:v>
                </c:pt>
                <c:pt idx="784">
                  <c:v>0.52746294681778549</c:v>
                </c:pt>
                <c:pt idx="785">
                  <c:v>0.52746294681778549</c:v>
                </c:pt>
                <c:pt idx="786">
                  <c:v>0.52746294681778549</c:v>
                </c:pt>
                <c:pt idx="787">
                  <c:v>0.52746294681778549</c:v>
                </c:pt>
                <c:pt idx="788">
                  <c:v>0.52746294681778549</c:v>
                </c:pt>
                <c:pt idx="789">
                  <c:v>0.55961787946691832</c:v>
                </c:pt>
                <c:pt idx="790">
                  <c:v>0.55961787946691832</c:v>
                </c:pt>
                <c:pt idx="791">
                  <c:v>0.55961787946691832</c:v>
                </c:pt>
                <c:pt idx="792">
                  <c:v>0.55961787946691832</c:v>
                </c:pt>
                <c:pt idx="793">
                  <c:v>0.55961787946691832</c:v>
                </c:pt>
                <c:pt idx="794">
                  <c:v>0.55961787946691832</c:v>
                </c:pt>
                <c:pt idx="795">
                  <c:v>0.55961787946691832</c:v>
                </c:pt>
                <c:pt idx="796">
                  <c:v>0.56184316895715436</c:v>
                </c:pt>
                <c:pt idx="797">
                  <c:v>0.56184316895715436</c:v>
                </c:pt>
                <c:pt idx="798">
                  <c:v>0.56184316895715436</c:v>
                </c:pt>
                <c:pt idx="799">
                  <c:v>0.56184316895715436</c:v>
                </c:pt>
                <c:pt idx="800">
                  <c:v>0.56184316895715436</c:v>
                </c:pt>
                <c:pt idx="801">
                  <c:v>0.56184316895715436</c:v>
                </c:pt>
                <c:pt idx="802">
                  <c:v>0.56184316895715436</c:v>
                </c:pt>
                <c:pt idx="803">
                  <c:v>0.5623526770681333</c:v>
                </c:pt>
                <c:pt idx="804">
                  <c:v>0.5623526770681333</c:v>
                </c:pt>
                <c:pt idx="805">
                  <c:v>0.5623526770681333</c:v>
                </c:pt>
                <c:pt idx="806">
                  <c:v>0.5623526770681333</c:v>
                </c:pt>
                <c:pt idx="807">
                  <c:v>0.5623526770681333</c:v>
                </c:pt>
                <c:pt idx="808">
                  <c:v>0.5623526770681333</c:v>
                </c:pt>
                <c:pt idx="809">
                  <c:v>0.5623526770681333</c:v>
                </c:pt>
                <c:pt idx="810">
                  <c:v>0.5623526770681333</c:v>
                </c:pt>
                <c:pt idx="811">
                  <c:v>0.5623526770681333</c:v>
                </c:pt>
                <c:pt idx="812">
                  <c:v>0.5623526770681333</c:v>
                </c:pt>
                <c:pt idx="813">
                  <c:v>0.5623526770681333</c:v>
                </c:pt>
                <c:pt idx="814">
                  <c:v>0.5623526770681333</c:v>
                </c:pt>
                <c:pt idx="815">
                  <c:v>0.5623526770681333</c:v>
                </c:pt>
                <c:pt idx="816">
                  <c:v>0.5623526770681333</c:v>
                </c:pt>
                <c:pt idx="817">
                  <c:v>0.58866969089566412</c:v>
                </c:pt>
                <c:pt idx="818">
                  <c:v>0.58866969089566412</c:v>
                </c:pt>
                <c:pt idx="819">
                  <c:v>0.58866969089566412</c:v>
                </c:pt>
                <c:pt idx="820">
                  <c:v>0.58866969089566412</c:v>
                </c:pt>
                <c:pt idx="821">
                  <c:v>0.58866969089566412</c:v>
                </c:pt>
                <c:pt idx="822">
                  <c:v>0.58866969089566412</c:v>
                </c:pt>
                <c:pt idx="823">
                  <c:v>0.58866969089566412</c:v>
                </c:pt>
                <c:pt idx="824">
                  <c:v>0.59777110835939307</c:v>
                </c:pt>
                <c:pt idx="825">
                  <c:v>0.59777110835939307</c:v>
                </c:pt>
                <c:pt idx="826">
                  <c:v>0.59777110835939307</c:v>
                </c:pt>
                <c:pt idx="827">
                  <c:v>0.59777110835939307</c:v>
                </c:pt>
                <c:pt idx="828">
                  <c:v>0.59777110835939307</c:v>
                </c:pt>
                <c:pt idx="829">
                  <c:v>0.59777110835939307</c:v>
                </c:pt>
                <c:pt idx="830">
                  <c:v>0.59777110835939307</c:v>
                </c:pt>
                <c:pt idx="831">
                  <c:v>0.5560977653046264</c:v>
                </c:pt>
                <c:pt idx="832">
                  <c:v>0.5560977653046264</c:v>
                </c:pt>
                <c:pt idx="833">
                  <c:v>0.5560977653046264</c:v>
                </c:pt>
                <c:pt idx="834">
                  <c:v>0.5560977653046264</c:v>
                </c:pt>
                <c:pt idx="835">
                  <c:v>0.5560977653046264</c:v>
                </c:pt>
                <c:pt idx="836">
                  <c:v>0.5560977653046264</c:v>
                </c:pt>
                <c:pt idx="837">
                  <c:v>0.5560977653046264</c:v>
                </c:pt>
                <c:pt idx="838">
                  <c:v>0.55140008889453296</c:v>
                </c:pt>
                <c:pt idx="839">
                  <c:v>0.55140008889453296</c:v>
                </c:pt>
                <c:pt idx="840">
                  <c:v>0.55140008889453296</c:v>
                </c:pt>
                <c:pt idx="841">
                  <c:v>0.55140008889453296</c:v>
                </c:pt>
                <c:pt idx="842">
                  <c:v>0.55140008889453296</c:v>
                </c:pt>
                <c:pt idx="843">
                  <c:v>0.55140008889453296</c:v>
                </c:pt>
                <c:pt idx="844">
                  <c:v>0.55140008889453296</c:v>
                </c:pt>
                <c:pt idx="845">
                  <c:v>0.5372144594914634</c:v>
                </c:pt>
                <c:pt idx="846">
                  <c:v>0.5372144594914634</c:v>
                </c:pt>
                <c:pt idx="847">
                  <c:v>0.5372144594914634</c:v>
                </c:pt>
                <c:pt idx="848">
                  <c:v>0.5372144594914634</c:v>
                </c:pt>
                <c:pt idx="849">
                  <c:v>0.5372144594914634</c:v>
                </c:pt>
                <c:pt idx="850">
                  <c:v>0.5372144594914634</c:v>
                </c:pt>
                <c:pt idx="851">
                  <c:v>0.5372144594914634</c:v>
                </c:pt>
                <c:pt idx="852">
                  <c:v>0.52283327909751598</c:v>
                </c:pt>
                <c:pt idx="853">
                  <c:v>0.52283327909751598</c:v>
                </c:pt>
                <c:pt idx="854">
                  <c:v>0.52283327909751598</c:v>
                </c:pt>
                <c:pt idx="855">
                  <c:v>0.52283327909751598</c:v>
                </c:pt>
                <c:pt idx="856">
                  <c:v>0.52283327909751598</c:v>
                </c:pt>
                <c:pt idx="857">
                  <c:v>0.52283327909751598</c:v>
                </c:pt>
                <c:pt idx="858">
                  <c:v>0.52283327909751598</c:v>
                </c:pt>
                <c:pt idx="859">
                  <c:v>0.53346060027574504</c:v>
                </c:pt>
                <c:pt idx="860">
                  <c:v>0.53346060027574504</c:v>
                </c:pt>
                <c:pt idx="861">
                  <c:v>0.53346060027574504</c:v>
                </c:pt>
                <c:pt idx="862">
                  <c:v>0.53346060027574504</c:v>
                </c:pt>
                <c:pt idx="863">
                  <c:v>0.53346060027574504</c:v>
                </c:pt>
                <c:pt idx="864">
                  <c:v>0.53346060027574504</c:v>
                </c:pt>
                <c:pt idx="865">
                  <c:v>0.53346060027574504</c:v>
                </c:pt>
                <c:pt idx="866">
                  <c:v>0.56061742952084892</c:v>
                </c:pt>
                <c:pt idx="867">
                  <c:v>0.56061742952084892</c:v>
                </c:pt>
                <c:pt idx="868">
                  <c:v>0.56061742952084892</c:v>
                </c:pt>
                <c:pt idx="869">
                  <c:v>0.56061742952084892</c:v>
                </c:pt>
                <c:pt idx="870">
                  <c:v>0.56061742952084892</c:v>
                </c:pt>
                <c:pt idx="871">
                  <c:v>0.56061742952084892</c:v>
                </c:pt>
                <c:pt idx="872">
                  <c:v>0.56061742952084892</c:v>
                </c:pt>
                <c:pt idx="873">
                  <c:v>0.54969788648010132</c:v>
                </c:pt>
                <c:pt idx="874">
                  <c:v>0.54969788648010132</c:v>
                </c:pt>
                <c:pt idx="875">
                  <c:v>0.54969788648010132</c:v>
                </c:pt>
                <c:pt idx="876">
                  <c:v>0.54969788648010132</c:v>
                </c:pt>
                <c:pt idx="877">
                  <c:v>0.54969788648010132</c:v>
                </c:pt>
                <c:pt idx="878">
                  <c:v>0.54969788648010132</c:v>
                </c:pt>
                <c:pt idx="879">
                  <c:v>0.54969788648010132</c:v>
                </c:pt>
                <c:pt idx="880">
                  <c:v>0.54332418352865197</c:v>
                </c:pt>
                <c:pt idx="881">
                  <c:v>0.54332418352865197</c:v>
                </c:pt>
                <c:pt idx="882">
                  <c:v>0.54332418352865197</c:v>
                </c:pt>
                <c:pt idx="883">
                  <c:v>0.54332418352865197</c:v>
                </c:pt>
                <c:pt idx="884">
                  <c:v>0.54332418352865197</c:v>
                </c:pt>
                <c:pt idx="885">
                  <c:v>0.54332418352865197</c:v>
                </c:pt>
                <c:pt idx="886">
                  <c:v>0.54332418352865197</c:v>
                </c:pt>
                <c:pt idx="887">
                  <c:v>0.54867321318016093</c:v>
                </c:pt>
                <c:pt idx="888">
                  <c:v>0.54867321318016093</c:v>
                </c:pt>
                <c:pt idx="889">
                  <c:v>0.54867321318016093</c:v>
                </c:pt>
                <c:pt idx="890">
                  <c:v>0.54867321318016093</c:v>
                </c:pt>
                <c:pt idx="891">
                  <c:v>0.54867321318016093</c:v>
                </c:pt>
                <c:pt idx="892">
                  <c:v>0.54867321318016093</c:v>
                </c:pt>
                <c:pt idx="893">
                  <c:v>0.54867321318016093</c:v>
                </c:pt>
                <c:pt idx="894">
                  <c:v>0.55139272313911847</c:v>
                </c:pt>
                <c:pt idx="895">
                  <c:v>0.55139272313911847</c:v>
                </c:pt>
                <c:pt idx="896">
                  <c:v>0.55139272313911847</c:v>
                </c:pt>
                <c:pt idx="897">
                  <c:v>0.55139272313911847</c:v>
                </c:pt>
                <c:pt idx="898">
                  <c:v>0.55139272313911847</c:v>
                </c:pt>
                <c:pt idx="899">
                  <c:v>0.55139272313911847</c:v>
                </c:pt>
                <c:pt idx="900">
                  <c:v>0.55139272313911847</c:v>
                </c:pt>
                <c:pt idx="901">
                  <c:v>0.53216569735053587</c:v>
                </c:pt>
                <c:pt idx="902">
                  <c:v>0.53216569735053587</c:v>
                </c:pt>
                <c:pt idx="903">
                  <c:v>0.53216569735053587</c:v>
                </c:pt>
                <c:pt idx="904">
                  <c:v>0.53216569735053587</c:v>
                </c:pt>
                <c:pt idx="905">
                  <c:v>0.53216569735053587</c:v>
                </c:pt>
                <c:pt idx="906">
                  <c:v>0.53216569735053587</c:v>
                </c:pt>
                <c:pt idx="907">
                  <c:v>0.53216569735053587</c:v>
                </c:pt>
                <c:pt idx="908">
                  <c:v>0.54292466373655501</c:v>
                </c:pt>
                <c:pt idx="909">
                  <c:v>0.54292466373655501</c:v>
                </c:pt>
                <c:pt idx="910">
                  <c:v>0.54292466373655501</c:v>
                </c:pt>
                <c:pt idx="911">
                  <c:v>0.54292466373655501</c:v>
                </c:pt>
                <c:pt idx="912">
                  <c:v>0.54292466373655501</c:v>
                </c:pt>
                <c:pt idx="913">
                  <c:v>0.54292466373655501</c:v>
                </c:pt>
                <c:pt idx="914">
                  <c:v>0.54292466373655501</c:v>
                </c:pt>
                <c:pt idx="915">
                  <c:v>0.54791707626100439</c:v>
                </c:pt>
                <c:pt idx="916">
                  <c:v>0.54791707626100439</c:v>
                </c:pt>
                <c:pt idx="917">
                  <c:v>0.54791707626100439</c:v>
                </c:pt>
                <c:pt idx="918">
                  <c:v>0.54791707626100439</c:v>
                </c:pt>
                <c:pt idx="919">
                  <c:v>0.54791707626100439</c:v>
                </c:pt>
                <c:pt idx="920">
                  <c:v>0.54791707626100439</c:v>
                </c:pt>
                <c:pt idx="921">
                  <c:v>0.54791707626100439</c:v>
                </c:pt>
                <c:pt idx="922">
                  <c:v>0.56709528519617536</c:v>
                </c:pt>
                <c:pt idx="923">
                  <c:v>0.56709528519617536</c:v>
                </c:pt>
                <c:pt idx="924">
                  <c:v>0.56709528519617536</c:v>
                </c:pt>
                <c:pt idx="925">
                  <c:v>0.56709528519617536</c:v>
                </c:pt>
                <c:pt idx="926">
                  <c:v>0.56709528519617536</c:v>
                </c:pt>
                <c:pt idx="927">
                  <c:v>0.56709528519617536</c:v>
                </c:pt>
                <c:pt idx="928">
                  <c:v>0.56709528519617536</c:v>
                </c:pt>
                <c:pt idx="929">
                  <c:v>0.56990858684249956</c:v>
                </c:pt>
                <c:pt idx="930">
                  <c:v>0.56990858684249956</c:v>
                </c:pt>
                <c:pt idx="931">
                  <c:v>0.56990858684249956</c:v>
                </c:pt>
                <c:pt idx="932">
                  <c:v>0.56990858684249956</c:v>
                </c:pt>
                <c:pt idx="933">
                  <c:v>0.56990858684249956</c:v>
                </c:pt>
                <c:pt idx="934">
                  <c:v>0.56990858684249956</c:v>
                </c:pt>
                <c:pt idx="935">
                  <c:v>0.56990858684249956</c:v>
                </c:pt>
                <c:pt idx="936">
                  <c:v>0.54352321010656424</c:v>
                </c:pt>
                <c:pt idx="937">
                  <c:v>0.54352321010656424</c:v>
                </c:pt>
                <c:pt idx="938">
                  <c:v>0.54352321010656424</c:v>
                </c:pt>
                <c:pt idx="939">
                  <c:v>0.54352321010656424</c:v>
                </c:pt>
                <c:pt idx="940">
                  <c:v>0.54352321010656424</c:v>
                </c:pt>
                <c:pt idx="941">
                  <c:v>0.54352321010656424</c:v>
                </c:pt>
                <c:pt idx="942">
                  <c:v>0.54352321010656424</c:v>
                </c:pt>
                <c:pt idx="943">
                  <c:v>0.55182905904692181</c:v>
                </c:pt>
                <c:pt idx="944">
                  <c:v>0.55182905904692181</c:v>
                </c:pt>
                <c:pt idx="945">
                  <c:v>0.55182905904692181</c:v>
                </c:pt>
                <c:pt idx="946">
                  <c:v>0.55182905904692181</c:v>
                </c:pt>
                <c:pt idx="947">
                  <c:v>0.55182905904692181</c:v>
                </c:pt>
                <c:pt idx="948">
                  <c:v>0.55182905904692181</c:v>
                </c:pt>
                <c:pt idx="949">
                  <c:v>0.55182905904692181</c:v>
                </c:pt>
                <c:pt idx="950">
                  <c:v>0.55468163942624626</c:v>
                </c:pt>
                <c:pt idx="951">
                  <c:v>0.55468163942624626</c:v>
                </c:pt>
                <c:pt idx="952">
                  <c:v>0.55468163942624626</c:v>
                </c:pt>
                <c:pt idx="953">
                  <c:v>0.55468163942624626</c:v>
                </c:pt>
                <c:pt idx="954">
                  <c:v>0.55468163942624626</c:v>
                </c:pt>
                <c:pt idx="955">
                  <c:v>0.55468163942624626</c:v>
                </c:pt>
                <c:pt idx="956">
                  <c:v>0.55468163942624626</c:v>
                </c:pt>
                <c:pt idx="957">
                  <c:v>0.54963382081175416</c:v>
                </c:pt>
                <c:pt idx="958">
                  <c:v>0.54963382081175416</c:v>
                </c:pt>
                <c:pt idx="959">
                  <c:v>0.54963382081175416</c:v>
                </c:pt>
                <c:pt idx="960">
                  <c:v>0.54963382081175416</c:v>
                </c:pt>
                <c:pt idx="961">
                  <c:v>0.54963382081175416</c:v>
                </c:pt>
                <c:pt idx="962">
                  <c:v>0.54963382081175416</c:v>
                </c:pt>
                <c:pt idx="963">
                  <c:v>0.54963382081175416</c:v>
                </c:pt>
                <c:pt idx="964">
                  <c:v>0.54269405096853185</c:v>
                </c:pt>
                <c:pt idx="965">
                  <c:v>0.54269405096853185</c:v>
                </c:pt>
                <c:pt idx="966">
                  <c:v>0.54269405096853185</c:v>
                </c:pt>
                <c:pt idx="967">
                  <c:v>0.54269405096853185</c:v>
                </c:pt>
                <c:pt idx="968">
                  <c:v>0.54269405096853185</c:v>
                </c:pt>
                <c:pt idx="969">
                  <c:v>0.54269405096853185</c:v>
                </c:pt>
                <c:pt idx="970">
                  <c:v>0.54269405096853185</c:v>
                </c:pt>
                <c:pt idx="971">
                  <c:v>0.53405868169764092</c:v>
                </c:pt>
                <c:pt idx="972">
                  <c:v>0.53405868169764092</c:v>
                </c:pt>
                <c:pt idx="973">
                  <c:v>0.53405868169764092</c:v>
                </c:pt>
                <c:pt idx="974">
                  <c:v>0.53405868169764092</c:v>
                </c:pt>
                <c:pt idx="975">
                  <c:v>0.53405868169764092</c:v>
                </c:pt>
                <c:pt idx="976">
                  <c:v>0.53405868169764092</c:v>
                </c:pt>
                <c:pt idx="977">
                  <c:v>0.53405868169764092</c:v>
                </c:pt>
                <c:pt idx="978">
                  <c:v>0.54999162218445552</c:v>
                </c:pt>
                <c:pt idx="979">
                  <c:v>0.54999162218445552</c:v>
                </c:pt>
                <c:pt idx="980">
                  <c:v>0.54999162218445552</c:v>
                </c:pt>
                <c:pt idx="981">
                  <c:v>0.54999162218445552</c:v>
                </c:pt>
                <c:pt idx="982">
                  <c:v>0.54999162218445552</c:v>
                </c:pt>
                <c:pt idx="983">
                  <c:v>0.54999162218445552</c:v>
                </c:pt>
                <c:pt idx="984">
                  <c:v>0.54999162218445552</c:v>
                </c:pt>
                <c:pt idx="985">
                  <c:v>0.54548559226474713</c:v>
                </c:pt>
                <c:pt idx="986">
                  <c:v>0.54548559226474713</c:v>
                </c:pt>
                <c:pt idx="987">
                  <c:v>0.54548559226474713</c:v>
                </c:pt>
                <c:pt idx="988">
                  <c:v>0.54548559226474713</c:v>
                </c:pt>
                <c:pt idx="989">
                  <c:v>0.54548559226474713</c:v>
                </c:pt>
                <c:pt idx="990">
                  <c:v>0.54548559226474713</c:v>
                </c:pt>
                <c:pt idx="991">
                  <c:v>0.54548559226474713</c:v>
                </c:pt>
                <c:pt idx="992">
                  <c:v>0.57873309768792569</c:v>
                </c:pt>
                <c:pt idx="993">
                  <c:v>0.57873309768792569</c:v>
                </c:pt>
                <c:pt idx="994">
                  <c:v>0.57873309768792569</c:v>
                </c:pt>
                <c:pt idx="995">
                  <c:v>0.57873309768792569</c:v>
                </c:pt>
                <c:pt idx="996">
                  <c:v>0.57873309768792569</c:v>
                </c:pt>
                <c:pt idx="997">
                  <c:v>0.57873309768792569</c:v>
                </c:pt>
                <c:pt idx="998">
                  <c:v>0.57873309768792569</c:v>
                </c:pt>
                <c:pt idx="999">
                  <c:v>0.54904131152530566</c:v>
                </c:pt>
                <c:pt idx="1000">
                  <c:v>0.54904131152530566</c:v>
                </c:pt>
                <c:pt idx="1001">
                  <c:v>0.54904131152530566</c:v>
                </c:pt>
                <c:pt idx="1002">
                  <c:v>0.54904131152530566</c:v>
                </c:pt>
                <c:pt idx="1003">
                  <c:v>0.54904131152530566</c:v>
                </c:pt>
                <c:pt idx="1004">
                  <c:v>0.54904131152530566</c:v>
                </c:pt>
                <c:pt idx="1005">
                  <c:v>0.54904131152530566</c:v>
                </c:pt>
                <c:pt idx="1006">
                  <c:v>0.54601871700317306</c:v>
                </c:pt>
                <c:pt idx="1007">
                  <c:v>0.54601871700317306</c:v>
                </c:pt>
                <c:pt idx="1008">
                  <c:v>0.54601871700317306</c:v>
                </c:pt>
                <c:pt idx="1009">
                  <c:v>0.54601871700317306</c:v>
                </c:pt>
                <c:pt idx="1010">
                  <c:v>0.54601871700317306</c:v>
                </c:pt>
                <c:pt idx="1011">
                  <c:v>0.54601871700317306</c:v>
                </c:pt>
                <c:pt idx="1012">
                  <c:v>0.54601871700317306</c:v>
                </c:pt>
                <c:pt idx="1013">
                  <c:v>0.57971383703087087</c:v>
                </c:pt>
                <c:pt idx="1014">
                  <c:v>0.57971383703087087</c:v>
                </c:pt>
                <c:pt idx="1015">
                  <c:v>0.57971383703087087</c:v>
                </c:pt>
                <c:pt idx="1016">
                  <c:v>0.57971383703087087</c:v>
                </c:pt>
                <c:pt idx="1017">
                  <c:v>0.57971383703087087</c:v>
                </c:pt>
                <c:pt idx="1018">
                  <c:v>0.57971383703087087</c:v>
                </c:pt>
                <c:pt idx="1019">
                  <c:v>0.57971383703087087</c:v>
                </c:pt>
                <c:pt idx="1020">
                  <c:v>0.59430924626259996</c:v>
                </c:pt>
                <c:pt idx="1021">
                  <c:v>0.59430924626259996</c:v>
                </c:pt>
                <c:pt idx="1022">
                  <c:v>0.59430924626259996</c:v>
                </c:pt>
                <c:pt idx="1023">
                  <c:v>0.59430924626259996</c:v>
                </c:pt>
                <c:pt idx="1024">
                  <c:v>0.59430924626259996</c:v>
                </c:pt>
                <c:pt idx="1025">
                  <c:v>0.59430924626259996</c:v>
                </c:pt>
                <c:pt idx="1026">
                  <c:v>0.59430924626259996</c:v>
                </c:pt>
                <c:pt idx="1027">
                  <c:v>0.58957084808398263</c:v>
                </c:pt>
                <c:pt idx="1028">
                  <c:v>0.58957084808398263</c:v>
                </c:pt>
                <c:pt idx="1029">
                  <c:v>0.58957084808398263</c:v>
                </c:pt>
                <c:pt idx="1030">
                  <c:v>0.58957084808398263</c:v>
                </c:pt>
                <c:pt idx="1031">
                  <c:v>0.58957084808398263</c:v>
                </c:pt>
                <c:pt idx="1032">
                  <c:v>0.58957084808398263</c:v>
                </c:pt>
                <c:pt idx="1033">
                  <c:v>0.58957084808398263</c:v>
                </c:pt>
                <c:pt idx="1034">
                  <c:v>0.61111345553936103</c:v>
                </c:pt>
                <c:pt idx="1035">
                  <c:v>0.61111345553936103</c:v>
                </c:pt>
                <c:pt idx="1036">
                  <c:v>0.61111345553936103</c:v>
                </c:pt>
                <c:pt idx="1037">
                  <c:v>0.61111345553936103</c:v>
                </c:pt>
                <c:pt idx="1038">
                  <c:v>0.61111345553936103</c:v>
                </c:pt>
                <c:pt idx="1039">
                  <c:v>0.61111345553936103</c:v>
                </c:pt>
                <c:pt idx="1040">
                  <c:v>0.61111345553936103</c:v>
                </c:pt>
                <c:pt idx="1041">
                  <c:v>0.61621965148171276</c:v>
                </c:pt>
                <c:pt idx="1042">
                  <c:v>0.61621965148171276</c:v>
                </c:pt>
                <c:pt idx="1043">
                  <c:v>0.61621965148171276</c:v>
                </c:pt>
                <c:pt idx="1044">
                  <c:v>0.61621965148171276</c:v>
                </c:pt>
                <c:pt idx="1045">
                  <c:v>0.61621965148171276</c:v>
                </c:pt>
                <c:pt idx="1046">
                  <c:v>0.61621965148171276</c:v>
                </c:pt>
                <c:pt idx="1047">
                  <c:v>0.61621965148171276</c:v>
                </c:pt>
                <c:pt idx="1048">
                  <c:v>0.604997110689109</c:v>
                </c:pt>
                <c:pt idx="1049">
                  <c:v>0.604997110689109</c:v>
                </c:pt>
                <c:pt idx="1050">
                  <c:v>0.604997110689109</c:v>
                </c:pt>
                <c:pt idx="1051">
                  <c:v>0.604997110689109</c:v>
                </c:pt>
                <c:pt idx="1052">
                  <c:v>0.604997110689109</c:v>
                </c:pt>
                <c:pt idx="1053">
                  <c:v>0.604997110689109</c:v>
                </c:pt>
                <c:pt idx="1054">
                  <c:v>0.604997110689109</c:v>
                </c:pt>
                <c:pt idx="1055">
                  <c:v>0.6375537771198595</c:v>
                </c:pt>
                <c:pt idx="1056">
                  <c:v>0.6375537771198595</c:v>
                </c:pt>
                <c:pt idx="1057">
                  <c:v>0.6375537771198595</c:v>
                </c:pt>
                <c:pt idx="1058">
                  <c:v>0.6375537771198595</c:v>
                </c:pt>
                <c:pt idx="1059">
                  <c:v>0.6375537771198595</c:v>
                </c:pt>
                <c:pt idx="1060">
                  <c:v>0.6375537771198595</c:v>
                </c:pt>
                <c:pt idx="1061">
                  <c:v>0.6375537771198595</c:v>
                </c:pt>
                <c:pt idx="1062">
                  <c:v>0.6375537771198595</c:v>
                </c:pt>
                <c:pt idx="1063">
                  <c:v>0.62627508126891607</c:v>
                </c:pt>
                <c:pt idx="1064">
                  <c:v>0.62627508126891607</c:v>
                </c:pt>
                <c:pt idx="1065">
                  <c:v>0.62627508126891607</c:v>
                </c:pt>
                <c:pt idx="1066">
                  <c:v>0.62627508126891607</c:v>
                </c:pt>
                <c:pt idx="1067">
                  <c:v>0.62627508126891607</c:v>
                </c:pt>
                <c:pt idx="1068">
                  <c:v>0.62627508126891607</c:v>
                </c:pt>
                <c:pt idx="1069">
                  <c:v>0.64363519863306284</c:v>
                </c:pt>
                <c:pt idx="1070">
                  <c:v>0.64363519863306284</c:v>
                </c:pt>
                <c:pt idx="1071">
                  <c:v>0.64363519863306284</c:v>
                </c:pt>
                <c:pt idx="1072">
                  <c:v>0.64363519863306284</c:v>
                </c:pt>
                <c:pt idx="1073">
                  <c:v>0.64363519863306284</c:v>
                </c:pt>
                <c:pt idx="1074">
                  <c:v>0.64363519863306284</c:v>
                </c:pt>
                <c:pt idx="1075">
                  <c:v>0.64363519863306284</c:v>
                </c:pt>
                <c:pt idx="1076">
                  <c:v>0.64363519863306284</c:v>
                </c:pt>
                <c:pt idx="1077">
                  <c:v>0.64363519863306284</c:v>
                </c:pt>
                <c:pt idx="1078">
                  <c:v>0.64363519863306284</c:v>
                </c:pt>
                <c:pt idx="1079">
                  <c:v>0.64363519863306284</c:v>
                </c:pt>
                <c:pt idx="1080">
                  <c:v>0.64363519863306284</c:v>
                </c:pt>
                <c:pt idx="1081">
                  <c:v>0.64363519863306284</c:v>
                </c:pt>
                <c:pt idx="1082">
                  <c:v>0.64363519863306284</c:v>
                </c:pt>
                <c:pt idx="1083">
                  <c:v>0.60199483137908194</c:v>
                </c:pt>
                <c:pt idx="1084">
                  <c:v>0.60199483137908194</c:v>
                </c:pt>
                <c:pt idx="1085">
                  <c:v>0.60199483137908194</c:v>
                </c:pt>
                <c:pt idx="1086">
                  <c:v>0.60199483137908194</c:v>
                </c:pt>
                <c:pt idx="1087">
                  <c:v>0.60199483137908194</c:v>
                </c:pt>
                <c:pt idx="1088">
                  <c:v>0.60199483137908194</c:v>
                </c:pt>
                <c:pt idx="1089">
                  <c:v>0.60199483137908194</c:v>
                </c:pt>
                <c:pt idx="1090">
                  <c:v>0.60199483137908194</c:v>
                </c:pt>
                <c:pt idx="1091">
                  <c:v>0.581778889899909</c:v>
                </c:pt>
                <c:pt idx="1092">
                  <c:v>0.581778889899909</c:v>
                </c:pt>
                <c:pt idx="1093">
                  <c:v>0.581778889899909</c:v>
                </c:pt>
                <c:pt idx="1094">
                  <c:v>0.581778889899909</c:v>
                </c:pt>
                <c:pt idx="1095">
                  <c:v>0.581778889899909</c:v>
                </c:pt>
                <c:pt idx="1096">
                  <c:v>0.581778889899909</c:v>
                </c:pt>
                <c:pt idx="1097">
                  <c:v>0.55903093721565056</c:v>
                </c:pt>
                <c:pt idx="1098">
                  <c:v>0.55903093721565056</c:v>
                </c:pt>
                <c:pt idx="1099">
                  <c:v>0.55903093721565056</c:v>
                </c:pt>
                <c:pt idx="1100">
                  <c:v>0.55903093721565056</c:v>
                </c:pt>
                <c:pt idx="1101">
                  <c:v>0.55903093721565056</c:v>
                </c:pt>
                <c:pt idx="1102">
                  <c:v>0.55903093721565056</c:v>
                </c:pt>
                <c:pt idx="1103">
                  <c:v>0.55903093721565056</c:v>
                </c:pt>
                <c:pt idx="1104">
                  <c:v>0.59315286624203822</c:v>
                </c:pt>
                <c:pt idx="1105">
                  <c:v>0.59315286624203822</c:v>
                </c:pt>
                <c:pt idx="1106">
                  <c:v>0.59315286624203822</c:v>
                </c:pt>
                <c:pt idx="1107">
                  <c:v>0.59315286624203822</c:v>
                </c:pt>
                <c:pt idx="1108">
                  <c:v>0.59315286624203822</c:v>
                </c:pt>
                <c:pt idx="1109">
                  <c:v>0.59315286624203822</c:v>
                </c:pt>
                <c:pt idx="1110">
                  <c:v>0.59315286624203822</c:v>
                </c:pt>
                <c:pt idx="1111">
                  <c:v>0.59315286624203822</c:v>
                </c:pt>
                <c:pt idx="1112">
                  <c:v>0.59315286624203822</c:v>
                </c:pt>
                <c:pt idx="1113">
                  <c:v>0.59315286624203822</c:v>
                </c:pt>
                <c:pt idx="1114">
                  <c:v>0.59315286624203822</c:v>
                </c:pt>
                <c:pt idx="1115">
                  <c:v>0.59315286624203822</c:v>
                </c:pt>
                <c:pt idx="1116">
                  <c:v>0.59315286624203822</c:v>
                </c:pt>
                <c:pt idx="1117">
                  <c:v>0.59315286624203822</c:v>
                </c:pt>
                <c:pt idx="1118">
                  <c:v>0.59656505914467695</c:v>
                </c:pt>
                <c:pt idx="1119">
                  <c:v>0.59656505914467695</c:v>
                </c:pt>
                <c:pt idx="1120">
                  <c:v>0.59656505914467695</c:v>
                </c:pt>
                <c:pt idx="1121">
                  <c:v>0.59656505914467695</c:v>
                </c:pt>
                <c:pt idx="1122">
                  <c:v>0.59656505914467695</c:v>
                </c:pt>
                <c:pt idx="1123">
                  <c:v>0.59656505914467695</c:v>
                </c:pt>
                <c:pt idx="1124">
                  <c:v>0.59656505914467695</c:v>
                </c:pt>
                <c:pt idx="1125">
                  <c:v>0.59101303453007092</c:v>
                </c:pt>
                <c:pt idx="1126">
                  <c:v>0.59101303453007092</c:v>
                </c:pt>
                <c:pt idx="1127">
                  <c:v>0.59101303453007092</c:v>
                </c:pt>
                <c:pt idx="1128">
                  <c:v>0.59101303453007092</c:v>
                </c:pt>
                <c:pt idx="1129">
                  <c:v>0.59101303453007092</c:v>
                </c:pt>
                <c:pt idx="1130">
                  <c:v>0.59101303453007092</c:v>
                </c:pt>
                <c:pt idx="1131">
                  <c:v>0.59101303453007092</c:v>
                </c:pt>
                <c:pt idx="1132">
                  <c:v>0.63903498742282183</c:v>
                </c:pt>
                <c:pt idx="1133">
                  <c:v>0.63903498742282183</c:v>
                </c:pt>
                <c:pt idx="1134">
                  <c:v>0.63903498742282183</c:v>
                </c:pt>
                <c:pt idx="1135">
                  <c:v>0.63903498742282183</c:v>
                </c:pt>
                <c:pt idx="1136">
                  <c:v>0.63903498742282183</c:v>
                </c:pt>
                <c:pt idx="1137">
                  <c:v>0.63903498742282183</c:v>
                </c:pt>
                <c:pt idx="1138">
                  <c:v>0.63903498742282183</c:v>
                </c:pt>
                <c:pt idx="1139">
                  <c:v>0.66984713245101057</c:v>
                </c:pt>
                <c:pt idx="1140">
                  <c:v>0.66984713245101057</c:v>
                </c:pt>
                <c:pt idx="1141">
                  <c:v>0.66984713245101057</c:v>
                </c:pt>
                <c:pt idx="1142">
                  <c:v>0.66984713245101057</c:v>
                </c:pt>
                <c:pt idx="1143">
                  <c:v>0.66984713245101057</c:v>
                </c:pt>
                <c:pt idx="1144">
                  <c:v>0.66984713245101057</c:v>
                </c:pt>
                <c:pt idx="1145">
                  <c:v>0.66984713245101057</c:v>
                </c:pt>
                <c:pt idx="1146">
                  <c:v>0.67111339148281168</c:v>
                </c:pt>
                <c:pt idx="1147">
                  <c:v>0.67111339148281168</c:v>
                </c:pt>
                <c:pt idx="1148">
                  <c:v>0.67111339148281168</c:v>
                </c:pt>
                <c:pt idx="1149">
                  <c:v>0.67111339148281168</c:v>
                </c:pt>
                <c:pt idx="1150">
                  <c:v>0.67111339148281168</c:v>
                </c:pt>
                <c:pt idx="1151">
                  <c:v>0.67111339148281168</c:v>
                </c:pt>
                <c:pt idx="1152">
                  <c:v>0.67111339148281168</c:v>
                </c:pt>
                <c:pt idx="1153">
                  <c:v>0.70271774417957522</c:v>
                </c:pt>
                <c:pt idx="1154">
                  <c:v>0.70271774417957522</c:v>
                </c:pt>
                <c:pt idx="1155">
                  <c:v>0.70271774417957522</c:v>
                </c:pt>
                <c:pt idx="1156">
                  <c:v>0.70271774417957522</c:v>
                </c:pt>
                <c:pt idx="1157">
                  <c:v>0.70271774417957522</c:v>
                </c:pt>
                <c:pt idx="1158">
                  <c:v>0.70271774417957522</c:v>
                </c:pt>
                <c:pt idx="1159">
                  <c:v>0.70271774417957522</c:v>
                </c:pt>
                <c:pt idx="1160">
                  <c:v>0.70271774417957522</c:v>
                </c:pt>
                <c:pt idx="1161">
                  <c:v>0.70271774417957522</c:v>
                </c:pt>
                <c:pt idx="1162">
                  <c:v>0.70271774417957522</c:v>
                </c:pt>
                <c:pt idx="1163">
                  <c:v>0.70271774417957522</c:v>
                </c:pt>
                <c:pt idx="1164">
                  <c:v>0.70271774417957522</c:v>
                </c:pt>
                <c:pt idx="1165">
                  <c:v>0.70271774417957522</c:v>
                </c:pt>
                <c:pt idx="1166">
                  <c:v>0.70271774417957522</c:v>
                </c:pt>
                <c:pt idx="1167">
                  <c:v>0.7305444763936555</c:v>
                </c:pt>
                <c:pt idx="1168">
                  <c:v>0.7305444763936555</c:v>
                </c:pt>
                <c:pt idx="1169">
                  <c:v>0.7305444763936555</c:v>
                </c:pt>
                <c:pt idx="1170">
                  <c:v>0.7305444763936555</c:v>
                </c:pt>
                <c:pt idx="1171">
                  <c:v>0.7305444763936555</c:v>
                </c:pt>
                <c:pt idx="1172">
                  <c:v>0.7305444763936555</c:v>
                </c:pt>
                <c:pt idx="1173">
                  <c:v>0.7305444763936555</c:v>
                </c:pt>
                <c:pt idx="1174">
                  <c:v>0.72312401446990071</c:v>
                </c:pt>
                <c:pt idx="1175">
                  <c:v>0.72312401446990071</c:v>
                </c:pt>
                <c:pt idx="1176">
                  <c:v>0.72312401446990071</c:v>
                </c:pt>
                <c:pt idx="1177">
                  <c:v>0.72312401446990071</c:v>
                </c:pt>
                <c:pt idx="1178">
                  <c:v>0.72312401446990071</c:v>
                </c:pt>
                <c:pt idx="1179">
                  <c:v>0.72312401446990071</c:v>
                </c:pt>
                <c:pt idx="1180">
                  <c:v>0.72312401446990071</c:v>
                </c:pt>
                <c:pt idx="1181">
                  <c:v>0.71116936616421689</c:v>
                </c:pt>
                <c:pt idx="1182">
                  <c:v>0.71116936616421689</c:v>
                </c:pt>
                <c:pt idx="1183">
                  <c:v>0.71116936616421689</c:v>
                </c:pt>
                <c:pt idx="1184">
                  <c:v>0.71116936616421689</c:v>
                </c:pt>
                <c:pt idx="1185">
                  <c:v>0.71116936616421689</c:v>
                </c:pt>
                <c:pt idx="1186">
                  <c:v>0.72989420466248478</c:v>
                </c:pt>
                <c:pt idx="1187">
                  <c:v>0.72989420466248478</c:v>
                </c:pt>
                <c:pt idx="1188">
                  <c:v>0.72989420466248478</c:v>
                </c:pt>
                <c:pt idx="1189">
                  <c:v>0.72989420466248478</c:v>
                </c:pt>
                <c:pt idx="1190">
                  <c:v>0.72989420466248478</c:v>
                </c:pt>
                <c:pt idx="1191">
                  <c:v>0.72989420466248478</c:v>
                </c:pt>
                <c:pt idx="1192">
                  <c:v>0.72989420466248478</c:v>
                </c:pt>
                <c:pt idx="1193">
                  <c:v>0.72989420466248478</c:v>
                </c:pt>
                <c:pt idx="1194">
                  <c:v>0.72989420466248478</c:v>
                </c:pt>
                <c:pt idx="1195">
                  <c:v>0.71491433386387038</c:v>
                </c:pt>
                <c:pt idx="1196">
                  <c:v>0.71491433386387038</c:v>
                </c:pt>
                <c:pt idx="1197">
                  <c:v>0.71491433386387038</c:v>
                </c:pt>
                <c:pt idx="1198">
                  <c:v>0.71491433386387038</c:v>
                </c:pt>
                <c:pt idx="1199">
                  <c:v>0.71491433386387038</c:v>
                </c:pt>
                <c:pt idx="1200">
                  <c:v>0.71491433386387038</c:v>
                </c:pt>
                <c:pt idx="1201">
                  <c:v>0.71491433386387038</c:v>
                </c:pt>
                <c:pt idx="1202">
                  <c:v>0.71491433386387038</c:v>
                </c:pt>
                <c:pt idx="1203">
                  <c:v>0.70555191461473643</c:v>
                </c:pt>
                <c:pt idx="1204">
                  <c:v>0.70555191461473643</c:v>
                </c:pt>
                <c:pt idx="1205">
                  <c:v>0.70555191461473643</c:v>
                </c:pt>
                <c:pt idx="1206">
                  <c:v>0.70555191461473643</c:v>
                </c:pt>
                <c:pt idx="1207">
                  <c:v>0.70555191461473643</c:v>
                </c:pt>
                <c:pt idx="1208">
                  <c:v>0.70555191461473643</c:v>
                </c:pt>
                <c:pt idx="1209">
                  <c:v>0.68495459226664168</c:v>
                </c:pt>
                <c:pt idx="1210">
                  <c:v>0.68495459226664168</c:v>
                </c:pt>
                <c:pt idx="1211">
                  <c:v>0.68495459226664168</c:v>
                </c:pt>
                <c:pt idx="1212">
                  <c:v>0.68495459226664168</c:v>
                </c:pt>
                <c:pt idx="1213">
                  <c:v>0.68495459226664168</c:v>
                </c:pt>
                <c:pt idx="1214">
                  <c:v>0.68495459226664168</c:v>
                </c:pt>
                <c:pt idx="1215">
                  <c:v>0.68495459226664168</c:v>
                </c:pt>
                <c:pt idx="1216">
                  <c:v>0.68495459226664168</c:v>
                </c:pt>
                <c:pt idx="1217">
                  <c:v>0.68495459226664168</c:v>
                </c:pt>
                <c:pt idx="1218">
                  <c:v>0.68495459226664168</c:v>
                </c:pt>
                <c:pt idx="1219">
                  <c:v>0.68495459226664168</c:v>
                </c:pt>
                <c:pt idx="1220">
                  <c:v>0.68495459226664168</c:v>
                </c:pt>
                <c:pt idx="1221">
                  <c:v>0.68495459226664168</c:v>
                </c:pt>
                <c:pt idx="1222">
                  <c:v>0.68495459226664168</c:v>
                </c:pt>
                <c:pt idx="1223">
                  <c:v>0.7027431888399962</c:v>
                </c:pt>
                <c:pt idx="1224">
                  <c:v>0.7027431888399962</c:v>
                </c:pt>
                <c:pt idx="1225">
                  <c:v>0.7027431888399962</c:v>
                </c:pt>
                <c:pt idx="1226">
                  <c:v>0.7027431888399962</c:v>
                </c:pt>
                <c:pt idx="1227">
                  <c:v>0.7027431888399962</c:v>
                </c:pt>
                <c:pt idx="1228">
                  <c:v>0.7027431888399962</c:v>
                </c:pt>
                <c:pt idx="1229">
                  <c:v>0.7027431888399962</c:v>
                </c:pt>
                <c:pt idx="1230">
                  <c:v>0.69709857291371324</c:v>
                </c:pt>
                <c:pt idx="1231">
                  <c:v>0.69709857291371324</c:v>
                </c:pt>
                <c:pt idx="1232">
                  <c:v>0.69709857291371324</c:v>
                </c:pt>
                <c:pt idx="1233">
                  <c:v>0.69709857291371324</c:v>
                </c:pt>
                <c:pt idx="1234">
                  <c:v>0.69709857291371324</c:v>
                </c:pt>
                <c:pt idx="1235">
                  <c:v>0.69709857291371324</c:v>
                </c:pt>
                <c:pt idx="1236">
                  <c:v>0.69709857291371324</c:v>
                </c:pt>
                <c:pt idx="1237">
                  <c:v>0.70631090064657132</c:v>
                </c:pt>
                <c:pt idx="1238">
                  <c:v>0.70631090064657132</c:v>
                </c:pt>
                <c:pt idx="1239">
                  <c:v>0.70631090064657132</c:v>
                </c:pt>
                <c:pt idx="1240">
                  <c:v>0.70631090064657132</c:v>
                </c:pt>
                <c:pt idx="1241">
                  <c:v>0.70631090064657132</c:v>
                </c:pt>
                <c:pt idx="1242">
                  <c:v>0.70631090064657132</c:v>
                </c:pt>
                <c:pt idx="1243">
                  <c:v>0.70631090064657132</c:v>
                </c:pt>
                <c:pt idx="1244">
                  <c:v>0.70361180038599391</c:v>
                </c:pt>
                <c:pt idx="1245">
                  <c:v>0.70361180038599391</c:v>
                </c:pt>
                <c:pt idx="1246">
                  <c:v>0.70361180038599391</c:v>
                </c:pt>
                <c:pt idx="1247">
                  <c:v>0.70361180038599391</c:v>
                </c:pt>
                <c:pt idx="1248">
                  <c:v>0.70361180038599391</c:v>
                </c:pt>
                <c:pt idx="1249">
                  <c:v>0.70361180038599391</c:v>
                </c:pt>
                <c:pt idx="1250">
                  <c:v>0.70361180038599391</c:v>
                </c:pt>
                <c:pt idx="1251">
                  <c:v>0.70978770333609043</c:v>
                </c:pt>
                <c:pt idx="1252">
                  <c:v>0.70978770333609043</c:v>
                </c:pt>
                <c:pt idx="1253">
                  <c:v>0.70978770333609043</c:v>
                </c:pt>
                <c:pt idx="1254">
                  <c:v>0.70978770333609043</c:v>
                </c:pt>
                <c:pt idx="1255">
                  <c:v>0.70978770333609043</c:v>
                </c:pt>
                <c:pt idx="1256">
                  <c:v>0.70978770333609043</c:v>
                </c:pt>
                <c:pt idx="1257">
                  <c:v>0.70978770333609043</c:v>
                </c:pt>
                <c:pt idx="1258">
                  <c:v>0.71530190239867653</c:v>
                </c:pt>
                <c:pt idx="1259">
                  <c:v>0.71530190239867653</c:v>
                </c:pt>
                <c:pt idx="1260">
                  <c:v>0.71530190239867653</c:v>
                </c:pt>
                <c:pt idx="1261">
                  <c:v>0.71530190239867653</c:v>
                </c:pt>
                <c:pt idx="1262">
                  <c:v>0.71530190239867653</c:v>
                </c:pt>
                <c:pt idx="1263">
                  <c:v>0.71530190239867653</c:v>
                </c:pt>
                <c:pt idx="1264">
                  <c:v>0.71530190239867653</c:v>
                </c:pt>
                <c:pt idx="1265">
                  <c:v>0.73899447617264302</c:v>
                </c:pt>
                <c:pt idx="1266">
                  <c:v>0.73899447617264302</c:v>
                </c:pt>
                <c:pt idx="1267">
                  <c:v>0.73899447617264302</c:v>
                </c:pt>
                <c:pt idx="1268">
                  <c:v>0.73899447617264302</c:v>
                </c:pt>
                <c:pt idx="1269">
                  <c:v>0.73899447617264302</c:v>
                </c:pt>
                <c:pt idx="1270">
                  <c:v>0.73899447617264302</c:v>
                </c:pt>
                <c:pt idx="1271">
                  <c:v>0.73899447617264302</c:v>
                </c:pt>
                <c:pt idx="1272">
                  <c:v>0.76952485984744057</c:v>
                </c:pt>
                <c:pt idx="1273">
                  <c:v>0.76952485984744057</c:v>
                </c:pt>
                <c:pt idx="1274">
                  <c:v>0.76952485984744057</c:v>
                </c:pt>
                <c:pt idx="1275">
                  <c:v>0.76952485984744057</c:v>
                </c:pt>
                <c:pt idx="1276">
                  <c:v>0.76952485984744057</c:v>
                </c:pt>
                <c:pt idx="1277">
                  <c:v>0.76952485984744057</c:v>
                </c:pt>
                <c:pt idx="1278">
                  <c:v>0.76952485984744057</c:v>
                </c:pt>
                <c:pt idx="1279">
                  <c:v>0.76952485984744057</c:v>
                </c:pt>
                <c:pt idx="1280">
                  <c:v>0.76952485984744057</c:v>
                </c:pt>
                <c:pt idx="1281">
                  <c:v>0.76952485984744057</c:v>
                </c:pt>
                <c:pt idx="1282">
                  <c:v>0.76952485984744057</c:v>
                </c:pt>
                <c:pt idx="1283">
                  <c:v>0.76952485984744057</c:v>
                </c:pt>
                <c:pt idx="1284">
                  <c:v>0.76952485984744057</c:v>
                </c:pt>
                <c:pt idx="1285">
                  <c:v>0.76952485984744057</c:v>
                </c:pt>
                <c:pt idx="1286">
                  <c:v>0.77871519161841751</c:v>
                </c:pt>
                <c:pt idx="1287">
                  <c:v>0.77871519161841751</c:v>
                </c:pt>
                <c:pt idx="1288">
                  <c:v>0.77871519161841751</c:v>
                </c:pt>
                <c:pt idx="1289">
                  <c:v>0.77871519161841751</c:v>
                </c:pt>
                <c:pt idx="1290">
                  <c:v>0.77871519161841751</c:v>
                </c:pt>
                <c:pt idx="1291">
                  <c:v>0.77871519161841751</c:v>
                </c:pt>
                <c:pt idx="1292">
                  <c:v>0.77871519161841751</c:v>
                </c:pt>
                <c:pt idx="1293">
                  <c:v>0.76953405017921139</c:v>
                </c:pt>
                <c:pt idx="1294">
                  <c:v>0.76953405017921139</c:v>
                </c:pt>
                <c:pt idx="1295">
                  <c:v>0.76953405017921139</c:v>
                </c:pt>
                <c:pt idx="1296">
                  <c:v>0.76953405017921139</c:v>
                </c:pt>
                <c:pt idx="1297">
                  <c:v>0.76953405017921139</c:v>
                </c:pt>
                <c:pt idx="1298">
                  <c:v>0.76953405017921139</c:v>
                </c:pt>
                <c:pt idx="1299">
                  <c:v>0.76953405017921139</c:v>
                </c:pt>
                <c:pt idx="1300">
                  <c:v>0.76553195436415922</c:v>
                </c:pt>
                <c:pt idx="1301">
                  <c:v>0.76553195436415922</c:v>
                </c:pt>
                <c:pt idx="1302">
                  <c:v>0.76553195436415922</c:v>
                </c:pt>
                <c:pt idx="1303">
                  <c:v>0.76553195436415922</c:v>
                </c:pt>
                <c:pt idx="1304">
                  <c:v>0.76553195436415922</c:v>
                </c:pt>
                <c:pt idx="1305">
                  <c:v>0.76553195436415922</c:v>
                </c:pt>
                <c:pt idx="1306">
                  <c:v>0.76553195436415922</c:v>
                </c:pt>
                <c:pt idx="1307">
                  <c:v>0.75069103051664965</c:v>
                </c:pt>
                <c:pt idx="1308">
                  <c:v>0.75069103051664965</c:v>
                </c:pt>
                <c:pt idx="1309">
                  <c:v>0.75069103051664965</c:v>
                </c:pt>
                <c:pt idx="1310">
                  <c:v>0.75069103051664965</c:v>
                </c:pt>
                <c:pt idx="1311">
                  <c:v>0.75069103051664965</c:v>
                </c:pt>
                <c:pt idx="1312">
                  <c:v>0.75069103051664965</c:v>
                </c:pt>
                <c:pt idx="1313">
                  <c:v>0.75069103051664965</c:v>
                </c:pt>
                <c:pt idx="1314">
                  <c:v>0.75069103051664965</c:v>
                </c:pt>
                <c:pt idx="1315">
                  <c:v>0.75069103051664965</c:v>
                </c:pt>
                <c:pt idx="1316">
                  <c:v>0.75069103051664965</c:v>
                </c:pt>
                <c:pt idx="1317">
                  <c:v>0.75069103051664965</c:v>
                </c:pt>
                <c:pt idx="1318">
                  <c:v>0.75069103051664965</c:v>
                </c:pt>
                <c:pt idx="1319">
                  <c:v>0.75069103051664965</c:v>
                </c:pt>
                <c:pt idx="1320">
                  <c:v>0.75069103051664965</c:v>
                </c:pt>
                <c:pt idx="1321">
                  <c:v>0.72982098135608942</c:v>
                </c:pt>
                <c:pt idx="1322">
                  <c:v>0.72982098135608942</c:v>
                </c:pt>
                <c:pt idx="1323">
                  <c:v>0.72982098135608942</c:v>
                </c:pt>
                <c:pt idx="1324">
                  <c:v>0.72982098135608942</c:v>
                </c:pt>
                <c:pt idx="1325">
                  <c:v>0.72982098135608942</c:v>
                </c:pt>
                <c:pt idx="1326">
                  <c:v>0.72982098135608942</c:v>
                </c:pt>
                <c:pt idx="1327">
                  <c:v>0.72982098135608942</c:v>
                </c:pt>
                <c:pt idx="1328">
                  <c:v>0.72490492533160189</c:v>
                </c:pt>
                <c:pt idx="1329">
                  <c:v>0.72490492533160189</c:v>
                </c:pt>
                <c:pt idx="1330">
                  <c:v>0.72490492533160189</c:v>
                </c:pt>
                <c:pt idx="1331">
                  <c:v>0.72490492533160189</c:v>
                </c:pt>
                <c:pt idx="1332">
                  <c:v>0.72490492533160189</c:v>
                </c:pt>
                <c:pt idx="1333">
                  <c:v>0.72490492533160189</c:v>
                </c:pt>
                <c:pt idx="1334">
                  <c:v>0.71824280856538925</c:v>
                </c:pt>
                <c:pt idx="1335">
                  <c:v>0.72743314033636608</c:v>
                </c:pt>
                <c:pt idx="1336">
                  <c:v>0.72743314033636608</c:v>
                </c:pt>
                <c:pt idx="1337">
                  <c:v>0.72743314033636608</c:v>
                </c:pt>
                <c:pt idx="1338">
                  <c:v>0.72743314033636608</c:v>
                </c:pt>
                <c:pt idx="1339">
                  <c:v>0.72743314033636608</c:v>
                </c:pt>
                <c:pt idx="1340">
                  <c:v>0.72743314033636608</c:v>
                </c:pt>
                <c:pt idx="1341">
                  <c:v>0.72743314033636608</c:v>
                </c:pt>
                <c:pt idx="1342">
                  <c:v>0.72589835493061294</c:v>
                </c:pt>
                <c:pt idx="1343">
                  <c:v>0.72589835493061294</c:v>
                </c:pt>
                <c:pt idx="1344">
                  <c:v>0.72589835493061294</c:v>
                </c:pt>
                <c:pt idx="1345">
                  <c:v>0.72589835493061294</c:v>
                </c:pt>
                <c:pt idx="1346">
                  <c:v>0.72589835493061294</c:v>
                </c:pt>
                <c:pt idx="1347">
                  <c:v>0.72589835493061294</c:v>
                </c:pt>
                <c:pt idx="1348">
                  <c:v>0.72589835493061294</c:v>
                </c:pt>
                <c:pt idx="1349">
                  <c:v>0.71992463927947803</c:v>
                </c:pt>
                <c:pt idx="1350">
                  <c:v>0.71992463927947803</c:v>
                </c:pt>
                <c:pt idx="1351">
                  <c:v>0.71992463927947803</c:v>
                </c:pt>
                <c:pt idx="1352">
                  <c:v>0.71992463927947803</c:v>
                </c:pt>
                <c:pt idx="1353">
                  <c:v>0.71992463927947803</c:v>
                </c:pt>
                <c:pt idx="1354">
                  <c:v>0.71992463927947803</c:v>
                </c:pt>
                <c:pt idx="1355">
                  <c:v>0.71992463927947803</c:v>
                </c:pt>
                <c:pt idx="1356">
                  <c:v>0.70054679961402377</c:v>
                </c:pt>
                <c:pt idx="1357">
                  <c:v>0.70054679961402377</c:v>
                </c:pt>
                <c:pt idx="1358">
                  <c:v>0.70054679961402377</c:v>
                </c:pt>
                <c:pt idx="1359">
                  <c:v>0.70054679961402377</c:v>
                </c:pt>
                <c:pt idx="1360">
                  <c:v>0.70054679961402377</c:v>
                </c:pt>
                <c:pt idx="1361">
                  <c:v>0.70054679961402377</c:v>
                </c:pt>
                <c:pt idx="1362">
                  <c:v>0.70054679961402377</c:v>
                </c:pt>
                <c:pt idx="1363">
                  <c:v>0.68705550243591496</c:v>
                </c:pt>
                <c:pt idx="1364">
                  <c:v>0.68705550243591496</c:v>
                </c:pt>
                <c:pt idx="1365">
                  <c:v>0.68705550243591496</c:v>
                </c:pt>
                <c:pt idx="1366">
                  <c:v>0.68705550243591496</c:v>
                </c:pt>
                <c:pt idx="1367">
                  <c:v>0.68705550243591496</c:v>
                </c:pt>
                <c:pt idx="1368">
                  <c:v>0.68705550243591496</c:v>
                </c:pt>
                <c:pt idx="1369">
                  <c:v>0.68705550243591496</c:v>
                </c:pt>
                <c:pt idx="1370">
                  <c:v>0.72894413331512087</c:v>
                </c:pt>
                <c:pt idx="1371">
                  <c:v>0.72894413331512087</c:v>
                </c:pt>
                <c:pt idx="1372">
                  <c:v>0.72894413331512087</c:v>
                </c:pt>
                <c:pt idx="1373">
                  <c:v>0.72894413331512087</c:v>
                </c:pt>
                <c:pt idx="1374">
                  <c:v>0.72894413331512087</c:v>
                </c:pt>
                <c:pt idx="1375">
                  <c:v>0.72894413331512087</c:v>
                </c:pt>
                <c:pt idx="1376">
                  <c:v>0.72894413331512087</c:v>
                </c:pt>
                <c:pt idx="1377">
                  <c:v>0.72662500570177435</c:v>
                </c:pt>
                <c:pt idx="1378">
                  <c:v>0.72662500570177435</c:v>
                </c:pt>
                <c:pt idx="1379">
                  <c:v>0.72662500570177435</c:v>
                </c:pt>
                <c:pt idx="1380">
                  <c:v>0.72662500570177435</c:v>
                </c:pt>
                <c:pt idx="1381">
                  <c:v>0.72662500570177435</c:v>
                </c:pt>
                <c:pt idx="1382">
                  <c:v>0.72662500570177435</c:v>
                </c:pt>
                <c:pt idx="1383">
                  <c:v>0.72662500570177435</c:v>
                </c:pt>
                <c:pt idx="1384">
                  <c:v>0.74414085663458462</c:v>
                </c:pt>
                <c:pt idx="1385">
                  <c:v>0.74414085663458462</c:v>
                </c:pt>
                <c:pt idx="1386">
                  <c:v>0.74414085663458462</c:v>
                </c:pt>
                <c:pt idx="1387">
                  <c:v>0.74414085663458462</c:v>
                </c:pt>
                <c:pt idx="1388">
                  <c:v>0.74414085663458462</c:v>
                </c:pt>
                <c:pt idx="1389">
                  <c:v>0.74414085663458462</c:v>
                </c:pt>
                <c:pt idx="1390">
                  <c:v>0.74414085663458462</c:v>
                </c:pt>
                <c:pt idx="1391">
                  <c:v>0.75035351001231587</c:v>
                </c:pt>
                <c:pt idx="1392">
                  <c:v>0.75035351001231587</c:v>
                </c:pt>
                <c:pt idx="1393">
                  <c:v>0.75035351001231587</c:v>
                </c:pt>
                <c:pt idx="1394">
                  <c:v>0.75035351001231587</c:v>
                </c:pt>
                <c:pt idx="1395">
                  <c:v>0.75035351001231587</c:v>
                </c:pt>
                <c:pt idx="1396">
                  <c:v>0.75035351001231587</c:v>
                </c:pt>
                <c:pt idx="1397">
                  <c:v>0.75035351001231587</c:v>
                </c:pt>
                <c:pt idx="1398">
                  <c:v>0.73897008605381775</c:v>
                </c:pt>
                <c:pt idx="1399">
                  <c:v>0.73897008605381775</c:v>
                </c:pt>
                <c:pt idx="1400">
                  <c:v>0.73897008605381775</c:v>
                </c:pt>
                <c:pt idx="1401">
                  <c:v>0.73897008605381775</c:v>
                </c:pt>
                <c:pt idx="1402">
                  <c:v>0.73897008605381775</c:v>
                </c:pt>
                <c:pt idx="1403">
                  <c:v>0.73897008605381775</c:v>
                </c:pt>
                <c:pt idx="1404">
                  <c:v>0.73897008605381775</c:v>
                </c:pt>
                <c:pt idx="1405">
                  <c:v>0.76273641518023427</c:v>
                </c:pt>
                <c:pt idx="1406">
                  <c:v>0.76273641518023427</c:v>
                </c:pt>
                <c:pt idx="1407">
                  <c:v>0.76273641518023427</c:v>
                </c:pt>
                <c:pt idx="1408">
                  <c:v>0.76273641518023427</c:v>
                </c:pt>
                <c:pt idx="1409">
                  <c:v>0.76273641518023427</c:v>
                </c:pt>
                <c:pt idx="1410">
                  <c:v>0.76273641518023427</c:v>
                </c:pt>
                <c:pt idx="1411">
                  <c:v>0.76273641518023427</c:v>
                </c:pt>
                <c:pt idx="1412">
                  <c:v>0.75850201512475657</c:v>
                </c:pt>
                <c:pt idx="1413">
                  <c:v>0.75850201512475657</c:v>
                </c:pt>
                <c:pt idx="1414">
                  <c:v>0.75850201512475657</c:v>
                </c:pt>
                <c:pt idx="1415">
                  <c:v>0.75850201512475657</c:v>
                </c:pt>
                <c:pt idx="1416">
                  <c:v>0.75850201512475657</c:v>
                </c:pt>
                <c:pt idx="1417">
                  <c:v>0.75850201512475657</c:v>
                </c:pt>
                <c:pt idx="1418">
                  <c:v>0.75850201512475657</c:v>
                </c:pt>
                <c:pt idx="1419">
                  <c:v>0.76519687103963641</c:v>
                </c:pt>
                <c:pt idx="1420">
                  <c:v>0.76519687103963641</c:v>
                </c:pt>
                <c:pt idx="1421">
                  <c:v>0.76519687103963641</c:v>
                </c:pt>
                <c:pt idx="1422">
                  <c:v>0.76519687103963641</c:v>
                </c:pt>
                <c:pt idx="1423">
                  <c:v>0.76519687103963641</c:v>
                </c:pt>
                <c:pt idx="1424">
                  <c:v>0.76519687103963641</c:v>
                </c:pt>
                <c:pt idx="1425">
                  <c:v>0.76519687103963641</c:v>
                </c:pt>
                <c:pt idx="1426">
                  <c:v>0.75105407033313254</c:v>
                </c:pt>
                <c:pt idx="1427">
                  <c:v>0.75105407033313254</c:v>
                </c:pt>
                <c:pt idx="1428">
                  <c:v>0.75105407033313254</c:v>
                </c:pt>
                <c:pt idx="1429">
                  <c:v>0.75105407033313254</c:v>
                </c:pt>
                <c:pt idx="1430">
                  <c:v>0.75105407033313254</c:v>
                </c:pt>
                <c:pt idx="1431">
                  <c:v>0.75105407033313254</c:v>
                </c:pt>
                <c:pt idx="1432">
                  <c:v>0.75105407033313254</c:v>
                </c:pt>
                <c:pt idx="1433">
                  <c:v>0.74942416725726435</c:v>
                </c:pt>
                <c:pt idx="1434">
                  <c:v>0.74942416725726435</c:v>
                </c:pt>
                <c:pt idx="1435">
                  <c:v>0.74942416725726435</c:v>
                </c:pt>
                <c:pt idx="1436">
                  <c:v>0.74942416725726435</c:v>
                </c:pt>
                <c:pt idx="1437">
                  <c:v>0.74942416725726435</c:v>
                </c:pt>
                <c:pt idx="1438">
                  <c:v>0.74942416725726435</c:v>
                </c:pt>
                <c:pt idx="1439">
                  <c:v>0.74942416725726435</c:v>
                </c:pt>
                <c:pt idx="1440">
                  <c:v>0.78666722254648547</c:v>
                </c:pt>
                <c:pt idx="1441">
                  <c:v>0.78666722254648547</c:v>
                </c:pt>
                <c:pt idx="1442">
                  <c:v>0.78666722254648547</c:v>
                </c:pt>
                <c:pt idx="1443">
                  <c:v>0.78666722254648547</c:v>
                </c:pt>
                <c:pt idx="1444">
                  <c:v>0.78666722254648547</c:v>
                </c:pt>
                <c:pt idx="1445">
                  <c:v>0.78666722254648547</c:v>
                </c:pt>
                <c:pt idx="1446">
                  <c:v>0.78666722254648547</c:v>
                </c:pt>
                <c:pt idx="1447">
                  <c:v>0.77336197636949522</c:v>
                </c:pt>
                <c:pt idx="1448">
                  <c:v>0.77336197636949522</c:v>
                </c:pt>
                <c:pt idx="1449">
                  <c:v>0.77336197636949522</c:v>
                </c:pt>
                <c:pt idx="1450">
                  <c:v>0.77336197636949522</c:v>
                </c:pt>
                <c:pt idx="1451">
                  <c:v>0.77336197636949522</c:v>
                </c:pt>
                <c:pt idx="1452">
                  <c:v>0.77336197636949522</c:v>
                </c:pt>
                <c:pt idx="1453">
                  <c:v>0.77336197636949522</c:v>
                </c:pt>
                <c:pt idx="1454">
                  <c:v>0.76282026435133143</c:v>
                </c:pt>
                <c:pt idx="1455">
                  <c:v>0.76282026435133143</c:v>
                </c:pt>
                <c:pt idx="1456">
                  <c:v>0.76282026435133143</c:v>
                </c:pt>
                <c:pt idx="1457">
                  <c:v>0.76282026435133143</c:v>
                </c:pt>
                <c:pt idx="1458">
                  <c:v>0.76282026435133143</c:v>
                </c:pt>
                <c:pt idx="1459">
                  <c:v>0.76282026435133143</c:v>
                </c:pt>
                <c:pt idx="1460">
                  <c:v>0.78752734469946872</c:v>
                </c:pt>
                <c:pt idx="1461">
                  <c:v>0.78752734469946872</c:v>
                </c:pt>
                <c:pt idx="1462">
                  <c:v>0.78752734469946872</c:v>
                </c:pt>
                <c:pt idx="1463">
                  <c:v>0.78752734469946872</c:v>
                </c:pt>
                <c:pt idx="1464">
                  <c:v>0.78752734469946872</c:v>
                </c:pt>
                <c:pt idx="1465">
                  <c:v>0.78752734469946872</c:v>
                </c:pt>
                <c:pt idx="1466">
                  <c:v>0.78752734469946872</c:v>
                </c:pt>
                <c:pt idx="1467">
                  <c:v>0.78752734469946872</c:v>
                </c:pt>
                <c:pt idx="1468">
                  <c:v>0.79187748310638728</c:v>
                </c:pt>
                <c:pt idx="1469">
                  <c:v>0.79187748310638728</c:v>
                </c:pt>
                <c:pt idx="1470">
                  <c:v>0.79187748310638728</c:v>
                </c:pt>
                <c:pt idx="1471">
                  <c:v>0.79187748310638728</c:v>
                </c:pt>
                <c:pt idx="1472">
                  <c:v>0.79187748310638728</c:v>
                </c:pt>
                <c:pt idx="1473">
                  <c:v>0.79187748310638728</c:v>
                </c:pt>
                <c:pt idx="1474">
                  <c:v>0.79187748310638728</c:v>
                </c:pt>
                <c:pt idx="1475">
                  <c:v>0.78439355385920273</c:v>
                </c:pt>
                <c:pt idx="1476">
                  <c:v>0.78439355385920273</c:v>
                </c:pt>
                <c:pt idx="1477">
                  <c:v>0.78439355385920273</c:v>
                </c:pt>
                <c:pt idx="1478">
                  <c:v>0.78439355385920273</c:v>
                </c:pt>
                <c:pt idx="1479">
                  <c:v>0.78439355385920273</c:v>
                </c:pt>
                <c:pt idx="1480">
                  <c:v>0.78439355385920273</c:v>
                </c:pt>
                <c:pt idx="1481">
                  <c:v>0.78439355385920273</c:v>
                </c:pt>
                <c:pt idx="1482">
                  <c:v>0.78869492934330843</c:v>
                </c:pt>
                <c:pt idx="1483">
                  <c:v>0.78869492934330843</c:v>
                </c:pt>
                <c:pt idx="1484">
                  <c:v>0.78869492934330843</c:v>
                </c:pt>
                <c:pt idx="1485">
                  <c:v>0.78869492934330843</c:v>
                </c:pt>
                <c:pt idx="1486">
                  <c:v>0.78869492934330843</c:v>
                </c:pt>
                <c:pt idx="1487">
                  <c:v>0.78869492934330843</c:v>
                </c:pt>
                <c:pt idx="1488">
                  <c:v>0.78869492934330843</c:v>
                </c:pt>
                <c:pt idx="1489">
                  <c:v>0.80362233774945502</c:v>
                </c:pt>
                <c:pt idx="1490">
                  <c:v>0.80362233774945502</c:v>
                </c:pt>
                <c:pt idx="1491">
                  <c:v>0.80362233774945502</c:v>
                </c:pt>
                <c:pt idx="1492">
                  <c:v>0.80362233774945502</c:v>
                </c:pt>
                <c:pt idx="1493">
                  <c:v>0.80362233774945502</c:v>
                </c:pt>
                <c:pt idx="1494">
                  <c:v>0.80362233774945502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69-4882-946F-7481CF690CC4}"/>
            </c:ext>
          </c:extLst>
        </c:ser>
        <c:ser>
          <c:idx val="1"/>
          <c:order val="1"/>
          <c:tx>
            <c:strRef>
              <c:f>BASE!$S$1</c:f>
              <c:strCache>
                <c:ptCount val="1"/>
                <c:pt idx="0">
                  <c:v>BIT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BASE!$A$2:$A$1496</c:f>
              <c:numCache>
                <c:formatCode>m/d/yyyy</c:formatCode>
                <c:ptCount val="1495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</c:numCache>
            </c:numRef>
          </c:cat>
          <c:val>
            <c:numRef>
              <c:f>BASE!$S$2:$S$1496</c:f>
              <c:numCache>
                <c:formatCode>0%</c:formatCode>
                <c:ptCount val="1495"/>
                <c:pt idx="0">
                  <c:v>9.2409240924092403E-2</c:v>
                </c:pt>
                <c:pt idx="1">
                  <c:v>9.2409240924092403E-2</c:v>
                </c:pt>
                <c:pt idx="2">
                  <c:v>9.2409240924092403E-2</c:v>
                </c:pt>
                <c:pt idx="3">
                  <c:v>9.2409240924092403E-2</c:v>
                </c:pt>
                <c:pt idx="4">
                  <c:v>9.2409240924092403E-2</c:v>
                </c:pt>
                <c:pt idx="5">
                  <c:v>9.2409240924092403E-2</c:v>
                </c:pt>
                <c:pt idx="6">
                  <c:v>9.2409240924092403E-2</c:v>
                </c:pt>
                <c:pt idx="7">
                  <c:v>9.2409240924092403E-2</c:v>
                </c:pt>
                <c:pt idx="8">
                  <c:v>9.2409240924092403E-2</c:v>
                </c:pt>
                <c:pt idx="9">
                  <c:v>9.2409240924092403E-2</c:v>
                </c:pt>
                <c:pt idx="10">
                  <c:v>9.2409240924092403E-2</c:v>
                </c:pt>
                <c:pt idx="11">
                  <c:v>9.2409240924092403E-2</c:v>
                </c:pt>
                <c:pt idx="12">
                  <c:v>9.2409240924092403E-2</c:v>
                </c:pt>
                <c:pt idx="13">
                  <c:v>9.2409240924092403E-2</c:v>
                </c:pt>
                <c:pt idx="14">
                  <c:v>9.2409240924092403E-2</c:v>
                </c:pt>
                <c:pt idx="15">
                  <c:v>9.2409240924092403E-2</c:v>
                </c:pt>
                <c:pt idx="16">
                  <c:v>9.2409240924092403E-2</c:v>
                </c:pt>
                <c:pt idx="17">
                  <c:v>9.2409240924092403E-2</c:v>
                </c:pt>
                <c:pt idx="18">
                  <c:v>9.2409240924092403E-2</c:v>
                </c:pt>
                <c:pt idx="19">
                  <c:v>9.2409240924092403E-2</c:v>
                </c:pt>
                <c:pt idx="20">
                  <c:v>9.2409240924092403E-2</c:v>
                </c:pt>
                <c:pt idx="21">
                  <c:v>9.2409240924092403E-2</c:v>
                </c:pt>
                <c:pt idx="22">
                  <c:v>9.2409240924092403E-2</c:v>
                </c:pt>
                <c:pt idx="23">
                  <c:v>9.2409240924092403E-2</c:v>
                </c:pt>
                <c:pt idx="24">
                  <c:v>0.11475409836065574</c:v>
                </c:pt>
                <c:pt idx="25">
                  <c:v>0.11475409836065574</c:v>
                </c:pt>
                <c:pt idx="26">
                  <c:v>8.7774294670846395E-2</c:v>
                </c:pt>
                <c:pt idx="27">
                  <c:v>8.7774294670846395E-2</c:v>
                </c:pt>
                <c:pt idx="28">
                  <c:v>8.7774294670846395E-2</c:v>
                </c:pt>
                <c:pt idx="29">
                  <c:v>8.7774294670846395E-2</c:v>
                </c:pt>
                <c:pt idx="30">
                  <c:v>8.7774294670846395E-2</c:v>
                </c:pt>
                <c:pt idx="31">
                  <c:v>9.4915254237288138E-2</c:v>
                </c:pt>
                <c:pt idx="32">
                  <c:v>9.4915254237288138E-2</c:v>
                </c:pt>
                <c:pt idx="33">
                  <c:v>9.4915254237288138E-2</c:v>
                </c:pt>
                <c:pt idx="34">
                  <c:v>9.4915254237288138E-2</c:v>
                </c:pt>
                <c:pt idx="35">
                  <c:v>9.4915254237288138E-2</c:v>
                </c:pt>
                <c:pt idx="36">
                  <c:v>9.4915254237288138E-2</c:v>
                </c:pt>
                <c:pt idx="37">
                  <c:v>9.4915254237288138E-2</c:v>
                </c:pt>
                <c:pt idx="38">
                  <c:v>9.4915254237288138E-2</c:v>
                </c:pt>
                <c:pt idx="39">
                  <c:v>9.4915254237288138E-2</c:v>
                </c:pt>
                <c:pt idx="40">
                  <c:v>9.4915254237288138E-2</c:v>
                </c:pt>
                <c:pt idx="41">
                  <c:v>9.4915254237288138E-2</c:v>
                </c:pt>
                <c:pt idx="42">
                  <c:v>9.4915254237288138E-2</c:v>
                </c:pt>
                <c:pt idx="43">
                  <c:v>9.4915254237288138E-2</c:v>
                </c:pt>
                <c:pt idx="44">
                  <c:v>9.4915254237288138E-2</c:v>
                </c:pt>
                <c:pt idx="45">
                  <c:v>9.4915254237288138E-2</c:v>
                </c:pt>
                <c:pt idx="46">
                  <c:v>9.4915254237288138E-2</c:v>
                </c:pt>
                <c:pt idx="47">
                  <c:v>9.4915254237288138E-2</c:v>
                </c:pt>
                <c:pt idx="48">
                  <c:v>9.4915254237288138E-2</c:v>
                </c:pt>
                <c:pt idx="49">
                  <c:v>9.4915254237288138E-2</c:v>
                </c:pt>
                <c:pt idx="50">
                  <c:v>9.4915254237288138E-2</c:v>
                </c:pt>
                <c:pt idx="51">
                  <c:v>9.4915254237288138E-2</c:v>
                </c:pt>
                <c:pt idx="52">
                  <c:v>9.4915254237288138E-2</c:v>
                </c:pt>
                <c:pt idx="53">
                  <c:v>9.4915254237288138E-2</c:v>
                </c:pt>
                <c:pt idx="54">
                  <c:v>9.4915254237288138E-2</c:v>
                </c:pt>
                <c:pt idx="55">
                  <c:v>9.4915254237288138E-2</c:v>
                </c:pt>
                <c:pt idx="56">
                  <c:v>9.4915254237288138E-2</c:v>
                </c:pt>
                <c:pt idx="57">
                  <c:v>9.4915254237288138E-2</c:v>
                </c:pt>
                <c:pt idx="58">
                  <c:v>9.4915254237288138E-2</c:v>
                </c:pt>
                <c:pt idx="59">
                  <c:v>9.4915254237288138E-2</c:v>
                </c:pt>
                <c:pt idx="60">
                  <c:v>9.4915254237288138E-2</c:v>
                </c:pt>
                <c:pt idx="61">
                  <c:v>9.4915254237288138E-2</c:v>
                </c:pt>
                <c:pt idx="62">
                  <c:v>9.4915254237288138E-2</c:v>
                </c:pt>
                <c:pt idx="63">
                  <c:v>9.4915254237288138E-2</c:v>
                </c:pt>
                <c:pt idx="64">
                  <c:v>9.4915254237288138E-2</c:v>
                </c:pt>
                <c:pt idx="65">
                  <c:v>9.4915254237288138E-2</c:v>
                </c:pt>
                <c:pt idx="66">
                  <c:v>9.4915254237288138E-2</c:v>
                </c:pt>
                <c:pt idx="67">
                  <c:v>9.4915254237288138E-2</c:v>
                </c:pt>
                <c:pt idx="68">
                  <c:v>9.4915254237288138E-2</c:v>
                </c:pt>
                <c:pt idx="69">
                  <c:v>9.4915254237288138E-2</c:v>
                </c:pt>
                <c:pt idx="70">
                  <c:v>9.4915254237288138E-2</c:v>
                </c:pt>
                <c:pt idx="71">
                  <c:v>9.4915254237288138E-2</c:v>
                </c:pt>
                <c:pt idx="72">
                  <c:v>9.4915254237288138E-2</c:v>
                </c:pt>
                <c:pt idx="73">
                  <c:v>9.4915254237288138E-2</c:v>
                </c:pt>
                <c:pt idx="74">
                  <c:v>9.4915254237288138E-2</c:v>
                </c:pt>
                <c:pt idx="75">
                  <c:v>9.4915254237288138E-2</c:v>
                </c:pt>
                <c:pt idx="76">
                  <c:v>9.4915254237288138E-2</c:v>
                </c:pt>
                <c:pt idx="77">
                  <c:v>9.4915254237288138E-2</c:v>
                </c:pt>
                <c:pt idx="78">
                  <c:v>9.4915254237288138E-2</c:v>
                </c:pt>
                <c:pt idx="79">
                  <c:v>9.4915254237288138E-2</c:v>
                </c:pt>
                <c:pt idx="80">
                  <c:v>9.4915254237288138E-2</c:v>
                </c:pt>
                <c:pt idx="81">
                  <c:v>9.4915254237288138E-2</c:v>
                </c:pt>
                <c:pt idx="82">
                  <c:v>9.4915254237288138E-2</c:v>
                </c:pt>
                <c:pt idx="83">
                  <c:v>9.4915254237288138E-2</c:v>
                </c:pt>
                <c:pt idx="84">
                  <c:v>9.4915254237288138E-2</c:v>
                </c:pt>
                <c:pt idx="85">
                  <c:v>9.4915254237288138E-2</c:v>
                </c:pt>
                <c:pt idx="86">
                  <c:v>9.4915254237288138E-2</c:v>
                </c:pt>
                <c:pt idx="87">
                  <c:v>0.11428571428571428</c:v>
                </c:pt>
                <c:pt idx="88">
                  <c:v>0.11428571428571428</c:v>
                </c:pt>
                <c:pt idx="89">
                  <c:v>9.4915254237288138E-2</c:v>
                </c:pt>
                <c:pt idx="90">
                  <c:v>9.4915254237288138E-2</c:v>
                </c:pt>
                <c:pt idx="91">
                  <c:v>9.4915254237288138E-2</c:v>
                </c:pt>
                <c:pt idx="92">
                  <c:v>9.4915254237288138E-2</c:v>
                </c:pt>
                <c:pt idx="93">
                  <c:v>9.4915254237288138E-2</c:v>
                </c:pt>
                <c:pt idx="94">
                  <c:v>9.4915254237288138E-2</c:v>
                </c:pt>
                <c:pt idx="95">
                  <c:v>9.4915254237288138E-2</c:v>
                </c:pt>
                <c:pt idx="96">
                  <c:v>9.4915254237288138E-2</c:v>
                </c:pt>
                <c:pt idx="97">
                  <c:v>9.4915254237288138E-2</c:v>
                </c:pt>
                <c:pt idx="98">
                  <c:v>9.4915254237288138E-2</c:v>
                </c:pt>
                <c:pt idx="99">
                  <c:v>9.4915254237288138E-2</c:v>
                </c:pt>
                <c:pt idx="100">
                  <c:v>9.4915254237288138E-2</c:v>
                </c:pt>
                <c:pt idx="101">
                  <c:v>9.4915254237288138E-2</c:v>
                </c:pt>
                <c:pt idx="102">
                  <c:v>9.4915254237288138E-2</c:v>
                </c:pt>
                <c:pt idx="103">
                  <c:v>9.4915254237288138E-2</c:v>
                </c:pt>
                <c:pt idx="104">
                  <c:v>9.4915254237288138E-2</c:v>
                </c:pt>
                <c:pt idx="105">
                  <c:v>9.4915254237288138E-2</c:v>
                </c:pt>
                <c:pt idx="106">
                  <c:v>9.4915254237288138E-2</c:v>
                </c:pt>
                <c:pt idx="107">
                  <c:v>9.4915254237288138E-2</c:v>
                </c:pt>
                <c:pt idx="108">
                  <c:v>9.4915254237288138E-2</c:v>
                </c:pt>
                <c:pt idx="109">
                  <c:v>9.4915254237288138E-2</c:v>
                </c:pt>
                <c:pt idx="110">
                  <c:v>9.4915254237288138E-2</c:v>
                </c:pt>
                <c:pt idx="111">
                  <c:v>9.4915254237288138E-2</c:v>
                </c:pt>
                <c:pt idx="112">
                  <c:v>9.4915254237288138E-2</c:v>
                </c:pt>
                <c:pt idx="113">
                  <c:v>9.4915254237288138E-2</c:v>
                </c:pt>
                <c:pt idx="114">
                  <c:v>9.4915254237288138E-2</c:v>
                </c:pt>
                <c:pt idx="115">
                  <c:v>9.4915254237288138E-2</c:v>
                </c:pt>
                <c:pt idx="116">
                  <c:v>9.4915254237288138E-2</c:v>
                </c:pt>
                <c:pt idx="117">
                  <c:v>9.4915254237288138E-2</c:v>
                </c:pt>
                <c:pt idx="118">
                  <c:v>9.4915254237288138E-2</c:v>
                </c:pt>
                <c:pt idx="119">
                  <c:v>9.4915254237288138E-2</c:v>
                </c:pt>
                <c:pt idx="120">
                  <c:v>9.4915254237288138E-2</c:v>
                </c:pt>
                <c:pt idx="121">
                  <c:v>9.4915254237288138E-2</c:v>
                </c:pt>
                <c:pt idx="122">
                  <c:v>9.4915254237288138E-2</c:v>
                </c:pt>
                <c:pt idx="123">
                  <c:v>9.4915254237288138E-2</c:v>
                </c:pt>
                <c:pt idx="124">
                  <c:v>9.4915254237288138E-2</c:v>
                </c:pt>
                <c:pt idx="125">
                  <c:v>9.4915254237288138E-2</c:v>
                </c:pt>
                <c:pt idx="126">
                  <c:v>9.4915254237288138E-2</c:v>
                </c:pt>
                <c:pt idx="127">
                  <c:v>9.4915254237288138E-2</c:v>
                </c:pt>
                <c:pt idx="128">
                  <c:v>9.4915254237288138E-2</c:v>
                </c:pt>
                <c:pt idx="129">
                  <c:v>9.4915254237288138E-2</c:v>
                </c:pt>
                <c:pt idx="130">
                  <c:v>9.4915254237288138E-2</c:v>
                </c:pt>
                <c:pt idx="131">
                  <c:v>9.4915254237288138E-2</c:v>
                </c:pt>
                <c:pt idx="132">
                  <c:v>9.4915254237288138E-2</c:v>
                </c:pt>
                <c:pt idx="133">
                  <c:v>9.4915254237288138E-2</c:v>
                </c:pt>
                <c:pt idx="134">
                  <c:v>9.4915254237288138E-2</c:v>
                </c:pt>
                <c:pt idx="135">
                  <c:v>9.4915254237288138E-2</c:v>
                </c:pt>
                <c:pt idx="136">
                  <c:v>9.4915254237288138E-2</c:v>
                </c:pt>
                <c:pt idx="137">
                  <c:v>9.4915254237288138E-2</c:v>
                </c:pt>
                <c:pt idx="138">
                  <c:v>9.4915254237288138E-2</c:v>
                </c:pt>
                <c:pt idx="139">
                  <c:v>9.4915254237288138E-2</c:v>
                </c:pt>
                <c:pt idx="140">
                  <c:v>9.4915254237288138E-2</c:v>
                </c:pt>
                <c:pt idx="141">
                  <c:v>9.4915254237288138E-2</c:v>
                </c:pt>
                <c:pt idx="142">
                  <c:v>9.4915254237288138E-2</c:v>
                </c:pt>
                <c:pt idx="143">
                  <c:v>0.11715481171548117</c:v>
                </c:pt>
                <c:pt idx="144">
                  <c:v>0.11715481171548117</c:v>
                </c:pt>
                <c:pt idx="145">
                  <c:v>9.4915254237288138E-2</c:v>
                </c:pt>
                <c:pt idx="146">
                  <c:v>9.4915254237288138E-2</c:v>
                </c:pt>
                <c:pt idx="147">
                  <c:v>9.4915254237288138E-2</c:v>
                </c:pt>
                <c:pt idx="148">
                  <c:v>9.4915254237288138E-2</c:v>
                </c:pt>
                <c:pt idx="149">
                  <c:v>9.4915254237288138E-2</c:v>
                </c:pt>
                <c:pt idx="150">
                  <c:v>9.4915254237288138E-2</c:v>
                </c:pt>
                <c:pt idx="151">
                  <c:v>9.4915254237288138E-2</c:v>
                </c:pt>
                <c:pt idx="152">
                  <c:v>9.4915254237288138E-2</c:v>
                </c:pt>
                <c:pt idx="153">
                  <c:v>9.4915254237288138E-2</c:v>
                </c:pt>
                <c:pt idx="154">
                  <c:v>9.4915254237288138E-2</c:v>
                </c:pt>
                <c:pt idx="155">
                  <c:v>9.4915254237288138E-2</c:v>
                </c:pt>
                <c:pt idx="156">
                  <c:v>9.4915254237288138E-2</c:v>
                </c:pt>
                <c:pt idx="157">
                  <c:v>9.4915254237288138E-2</c:v>
                </c:pt>
                <c:pt idx="158">
                  <c:v>9.4915254237288138E-2</c:v>
                </c:pt>
                <c:pt idx="159">
                  <c:v>9.4915254237288138E-2</c:v>
                </c:pt>
                <c:pt idx="160">
                  <c:v>9.4915254237288138E-2</c:v>
                </c:pt>
                <c:pt idx="161">
                  <c:v>9.4915254237288138E-2</c:v>
                </c:pt>
                <c:pt idx="162">
                  <c:v>9.4915254237288138E-2</c:v>
                </c:pt>
                <c:pt idx="163">
                  <c:v>9.4915254237288138E-2</c:v>
                </c:pt>
                <c:pt idx="164">
                  <c:v>9.4915254237288138E-2</c:v>
                </c:pt>
                <c:pt idx="165">
                  <c:v>9.4915254237288138E-2</c:v>
                </c:pt>
                <c:pt idx="166">
                  <c:v>9.4915254237288138E-2</c:v>
                </c:pt>
                <c:pt idx="167">
                  <c:v>9.4915254237288138E-2</c:v>
                </c:pt>
                <c:pt idx="168">
                  <c:v>9.4915254237288138E-2</c:v>
                </c:pt>
                <c:pt idx="169">
                  <c:v>9.4915254237288138E-2</c:v>
                </c:pt>
                <c:pt idx="170">
                  <c:v>9.4915254237288138E-2</c:v>
                </c:pt>
                <c:pt idx="171">
                  <c:v>9.4915254237288138E-2</c:v>
                </c:pt>
                <c:pt idx="172">
                  <c:v>9.4915254237288138E-2</c:v>
                </c:pt>
                <c:pt idx="173">
                  <c:v>9.4915254237288138E-2</c:v>
                </c:pt>
                <c:pt idx="174">
                  <c:v>9.4915254237288138E-2</c:v>
                </c:pt>
                <c:pt idx="175">
                  <c:v>9.4915254237288138E-2</c:v>
                </c:pt>
                <c:pt idx="176">
                  <c:v>9.4915254237288138E-2</c:v>
                </c:pt>
                <c:pt idx="177">
                  <c:v>9.4915254237288138E-2</c:v>
                </c:pt>
                <c:pt idx="178">
                  <c:v>0.12669683257918551</c:v>
                </c:pt>
                <c:pt idx="179">
                  <c:v>9.6885813148788927E-2</c:v>
                </c:pt>
                <c:pt idx="180">
                  <c:v>9.6885813148788927E-2</c:v>
                </c:pt>
                <c:pt idx="181">
                  <c:v>9.6885813148788927E-2</c:v>
                </c:pt>
                <c:pt idx="182">
                  <c:v>9.6885813148788927E-2</c:v>
                </c:pt>
                <c:pt idx="183">
                  <c:v>9.6885813148788927E-2</c:v>
                </c:pt>
                <c:pt idx="184">
                  <c:v>9.6885813148788927E-2</c:v>
                </c:pt>
                <c:pt idx="185">
                  <c:v>9.6885813148788927E-2</c:v>
                </c:pt>
                <c:pt idx="186">
                  <c:v>9.6885813148788927E-2</c:v>
                </c:pt>
                <c:pt idx="187">
                  <c:v>9.6885813148788927E-2</c:v>
                </c:pt>
                <c:pt idx="188">
                  <c:v>9.6885813148788927E-2</c:v>
                </c:pt>
                <c:pt idx="189">
                  <c:v>9.6885813148788927E-2</c:v>
                </c:pt>
                <c:pt idx="190">
                  <c:v>9.6885813148788927E-2</c:v>
                </c:pt>
                <c:pt idx="191">
                  <c:v>9.6885813148788927E-2</c:v>
                </c:pt>
                <c:pt idx="192">
                  <c:v>9.6885813148788927E-2</c:v>
                </c:pt>
                <c:pt idx="193">
                  <c:v>9.6885813148788927E-2</c:v>
                </c:pt>
                <c:pt idx="194">
                  <c:v>9.6885813148788927E-2</c:v>
                </c:pt>
                <c:pt idx="195">
                  <c:v>9.6885813148788927E-2</c:v>
                </c:pt>
                <c:pt idx="196">
                  <c:v>9.6885813148788927E-2</c:v>
                </c:pt>
                <c:pt idx="197">
                  <c:v>9.6885813148788927E-2</c:v>
                </c:pt>
                <c:pt idx="198">
                  <c:v>9.6885813148788927E-2</c:v>
                </c:pt>
                <c:pt idx="199">
                  <c:v>9.6885813148788927E-2</c:v>
                </c:pt>
                <c:pt idx="200">
                  <c:v>9.6885813148788927E-2</c:v>
                </c:pt>
                <c:pt idx="201">
                  <c:v>9.6885813148788927E-2</c:v>
                </c:pt>
                <c:pt idx="202">
                  <c:v>9.6885813148788927E-2</c:v>
                </c:pt>
                <c:pt idx="203">
                  <c:v>9.6885813148788927E-2</c:v>
                </c:pt>
                <c:pt idx="204">
                  <c:v>9.6885813148788927E-2</c:v>
                </c:pt>
                <c:pt idx="205">
                  <c:v>9.6885813148788927E-2</c:v>
                </c:pt>
                <c:pt idx="206">
                  <c:v>0.13084112149532709</c:v>
                </c:pt>
                <c:pt idx="207">
                  <c:v>0.17518248175182483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0.25641025641025639</c:v>
                </c:pt>
                <c:pt idx="362">
                  <c:v>0.14778325123152711</c:v>
                </c:pt>
                <c:pt idx="363">
                  <c:v>0.14778325123152711</c:v>
                </c:pt>
                <c:pt idx="364">
                  <c:v>0.14778325123152711</c:v>
                </c:pt>
                <c:pt idx="365">
                  <c:v>0.14778325123152711</c:v>
                </c:pt>
                <c:pt idx="366">
                  <c:v>0.14778325123152711</c:v>
                </c:pt>
                <c:pt idx="367">
                  <c:v>0.14778325123152711</c:v>
                </c:pt>
                <c:pt idx="368">
                  <c:v>0.14778325123152711</c:v>
                </c:pt>
                <c:pt idx="369">
                  <c:v>0.14778325123152711</c:v>
                </c:pt>
                <c:pt idx="370">
                  <c:v>0.14778325123152711</c:v>
                </c:pt>
                <c:pt idx="371">
                  <c:v>0.14778325123152711</c:v>
                </c:pt>
                <c:pt idx="372">
                  <c:v>0.14778325123152711</c:v>
                </c:pt>
                <c:pt idx="373">
                  <c:v>0.14778325123152711</c:v>
                </c:pt>
                <c:pt idx="374">
                  <c:v>0.14778325123152711</c:v>
                </c:pt>
                <c:pt idx="375">
                  <c:v>0.14778325123152711</c:v>
                </c:pt>
                <c:pt idx="376">
                  <c:v>0.14778325123152711</c:v>
                </c:pt>
                <c:pt idx="377">
                  <c:v>0.14778325123152711</c:v>
                </c:pt>
                <c:pt idx="378">
                  <c:v>0.14778325123152711</c:v>
                </c:pt>
                <c:pt idx="379">
                  <c:v>0.14778325123152711</c:v>
                </c:pt>
                <c:pt idx="380">
                  <c:v>0.14778325123152711</c:v>
                </c:pt>
                <c:pt idx="381">
                  <c:v>0.14778325123152711</c:v>
                </c:pt>
                <c:pt idx="382">
                  <c:v>0.14778325123152711</c:v>
                </c:pt>
                <c:pt idx="383">
                  <c:v>0.14778325123152711</c:v>
                </c:pt>
                <c:pt idx="384">
                  <c:v>0.14778325123152711</c:v>
                </c:pt>
                <c:pt idx="385">
                  <c:v>0.14778325123152711</c:v>
                </c:pt>
                <c:pt idx="386">
                  <c:v>0.14778325123152711</c:v>
                </c:pt>
                <c:pt idx="387">
                  <c:v>0.14778325123152711</c:v>
                </c:pt>
                <c:pt idx="388">
                  <c:v>0.17341040462427745</c:v>
                </c:pt>
                <c:pt idx="389">
                  <c:v>0.17341040462427745</c:v>
                </c:pt>
                <c:pt idx="390">
                  <c:v>0.17341040462427745</c:v>
                </c:pt>
                <c:pt idx="391">
                  <c:v>0.17341040462427745</c:v>
                </c:pt>
                <c:pt idx="392">
                  <c:v>0.17341040462427745</c:v>
                </c:pt>
                <c:pt idx="393">
                  <c:v>0.17341040462427745</c:v>
                </c:pt>
                <c:pt idx="394">
                  <c:v>0.17341040462427745</c:v>
                </c:pt>
                <c:pt idx="395">
                  <c:v>0.17341040462427745</c:v>
                </c:pt>
                <c:pt idx="396">
                  <c:v>0.17341040462427745</c:v>
                </c:pt>
                <c:pt idx="397">
                  <c:v>0.17341040462427745</c:v>
                </c:pt>
                <c:pt idx="398">
                  <c:v>0.17341040462427745</c:v>
                </c:pt>
                <c:pt idx="399">
                  <c:v>0.17341040462427745</c:v>
                </c:pt>
                <c:pt idx="400">
                  <c:v>0.17341040462427745</c:v>
                </c:pt>
                <c:pt idx="401">
                  <c:v>0.17341040462427745</c:v>
                </c:pt>
                <c:pt idx="402">
                  <c:v>0.17341040462427745</c:v>
                </c:pt>
                <c:pt idx="403">
                  <c:v>0.17341040462427745</c:v>
                </c:pt>
                <c:pt idx="404">
                  <c:v>0.17341040462427745</c:v>
                </c:pt>
                <c:pt idx="405">
                  <c:v>0.17341040462427745</c:v>
                </c:pt>
                <c:pt idx="406">
                  <c:v>0.17341040462427745</c:v>
                </c:pt>
                <c:pt idx="407">
                  <c:v>0.17341040462427745</c:v>
                </c:pt>
                <c:pt idx="408">
                  <c:v>0.17341040462427745</c:v>
                </c:pt>
                <c:pt idx="409">
                  <c:v>0.17341040462427745</c:v>
                </c:pt>
                <c:pt idx="410">
                  <c:v>0.17341040462427745</c:v>
                </c:pt>
                <c:pt idx="411">
                  <c:v>0.17341040462427745</c:v>
                </c:pt>
                <c:pt idx="412">
                  <c:v>0.17341040462427745</c:v>
                </c:pt>
                <c:pt idx="413">
                  <c:v>0.17341040462427745</c:v>
                </c:pt>
                <c:pt idx="414">
                  <c:v>0.17341040462427745</c:v>
                </c:pt>
                <c:pt idx="415">
                  <c:v>0.17341040462427745</c:v>
                </c:pt>
                <c:pt idx="416">
                  <c:v>0.17341040462427745</c:v>
                </c:pt>
                <c:pt idx="417">
                  <c:v>0.17341040462427745</c:v>
                </c:pt>
                <c:pt idx="418">
                  <c:v>0.25751072961373389</c:v>
                </c:pt>
                <c:pt idx="419">
                  <c:v>0.25751072961373389</c:v>
                </c:pt>
                <c:pt idx="420">
                  <c:v>0.25751072961373389</c:v>
                </c:pt>
                <c:pt idx="421">
                  <c:v>0.25751072961373389</c:v>
                </c:pt>
                <c:pt idx="422">
                  <c:v>0.25751072961373389</c:v>
                </c:pt>
                <c:pt idx="423">
                  <c:v>0.25751072961373389</c:v>
                </c:pt>
                <c:pt idx="424">
                  <c:v>0.25751072961373389</c:v>
                </c:pt>
                <c:pt idx="425">
                  <c:v>0.25751072961373389</c:v>
                </c:pt>
                <c:pt idx="426">
                  <c:v>0.25751072961373389</c:v>
                </c:pt>
                <c:pt idx="427">
                  <c:v>0.25751072961373389</c:v>
                </c:pt>
                <c:pt idx="428">
                  <c:v>0.25751072961373389</c:v>
                </c:pt>
                <c:pt idx="429">
                  <c:v>0.25751072961373389</c:v>
                </c:pt>
                <c:pt idx="430">
                  <c:v>0.25751072961373389</c:v>
                </c:pt>
                <c:pt idx="431">
                  <c:v>0.25751072961373389</c:v>
                </c:pt>
                <c:pt idx="432">
                  <c:v>0.25751072961373389</c:v>
                </c:pt>
                <c:pt idx="433">
                  <c:v>0.25751072961373389</c:v>
                </c:pt>
                <c:pt idx="434">
                  <c:v>0.25751072961373389</c:v>
                </c:pt>
                <c:pt idx="435">
                  <c:v>0.25751072961373389</c:v>
                </c:pt>
                <c:pt idx="436">
                  <c:v>0.25751072961373389</c:v>
                </c:pt>
                <c:pt idx="437">
                  <c:v>0.25751072961373389</c:v>
                </c:pt>
                <c:pt idx="438">
                  <c:v>0.25751072961373389</c:v>
                </c:pt>
                <c:pt idx="439">
                  <c:v>0.25751072961373389</c:v>
                </c:pt>
                <c:pt idx="440">
                  <c:v>0.25751072961373389</c:v>
                </c:pt>
                <c:pt idx="441">
                  <c:v>0.25751072961373389</c:v>
                </c:pt>
                <c:pt idx="442">
                  <c:v>0.25751072961373389</c:v>
                </c:pt>
                <c:pt idx="443">
                  <c:v>0.25751072961373389</c:v>
                </c:pt>
                <c:pt idx="444">
                  <c:v>0.25751072961373389</c:v>
                </c:pt>
                <c:pt idx="445">
                  <c:v>0.25751072961373389</c:v>
                </c:pt>
                <c:pt idx="446">
                  <c:v>0.25751072961373389</c:v>
                </c:pt>
                <c:pt idx="447">
                  <c:v>0.25751072961373389</c:v>
                </c:pt>
                <c:pt idx="448">
                  <c:v>0.25751072961373389</c:v>
                </c:pt>
                <c:pt idx="449">
                  <c:v>0.25751072961373389</c:v>
                </c:pt>
                <c:pt idx="450">
                  <c:v>0.25751072961373389</c:v>
                </c:pt>
                <c:pt idx="451">
                  <c:v>0.24096385542168675</c:v>
                </c:pt>
                <c:pt idx="452">
                  <c:v>0.24096385542168675</c:v>
                </c:pt>
                <c:pt idx="453">
                  <c:v>0.16260162601626016</c:v>
                </c:pt>
                <c:pt idx="454">
                  <c:v>0.16260162601626016</c:v>
                </c:pt>
                <c:pt idx="455">
                  <c:v>0.16260162601626016</c:v>
                </c:pt>
                <c:pt idx="456">
                  <c:v>0.16260162601626016</c:v>
                </c:pt>
                <c:pt idx="457">
                  <c:v>0.16260162601626016</c:v>
                </c:pt>
                <c:pt idx="458">
                  <c:v>0.16260162601626016</c:v>
                </c:pt>
                <c:pt idx="459">
                  <c:v>0.16260162601626016</c:v>
                </c:pt>
                <c:pt idx="460">
                  <c:v>0.16260162601626016</c:v>
                </c:pt>
                <c:pt idx="461">
                  <c:v>0.16260162601626016</c:v>
                </c:pt>
                <c:pt idx="462">
                  <c:v>0.16260162601626016</c:v>
                </c:pt>
                <c:pt idx="463">
                  <c:v>0.16260162601626016</c:v>
                </c:pt>
                <c:pt idx="464">
                  <c:v>0.16260162601626016</c:v>
                </c:pt>
                <c:pt idx="465">
                  <c:v>0.16260162601626016</c:v>
                </c:pt>
                <c:pt idx="466">
                  <c:v>0.16260162601626016</c:v>
                </c:pt>
                <c:pt idx="467">
                  <c:v>0.16260162601626016</c:v>
                </c:pt>
                <c:pt idx="468">
                  <c:v>0.16260162601626016</c:v>
                </c:pt>
                <c:pt idx="469">
                  <c:v>0.16260162601626016</c:v>
                </c:pt>
                <c:pt idx="470">
                  <c:v>0.16260162601626016</c:v>
                </c:pt>
                <c:pt idx="471">
                  <c:v>0.16260162601626016</c:v>
                </c:pt>
                <c:pt idx="472">
                  <c:v>0.16260162601626016</c:v>
                </c:pt>
                <c:pt idx="473">
                  <c:v>0.16260162601626016</c:v>
                </c:pt>
                <c:pt idx="474">
                  <c:v>0.16260162601626016</c:v>
                </c:pt>
                <c:pt idx="475">
                  <c:v>0.16260162601626016</c:v>
                </c:pt>
                <c:pt idx="476">
                  <c:v>0.16260162601626016</c:v>
                </c:pt>
                <c:pt idx="477">
                  <c:v>0.16260162601626016</c:v>
                </c:pt>
                <c:pt idx="478">
                  <c:v>0.16260162601626016</c:v>
                </c:pt>
                <c:pt idx="479">
                  <c:v>0.34188034188034189</c:v>
                </c:pt>
                <c:pt idx="480">
                  <c:v>0.34188034188034189</c:v>
                </c:pt>
                <c:pt idx="481">
                  <c:v>0.33472803347280333</c:v>
                </c:pt>
                <c:pt idx="482">
                  <c:v>0.33472803347280333</c:v>
                </c:pt>
                <c:pt idx="483">
                  <c:v>0.33472803347280333</c:v>
                </c:pt>
                <c:pt idx="484">
                  <c:v>0.33472803347280333</c:v>
                </c:pt>
                <c:pt idx="485">
                  <c:v>0.33472803347280333</c:v>
                </c:pt>
                <c:pt idx="486">
                  <c:v>0.33472803347280333</c:v>
                </c:pt>
                <c:pt idx="487">
                  <c:v>0.33472803347280333</c:v>
                </c:pt>
                <c:pt idx="488">
                  <c:v>0.33472803347280333</c:v>
                </c:pt>
                <c:pt idx="489">
                  <c:v>0.33472803347280333</c:v>
                </c:pt>
                <c:pt idx="490">
                  <c:v>0.33472803347280333</c:v>
                </c:pt>
                <c:pt idx="491">
                  <c:v>0.33472803347280333</c:v>
                </c:pt>
                <c:pt idx="492">
                  <c:v>0.33472803347280333</c:v>
                </c:pt>
                <c:pt idx="493">
                  <c:v>0.33472803347280333</c:v>
                </c:pt>
                <c:pt idx="494">
                  <c:v>0.33472803347280333</c:v>
                </c:pt>
                <c:pt idx="495">
                  <c:v>0.33472803347280333</c:v>
                </c:pt>
                <c:pt idx="496">
                  <c:v>0.33472803347280333</c:v>
                </c:pt>
                <c:pt idx="497">
                  <c:v>0.33472803347280333</c:v>
                </c:pt>
                <c:pt idx="498">
                  <c:v>0.33472803347280333</c:v>
                </c:pt>
                <c:pt idx="499">
                  <c:v>0.33472803347280333</c:v>
                </c:pt>
                <c:pt idx="500">
                  <c:v>0.33472803347280333</c:v>
                </c:pt>
                <c:pt idx="501">
                  <c:v>0.33472803347280333</c:v>
                </c:pt>
                <c:pt idx="502">
                  <c:v>0.33472803347280333</c:v>
                </c:pt>
                <c:pt idx="503">
                  <c:v>0.33472803347280333</c:v>
                </c:pt>
                <c:pt idx="504">
                  <c:v>0.33472803347280333</c:v>
                </c:pt>
                <c:pt idx="505">
                  <c:v>0.33472803347280333</c:v>
                </c:pt>
                <c:pt idx="506">
                  <c:v>0.33472803347280333</c:v>
                </c:pt>
                <c:pt idx="507">
                  <c:v>0.33472803347280333</c:v>
                </c:pt>
                <c:pt idx="508">
                  <c:v>0.33472803347280333</c:v>
                </c:pt>
                <c:pt idx="509">
                  <c:v>0.19138755980861244</c:v>
                </c:pt>
                <c:pt idx="510">
                  <c:v>0.19138755980861244</c:v>
                </c:pt>
                <c:pt idx="511">
                  <c:v>0.19138755980861244</c:v>
                </c:pt>
                <c:pt idx="512">
                  <c:v>0.19138755980861244</c:v>
                </c:pt>
                <c:pt idx="513">
                  <c:v>0.19138755980861244</c:v>
                </c:pt>
                <c:pt idx="514">
                  <c:v>0.19138755980861244</c:v>
                </c:pt>
                <c:pt idx="515">
                  <c:v>0.19138755980861244</c:v>
                </c:pt>
                <c:pt idx="516">
                  <c:v>0.28708133971291866</c:v>
                </c:pt>
                <c:pt idx="517">
                  <c:v>0.28708133971291866</c:v>
                </c:pt>
                <c:pt idx="518">
                  <c:v>0.28708133971291866</c:v>
                </c:pt>
                <c:pt idx="519">
                  <c:v>0.28708133971291866</c:v>
                </c:pt>
                <c:pt idx="520">
                  <c:v>0.28708133971291866</c:v>
                </c:pt>
                <c:pt idx="521">
                  <c:v>0.28708133971291866</c:v>
                </c:pt>
                <c:pt idx="522">
                  <c:v>0.28708133971291866</c:v>
                </c:pt>
                <c:pt idx="523">
                  <c:v>0.28708133971291866</c:v>
                </c:pt>
                <c:pt idx="524">
                  <c:v>0.28708133971291866</c:v>
                </c:pt>
                <c:pt idx="525">
                  <c:v>0.28708133971291866</c:v>
                </c:pt>
                <c:pt idx="526">
                  <c:v>0.28708133971291866</c:v>
                </c:pt>
                <c:pt idx="527">
                  <c:v>0.28708133971291866</c:v>
                </c:pt>
                <c:pt idx="528">
                  <c:v>0.28708133971291866</c:v>
                </c:pt>
                <c:pt idx="529">
                  <c:v>0.28708133971291866</c:v>
                </c:pt>
                <c:pt idx="530">
                  <c:v>0.28708133971291866</c:v>
                </c:pt>
                <c:pt idx="531">
                  <c:v>0.28708133971291866</c:v>
                </c:pt>
                <c:pt idx="532">
                  <c:v>0.28708133971291866</c:v>
                </c:pt>
                <c:pt idx="533">
                  <c:v>0.28708133971291866</c:v>
                </c:pt>
                <c:pt idx="534">
                  <c:v>0.28708133971291866</c:v>
                </c:pt>
                <c:pt idx="535">
                  <c:v>0.28708133971291866</c:v>
                </c:pt>
                <c:pt idx="536">
                  <c:v>0.28708133971291866</c:v>
                </c:pt>
                <c:pt idx="537">
                  <c:v>0.28708133971291866</c:v>
                </c:pt>
                <c:pt idx="538">
                  <c:v>0.28708133971291866</c:v>
                </c:pt>
                <c:pt idx="539">
                  <c:v>0.28708133971291866</c:v>
                </c:pt>
                <c:pt idx="540">
                  <c:v>0.28708133971291866</c:v>
                </c:pt>
                <c:pt idx="541">
                  <c:v>0.28708133971291866</c:v>
                </c:pt>
                <c:pt idx="542">
                  <c:v>0.20512820512820512</c:v>
                </c:pt>
                <c:pt idx="543">
                  <c:v>0.20512820512820512</c:v>
                </c:pt>
                <c:pt idx="544">
                  <c:v>8.5106382978723402E-2</c:v>
                </c:pt>
                <c:pt idx="545">
                  <c:v>8.5106382978723402E-2</c:v>
                </c:pt>
                <c:pt idx="546">
                  <c:v>8.5106382978723402E-2</c:v>
                </c:pt>
                <c:pt idx="547">
                  <c:v>8.5106382978723402E-2</c:v>
                </c:pt>
                <c:pt idx="548">
                  <c:v>8.5106382978723402E-2</c:v>
                </c:pt>
                <c:pt idx="549">
                  <c:v>8.5106382978723402E-2</c:v>
                </c:pt>
                <c:pt idx="550">
                  <c:v>8.5106382978723402E-2</c:v>
                </c:pt>
                <c:pt idx="551">
                  <c:v>8.5106382978723402E-2</c:v>
                </c:pt>
                <c:pt idx="552">
                  <c:v>8.5106382978723402E-2</c:v>
                </c:pt>
                <c:pt idx="553">
                  <c:v>8.5106382978723402E-2</c:v>
                </c:pt>
                <c:pt idx="554">
                  <c:v>8.5106382978723402E-2</c:v>
                </c:pt>
                <c:pt idx="555">
                  <c:v>8.5106382978723402E-2</c:v>
                </c:pt>
                <c:pt idx="556">
                  <c:v>8.5106382978723402E-2</c:v>
                </c:pt>
                <c:pt idx="557">
                  <c:v>8.5106382978723402E-2</c:v>
                </c:pt>
                <c:pt idx="558">
                  <c:v>8.5106382978723402E-2</c:v>
                </c:pt>
                <c:pt idx="559">
                  <c:v>8.5106382978723402E-2</c:v>
                </c:pt>
                <c:pt idx="560">
                  <c:v>8.5106382978723402E-2</c:v>
                </c:pt>
                <c:pt idx="561">
                  <c:v>8.5106382978723402E-2</c:v>
                </c:pt>
                <c:pt idx="562">
                  <c:v>8.5106382978723402E-2</c:v>
                </c:pt>
                <c:pt idx="563">
                  <c:v>8.5106382978723402E-2</c:v>
                </c:pt>
                <c:pt idx="564">
                  <c:v>8.5106382978723402E-2</c:v>
                </c:pt>
                <c:pt idx="565">
                  <c:v>8.5106382978723402E-2</c:v>
                </c:pt>
                <c:pt idx="566">
                  <c:v>8.5106382978723402E-2</c:v>
                </c:pt>
                <c:pt idx="567">
                  <c:v>8.5106382978723402E-2</c:v>
                </c:pt>
                <c:pt idx="568">
                  <c:v>8.5106382978723402E-2</c:v>
                </c:pt>
                <c:pt idx="569">
                  <c:v>8.5106382978723402E-2</c:v>
                </c:pt>
                <c:pt idx="570">
                  <c:v>0.10810810810810811</c:v>
                </c:pt>
                <c:pt idx="571">
                  <c:v>0.10810810810810811</c:v>
                </c:pt>
                <c:pt idx="572">
                  <c:v>0.38297872340425532</c:v>
                </c:pt>
                <c:pt idx="573">
                  <c:v>0.38297872340425532</c:v>
                </c:pt>
                <c:pt idx="574">
                  <c:v>0.38297872340425532</c:v>
                </c:pt>
                <c:pt idx="575">
                  <c:v>0.38297872340425532</c:v>
                </c:pt>
                <c:pt idx="576">
                  <c:v>0.38297872340425532</c:v>
                </c:pt>
                <c:pt idx="577">
                  <c:v>0.38297872340425532</c:v>
                </c:pt>
                <c:pt idx="578">
                  <c:v>0.38297872340425532</c:v>
                </c:pt>
                <c:pt idx="579">
                  <c:v>0.38297872340425532</c:v>
                </c:pt>
                <c:pt idx="580">
                  <c:v>0.38297872340425532</c:v>
                </c:pt>
                <c:pt idx="581">
                  <c:v>0.38297872340425532</c:v>
                </c:pt>
                <c:pt idx="582">
                  <c:v>0.38297872340425532</c:v>
                </c:pt>
                <c:pt idx="583">
                  <c:v>0.38297872340425532</c:v>
                </c:pt>
                <c:pt idx="584">
                  <c:v>0.38297872340425532</c:v>
                </c:pt>
                <c:pt idx="585">
                  <c:v>0.38297872340425532</c:v>
                </c:pt>
                <c:pt idx="586">
                  <c:v>0.38297872340425532</c:v>
                </c:pt>
                <c:pt idx="587">
                  <c:v>0.38297872340425532</c:v>
                </c:pt>
                <c:pt idx="588">
                  <c:v>0.38297872340425532</c:v>
                </c:pt>
                <c:pt idx="589">
                  <c:v>0.38297872340425532</c:v>
                </c:pt>
                <c:pt idx="590">
                  <c:v>0.38297872340425532</c:v>
                </c:pt>
                <c:pt idx="591">
                  <c:v>0.38297872340425532</c:v>
                </c:pt>
                <c:pt idx="592">
                  <c:v>0.38297872340425532</c:v>
                </c:pt>
                <c:pt idx="593">
                  <c:v>0.38297872340425532</c:v>
                </c:pt>
                <c:pt idx="594">
                  <c:v>0.38297872340425532</c:v>
                </c:pt>
                <c:pt idx="595">
                  <c:v>0.38297872340425532</c:v>
                </c:pt>
                <c:pt idx="596">
                  <c:v>0.38297872340425532</c:v>
                </c:pt>
                <c:pt idx="597">
                  <c:v>0.38297872340425532</c:v>
                </c:pt>
                <c:pt idx="598">
                  <c:v>0.38297872340425532</c:v>
                </c:pt>
                <c:pt idx="599">
                  <c:v>0.38297872340425532</c:v>
                </c:pt>
                <c:pt idx="600">
                  <c:v>0.38297872340425532</c:v>
                </c:pt>
                <c:pt idx="601">
                  <c:v>0.38297872340425532</c:v>
                </c:pt>
                <c:pt idx="602">
                  <c:v>0.38297872340425532</c:v>
                </c:pt>
                <c:pt idx="603">
                  <c:v>0.38297872340425532</c:v>
                </c:pt>
                <c:pt idx="604">
                  <c:v>0.38297872340425532</c:v>
                </c:pt>
                <c:pt idx="605">
                  <c:v>0.38297872340425532</c:v>
                </c:pt>
                <c:pt idx="606">
                  <c:v>0.38297872340425532</c:v>
                </c:pt>
                <c:pt idx="607">
                  <c:v>0.21276595744680851</c:v>
                </c:pt>
                <c:pt idx="608">
                  <c:v>0.21276595744680851</c:v>
                </c:pt>
                <c:pt idx="609">
                  <c:v>0.21276595744680851</c:v>
                </c:pt>
                <c:pt idx="610">
                  <c:v>0.21276595744680851</c:v>
                </c:pt>
                <c:pt idx="611">
                  <c:v>0.21276595744680851</c:v>
                </c:pt>
                <c:pt idx="612">
                  <c:v>0.21276595744680851</c:v>
                </c:pt>
                <c:pt idx="613">
                  <c:v>0.21276595744680851</c:v>
                </c:pt>
                <c:pt idx="614">
                  <c:v>0.21276595744680851</c:v>
                </c:pt>
                <c:pt idx="615">
                  <c:v>0.21276595744680851</c:v>
                </c:pt>
                <c:pt idx="616">
                  <c:v>0.21276595744680851</c:v>
                </c:pt>
                <c:pt idx="617">
                  <c:v>0.21276595744680851</c:v>
                </c:pt>
                <c:pt idx="618">
                  <c:v>0.21276595744680851</c:v>
                </c:pt>
                <c:pt idx="619">
                  <c:v>0.21276595744680851</c:v>
                </c:pt>
                <c:pt idx="620">
                  <c:v>0.21276595744680851</c:v>
                </c:pt>
                <c:pt idx="621">
                  <c:v>0.21276595744680851</c:v>
                </c:pt>
                <c:pt idx="622">
                  <c:v>0.21276595744680851</c:v>
                </c:pt>
                <c:pt idx="623">
                  <c:v>0.21276595744680851</c:v>
                </c:pt>
                <c:pt idx="624">
                  <c:v>0.21276595744680851</c:v>
                </c:pt>
                <c:pt idx="625">
                  <c:v>0.21276595744680851</c:v>
                </c:pt>
                <c:pt idx="626">
                  <c:v>0.21276595744680851</c:v>
                </c:pt>
                <c:pt idx="627">
                  <c:v>0.21276595744680851</c:v>
                </c:pt>
                <c:pt idx="628">
                  <c:v>0.21276595744680851</c:v>
                </c:pt>
                <c:pt idx="629">
                  <c:v>0.21276595744680851</c:v>
                </c:pt>
                <c:pt idx="630">
                  <c:v>0.21276595744680851</c:v>
                </c:pt>
                <c:pt idx="631">
                  <c:v>0.21276595744680851</c:v>
                </c:pt>
                <c:pt idx="632">
                  <c:v>0.21276595744680851</c:v>
                </c:pt>
                <c:pt idx="633">
                  <c:v>0.21276595744680851</c:v>
                </c:pt>
                <c:pt idx="634">
                  <c:v>0.21276595744680851</c:v>
                </c:pt>
                <c:pt idx="635">
                  <c:v>0.21276595744680851</c:v>
                </c:pt>
                <c:pt idx="636">
                  <c:v>0.21276595744680851</c:v>
                </c:pt>
                <c:pt idx="637">
                  <c:v>0.21276595744680851</c:v>
                </c:pt>
                <c:pt idx="638">
                  <c:v>0.21276595744680851</c:v>
                </c:pt>
                <c:pt idx="639">
                  <c:v>0.21276595744680851</c:v>
                </c:pt>
                <c:pt idx="640">
                  <c:v>0.21276595744680851</c:v>
                </c:pt>
                <c:pt idx="641">
                  <c:v>0.21276595744680851</c:v>
                </c:pt>
                <c:pt idx="642">
                  <c:v>0.21276595744680851</c:v>
                </c:pt>
                <c:pt idx="643">
                  <c:v>0.21276595744680851</c:v>
                </c:pt>
                <c:pt idx="644">
                  <c:v>0.21276595744680851</c:v>
                </c:pt>
                <c:pt idx="645">
                  <c:v>0.21276595744680851</c:v>
                </c:pt>
                <c:pt idx="646">
                  <c:v>0.21276595744680851</c:v>
                </c:pt>
                <c:pt idx="647">
                  <c:v>0.21276595744680851</c:v>
                </c:pt>
                <c:pt idx="648">
                  <c:v>0.21276595744680851</c:v>
                </c:pt>
                <c:pt idx="649">
                  <c:v>0.21276595744680851</c:v>
                </c:pt>
                <c:pt idx="650">
                  <c:v>0.21276595744680851</c:v>
                </c:pt>
                <c:pt idx="651">
                  <c:v>0.21276595744680851</c:v>
                </c:pt>
                <c:pt idx="652">
                  <c:v>0.21276595744680851</c:v>
                </c:pt>
                <c:pt idx="653">
                  <c:v>0.21276595744680851</c:v>
                </c:pt>
                <c:pt idx="654">
                  <c:v>0.21276595744680851</c:v>
                </c:pt>
                <c:pt idx="655">
                  <c:v>0.21276595744680851</c:v>
                </c:pt>
                <c:pt idx="656">
                  <c:v>0.21276595744680851</c:v>
                </c:pt>
                <c:pt idx="657">
                  <c:v>0.21276595744680851</c:v>
                </c:pt>
                <c:pt idx="658">
                  <c:v>0.21276595744680851</c:v>
                </c:pt>
                <c:pt idx="659">
                  <c:v>0.21276595744680851</c:v>
                </c:pt>
                <c:pt idx="660">
                  <c:v>0.21276595744680851</c:v>
                </c:pt>
                <c:pt idx="661">
                  <c:v>0.27777777777777779</c:v>
                </c:pt>
                <c:pt idx="662">
                  <c:v>0.27777777777777779</c:v>
                </c:pt>
                <c:pt idx="663">
                  <c:v>0.33333333333333331</c:v>
                </c:pt>
                <c:pt idx="664">
                  <c:v>0.33333333333333331</c:v>
                </c:pt>
                <c:pt idx="665">
                  <c:v>0.33333333333333331</c:v>
                </c:pt>
                <c:pt idx="666">
                  <c:v>0.33333333333333331</c:v>
                </c:pt>
                <c:pt idx="667">
                  <c:v>0.33333333333333331</c:v>
                </c:pt>
                <c:pt idx="668">
                  <c:v>0.33333333333333331</c:v>
                </c:pt>
                <c:pt idx="669">
                  <c:v>0.33333333333333331</c:v>
                </c:pt>
                <c:pt idx="670">
                  <c:v>0.33333333333333331</c:v>
                </c:pt>
                <c:pt idx="671">
                  <c:v>0.33333333333333331</c:v>
                </c:pt>
                <c:pt idx="672">
                  <c:v>0.33333333333333331</c:v>
                </c:pt>
                <c:pt idx="673">
                  <c:v>0.33333333333333331</c:v>
                </c:pt>
                <c:pt idx="674">
                  <c:v>0.33333333333333331</c:v>
                </c:pt>
                <c:pt idx="675">
                  <c:v>0.33333333333333331</c:v>
                </c:pt>
                <c:pt idx="676">
                  <c:v>0.33333333333333331</c:v>
                </c:pt>
                <c:pt idx="677">
                  <c:v>0.33333333333333331</c:v>
                </c:pt>
                <c:pt idx="678">
                  <c:v>0.33333333333333331</c:v>
                </c:pt>
                <c:pt idx="679">
                  <c:v>0.33333333333333331</c:v>
                </c:pt>
                <c:pt idx="680">
                  <c:v>0.33333333333333331</c:v>
                </c:pt>
                <c:pt idx="681">
                  <c:v>0.33333333333333331</c:v>
                </c:pt>
                <c:pt idx="682">
                  <c:v>0.33333333333333331</c:v>
                </c:pt>
                <c:pt idx="683">
                  <c:v>0.33333333333333331</c:v>
                </c:pt>
                <c:pt idx="684">
                  <c:v>0.33333333333333331</c:v>
                </c:pt>
                <c:pt idx="685">
                  <c:v>0.33333333333333331</c:v>
                </c:pt>
                <c:pt idx="686">
                  <c:v>0.33333333333333331</c:v>
                </c:pt>
                <c:pt idx="687">
                  <c:v>0.33333333333333331</c:v>
                </c:pt>
                <c:pt idx="688">
                  <c:v>0.33333333333333331</c:v>
                </c:pt>
                <c:pt idx="689">
                  <c:v>0.33333333333333331</c:v>
                </c:pt>
                <c:pt idx="690">
                  <c:v>0.33333333333333331</c:v>
                </c:pt>
                <c:pt idx="691">
                  <c:v>0.33333333333333331</c:v>
                </c:pt>
                <c:pt idx="692">
                  <c:v>0.33333333333333331</c:v>
                </c:pt>
                <c:pt idx="693">
                  <c:v>0.33333333333333331</c:v>
                </c:pt>
                <c:pt idx="694">
                  <c:v>0.33333333333333331</c:v>
                </c:pt>
                <c:pt idx="695">
                  <c:v>0.33333333333333331</c:v>
                </c:pt>
                <c:pt idx="696">
                  <c:v>0.33333333333333331</c:v>
                </c:pt>
                <c:pt idx="697">
                  <c:v>0.33333333333333331</c:v>
                </c:pt>
                <c:pt idx="698">
                  <c:v>0.33333333333333331</c:v>
                </c:pt>
                <c:pt idx="699">
                  <c:v>0.33333333333333331</c:v>
                </c:pt>
                <c:pt idx="700">
                  <c:v>0.33333333333333331</c:v>
                </c:pt>
                <c:pt idx="701">
                  <c:v>0.33333333333333331</c:v>
                </c:pt>
                <c:pt idx="702">
                  <c:v>0.33333333333333331</c:v>
                </c:pt>
                <c:pt idx="703">
                  <c:v>0.33333333333333331</c:v>
                </c:pt>
                <c:pt idx="704">
                  <c:v>0.33333333333333331</c:v>
                </c:pt>
                <c:pt idx="705">
                  <c:v>0.33333333333333331</c:v>
                </c:pt>
                <c:pt idx="706">
                  <c:v>0.33333333333333331</c:v>
                </c:pt>
                <c:pt idx="707">
                  <c:v>0.33333333333333331</c:v>
                </c:pt>
                <c:pt idx="708">
                  <c:v>0.33333333333333331</c:v>
                </c:pt>
                <c:pt idx="709">
                  <c:v>0.33333333333333331</c:v>
                </c:pt>
                <c:pt idx="710">
                  <c:v>0.33333333333333331</c:v>
                </c:pt>
                <c:pt idx="711">
                  <c:v>0.33333333333333331</c:v>
                </c:pt>
                <c:pt idx="712">
                  <c:v>0.33333333333333331</c:v>
                </c:pt>
                <c:pt idx="713">
                  <c:v>0.33333333333333331</c:v>
                </c:pt>
                <c:pt idx="714">
                  <c:v>0.33333333333333331</c:v>
                </c:pt>
                <c:pt idx="715">
                  <c:v>0.33333333333333331</c:v>
                </c:pt>
                <c:pt idx="716">
                  <c:v>0.33333333333333331</c:v>
                </c:pt>
                <c:pt idx="717">
                  <c:v>0.33333333333333331</c:v>
                </c:pt>
                <c:pt idx="718">
                  <c:v>0.33333333333333331</c:v>
                </c:pt>
                <c:pt idx="719">
                  <c:v>0.33333333333333331</c:v>
                </c:pt>
                <c:pt idx="720">
                  <c:v>0.33333333333333331</c:v>
                </c:pt>
                <c:pt idx="721">
                  <c:v>0.33333333333333331</c:v>
                </c:pt>
                <c:pt idx="722">
                  <c:v>0.33333333333333331</c:v>
                </c:pt>
                <c:pt idx="723">
                  <c:v>0.33333333333333331</c:v>
                </c:pt>
                <c:pt idx="724">
                  <c:v>0.33333333333333331</c:v>
                </c:pt>
                <c:pt idx="725">
                  <c:v>0.33333333333333331</c:v>
                </c:pt>
                <c:pt idx="726">
                  <c:v>0.33333333333333331</c:v>
                </c:pt>
                <c:pt idx="727">
                  <c:v>0.33333333333333331</c:v>
                </c:pt>
                <c:pt idx="728">
                  <c:v>0.33333333333333331</c:v>
                </c:pt>
                <c:pt idx="729">
                  <c:v>0.33333333333333331</c:v>
                </c:pt>
                <c:pt idx="730">
                  <c:v>0.33333333333333331</c:v>
                </c:pt>
                <c:pt idx="731">
                  <c:v>0.33333333333333331</c:v>
                </c:pt>
                <c:pt idx="732">
                  <c:v>0.33333333333333331</c:v>
                </c:pt>
                <c:pt idx="733">
                  <c:v>0.33333333333333331</c:v>
                </c:pt>
                <c:pt idx="734">
                  <c:v>0.33333333333333331</c:v>
                </c:pt>
                <c:pt idx="735">
                  <c:v>0.33333333333333331</c:v>
                </c:pt>
                <c:pt idx="736">
                  <c:v>0.33333333333333331</c:v>
                </c:pt>
                <c:pt idx="737">
                  <c:v>0.33333333333333331</c:v>
                </c:pt>
                <c:pt idx="738">
                  <c:v>0.33333333333333331</c:v>
                </c:pt>
                <c:pt idx="739">
                  <c:v>0.33333333333333331</c:v>
                </c:pt>
                <c:pt idx="740">
                  <c:v>0.33333333333333331</c:v>
                </c:pt>
                <c:pt idx="741">
                  <c:v>0.33333333333333331</c:v>
                </c:pt>
                <c:pt idx="742">
                  <c:v>0.33333333333333331</c:v>
                </c:pt>
                <c:pt idx="743">
                  <c:v>0.33333333333333331</c:v>
                </c:pt>
                <c:pt idx="744">
                  <c:v>0.33333333333333331</c:v>
                </c:pt>
                <c:pt idx="745">
                  <c:v>0.33333333333333331</c:v>
                </c:pt>
                <c:pt idx="746">
                  <c:v>0.33333333333333331</c:v>
                </c:pt>
                <c:pt idx="747">
                  <c:v>0.33333333333333331</c:v>
                </c:pt>
                <c:pt idx="748">
                  <c:v>0.33333333333333331</c:v>
                </c:pt>
                <c:pt idx="749">
                  <c:v>0.33333333333333331</c:v>
                </c:pt>
                <c:pt idx="750">
                  <c:v>0.33333333333333331</c:v>
                </c:pt>
                <c:pt idx="751">
                  <c:v>0.33333333333333331</c:v>
                </c:pt>
                <c:pt idx="752">
                  <c:v>7.6923076923076927E-2</c:v>
                </c:pt>
                <c:pt idx="753">
                  <c:v>0.10344827586206896</c:v>
                </c:pt>
                <c:pt idx="754">
                  <c:v>0.33333333333333331</c:v>
                </c:pt>
                <c:pt idx="755">
                  <c:v>0.33333333333333331</c:v>
                </c:pt>
                <c:pt idx="756">
                  <c:v>0.33333333333333331</c:v>
                </c:pt>
                <c:pt idx="757">
                  <c:v>0.33333333333333331</c:v>
                </c:pt>
                <c:pt idx="758">
                  <c:v>0.33333333333333331</c:v>
                </c:pt>
                <c:pt idx="759">
                  <c:v>0.33333333333333331</c:v>
                </c:pt>
                <c:pt idx="760">
                  <c:v>0.33333333333333331</c:v>
                </c:pt>
                <c:pt idx="761">
                  <c:v>0.33333333333333331</c:v>
                </c:pt>
                <c:pt idx="762">
                  <c:v>0.33333333333333331</c:v>
                </c:pt>
                <c:pt idx="763">
                  <c:v>0.33333333333333331</c:v>
                </c:pt>
                <c:pt idx="764">
                  <c:v>0.33333333333333331</c:v>
                </c:pt>
                <c:pt idx="765">
                  <c:v>0.33333333333333331</c:v>
                </c:pt>
                <c:pt idx="766">
                  <c:v>0.33333333333333331</c:v>
                </c:pt>
                <c:pt idx="767">
                  <c:v>0.33333333333333331</c:v>
                </c:pt>
                <c:pt idx="768">
                  <c:v>0.33333333333333331</c:v>
                </c:pt>
                <c:pt idx="769">
                  <c:v>0.33333333333333331</c:v>
                </c:pt>
                <c:pt idx="770">
                  <c:v>0.33333333333333331</c:v>
                </c:pt>
                <c:pt idx="771">
                  <c:v>0.33333333333333331</c:v>
                </c:pt>
                <c:pt idx="772">
                  <c:v>0.33333333333333331</c:v>
                </c:pt>
                <c:pt idx="773">
                  <c:v>0.33333333333333331</c:v>
                </c:pt>
                <c:pt idx="774">
                  <c:v>0.33333333333333331</c:v>
                </c:pt>
                <c:pt idx="775">
                  <c:v>0.33333333333333331</c:v>
                </c:pt>
                <c:pt idx="776">
                  <c:v>0.33333333333333331</c:v>
                </c:pt>
                <c:pt idx="777">
                  <c:v>0.33333333333333331</c:v>
                </c:pt>
                <c:pt idx="778">
                  <c:v>0.33333333333333331</c:v>
                </c:pt>
                <c:pt idx="779">
                  <c:v>0.33333333333333331</c:v>
                </c:pt>
                <c:pt idx="780">
                  <c:v>0.33333333333333331</c:v>
                </c:pt>
                <c:pt idx="781">
                  <c:v>0.33333333333333331</c:v>
                </c:pt>
                <c:pt idx="782">
                  <c:v>0.33333333333333331</c:v>
                </c:pt>
                <c:pt idx="783">
                  <c:v>0.33333333333333331</c:v>
                </c:pt>
                <c:pt idx="784">
                  <c:v>0.33333333333333331</c:v>
                </c:pt>
                <c:pt idx="785">
                  <c:v>0.33333333333333331</c:v>
                </c:pt>
                <c:pt idx="786">
                  <c:v>0.33333333333333331</c:v>
                </c:pt>
                <c:pt idx="787">
                  <c:v>0.33333333333333331</c:v>
                </c:pt>
                <c:pt idx="788">
                  <c:v>0.33333333333333331</c:v>
                </c:pt>
                <c:pt idx="789">
                  <c:v>0.36585365853658536</c:v>
                </c:pt>
                <c:pt idx="790">
                  <c:v>0.36585365853658536</c:v>
                </c:pt>
                <c:pt idx="791">
                  <c:v>0.36585365853658536</c:v>
                </c:pt>
                <c:pt idx="792">
                  <c:v>0.36585365853658536</c:v>
                </c:pt>
                <c:pt idx="793">
                  <c:v>0.36585365853658536</c:v>
                </c:pt>
                <c:pt idx="794">
                  <c:v>0.36585365853658536</c:v>
                </c:pt>
                <c:pt idx="795">
                  <c:v>0.36585365853658536</c:v>
                </c:pt>
                <c:pt idx="796">
                  <c:v>0.36585365853658536</c:v>
                </c:pt>
                <c:pt idx="797">
                  <c:v>0.36585365853658536</c:v>
                </c:pt>
                <c:pt idx="798">
                  <c:v>0.36585365853658536</c:v>
                </c:pt>
                <c:pt idx="799">
                  <c:v>0.36585365853658536</c:v>
                </c:pt>
                <c:pt idx="800">
                  <c:v>0.36585365853658536</c:v>
                </c:pt>
                <c:pt idx="801">
                  <c:v>0.36585365853658536</c:v>
                </c:pt>
                <c:pt idx="802">
                  <c:v>0.36585365853658536</c:v>
                </c:pt>
                <c:pt idx="803">
                  <c:v>0.36585365853658536</c:v>
                </c:pt>
                <c:pt idx="804">
                  <c:v>0.36585365853658536</c:v>
                </c:pt>
                <c:pt idx="805">
                  <c:v>0.36585365853658536</c:v>
                </c:pt>
                <c:pt idx="806">
                  <c:v>0.36585365853658536</c:v>
                </c:pt>
                <c:pt idx="807">
                  <c:v>0.36585365853658536</c:v>
                </c:pt>
                <c:pt idx="808">
                  <c:v>0.36585365853658536</c:v>
                </c:pt>
                <c:pt idx="809">
                  <c:v>0.36585365853658536</c:v>
                </c:pt>
                <c:pt idx="810">
                  <c:v>0.36585365853658536</c:v>
                </c:pt>
                <c:pt idx="811">
                  <c:v>0.36585365853658536</c:v>
                </c:pt>
                <c:pt idx="812">
                  <c:v>0.43902439024390244</c:v>
                </c:pt>
                <c:pt idx="813">
                  <c:v>0.43902439024390244</c:v>
                </c:pt>
                <c:pt idx="814">
                  <c:v>0.43902439024390244</c:v>
                </c:pt>
                <c:pt idx="815">
                  <c:v>0.45454545454545453</c:v>
                </c:pt>
                <c:pt idx="816">
                  <c:v>0.45454545454545453</c:v>
                </c:pt>
                <c:pt idx="817">
                  <c:v>0.46666666666666667</c:v>
                </c:pt>
                <c:pt idx="818">
                  <c:v>0.46666666666666667</c:v>
                </c:pt>
                <c:pt idx="819">
                  <c:v>0.46666666666666667</c:v>
                </c:pt>
                <c:pt idx="820">
                  <c:v>0.46666666666666667</c:v>
                </c:pt>
                <c:pt idx="821">
                  <c:v>0.46666666666666667</c:v>
                </c:pt>
                <c:pt idx="822">
                  <c:v>0.46666666666666667</c:v>
                </c:pt>
                <c:pt idx="823">
                  <c:v>0.46666666666666667</c:v>
                </c:pt>
                <c:pt idx="824">
                  <c:v>0.46666666666666667</c:v>
                </c:pt>
                <c:pt idx="825">
                  <c:v>0.46666666666666667</c:v>
                </c:pt>
                <c:pt idx="826">
                  <c:v>0.46666666666666667</c:v>
                </c:pt>
                <c:pt idx="827">
                  <c:v>0.46666666666666667</c:v>
                </c:pt>
                <c:pt idx="828">
                  <c:v>0.46666666666666667</c:v>
                </c:pt>
                <c:pt idx="829">
                  <c:v>0.46666666666666667</c:v>
                </c:pt>
                <c:pt idx="830">
                  <c:v>0.46666666666666667</c:v>
                </c:pt>
                <c:pt idx="831">
                  <c:v>0.46666666666666667</c:v>
                </c:pt>
                <c:pt idx="832">
                  <c:v>0.46666666666666667</c:v>
                </c:pt>
                <c:pt idx="833">
                  <c:v>0.46666666666666667</c:v>
                </c:pt>
                <c:pt idx="834">
                  <c:v>0.46666666666666667</c:v>
                </c:pt>
                <c:pt idx="835">
                  <c:v>0.46666666666666667</c:v>
                </c:pt>
                <c:pt idx="836">
                  <c:v>0.46666666666666667</c:v>
                </c:pt>
                <c:pt idx="837">
                  <c:v>0.46666666666666667</c:v>
                </c:pt>
                <c:pt idx="838">
                  <c:v>0.46666666666666667</c:v>
                </c:pt>
                <c:pt idx="839">
                  <c:v>0.46666666666666667</c:v>
                </c:pt>
                <c:pt idx="840">
                  <c:v>0.46666666666666667</c:v>
                </c:pt>
                <c:pt idx="841">
                  <c:v>0.46666666666666667</c:v>
                </c:pt>
                <c:pt idx="842">
                  <c:v>0.46666666666666667</c:v>
                </c:pt>
                <c:pt idx="843">
                  <c:v>0.42857142857142855</c:v>
                </c:pt>
                <c:pt idx="844">
                  <c:v>0.42857142857142855</c:v>
                </c:pt>
                <c:pt idx="845">
                  <c:v>0.53846153846153844</c:v>
                </c:pt>
                <c:pt idx="846">
                  <c:v>0.53846153846153844</c:v>
                </c:pt>
                <c:pt idx="847">
                  <c:v>0.53846153846153844</c:v>
                </c:pt>
                <c:pt idx="848">
                  <c:v>0.53846153846153844</c:v>
                </c:pt>
                <c:pt idx="849">
                  <c:v>0.53846153846153844</c:v>
                </c:pt>
                <c:pt idx="850">
                  <c:v>0.53846153846153844</c:v>
                </c:pt>
                <c:pt idx="851">
                  <c:v>0.53846153846153844</c:v>
                </c:pt>
                <c:pt idx="852">
                  <c:v>0.53846153846153844</c:v>
                </c:pt>
                <c:pt idx="853">
                  <c:v>0.53846153846153844</c:v>
                </c:pt>
                <c:pt idx="854">
                  <c:v>0.53846153846153844</c:v>
                </c:pt>
                <c:pt idx="855">
                  <c:v>0.53846153846153844</c:v>
                </c:pt>
                <c:pt idx="856">
                  <c:v>0.53846153846153844</c:v>
                </c:pt>
                <c:pt idx="857">
                  <c:v>0.53846153846153844</c:v>
                </c:pt>
                <c:pt idx="858">
                  <c:v>0.53846153846153844</c:v>
                </c:pt>
                <c:pt idx="859">
                  <c:v>0.53846153846153844</c:v>
                </c:pt>
                <c:pt idx="860">
                  <c:v>0.53846153846153844</c:v>
                </c:pt>
                <c:pt idx="861">
                  <c:v>0.53846153846153844</c:v>
                </c:pt>
                <c:pt idx="862">
                  <c:v>0.53846153846153844</c:v>
                </c:pt>
                <c:pt idx="863">
                  <c:v>0.53846153846153844</c:v>
                </c:pt>
                <c:pt idx="864">
                  <c:v>0.53846153846153844</c:v>
                </c:pt>
                <c:pt idx="865">
                  <c:v>0.53846153846153844</c:v>
                </c:pt>
                <c:pt idx="866">
                  <c:v>0.53846153846153844</c:v>
                </c:pt>
                <c:pt idx="867">
                  <c:v>0.53846153846153844</c:v>
                </c:pt>
                <c:pt idx="868">
                  <c:v>0.53846153846153844</c:v>
                </c:pt>
                <c:pt idx="869">
                  <c:v>0.53846153846153844</c:v>
                </c:pt>
                <c:pt idx="870">
                  <c:v>0.53846153846153844</c:v>
                </c:pt>
                <c:pt idx="871">
                  <c:v>0.53846153846153844</c:v>
                </c:pt>
                <c:pt idx="872">
                  <c:v>0.53846153846153844</c:v>
                </c:pt>
                <c:pt idx="873">
                  <c:v>0.53846153846153844</c:v>
                </c:pt>
                <c:pt idx="874">
                  <c:v>0.53846153846153844</c:v>
                </c:pt>
                <c:pt idx="875">
                  <c:v>0.53846153846153844</c:v>
                </c:pt>
                <c:pt idx="876">
                  <c:v>0.53846153846153844</c:v>
                </c:pt>
                <c:pt idx="877">
                  <c:v>0.53846153846153844</c:v>
                </c:pt>
                <c:pt idx="878">
                  <c:v>0.53846153846153844</c:v>
                </c:pt>
                <c:pt idx="879">
                  <c:v>0.53846153846153844</c:v>
                </c:pt>
                <c:pt idx="880">
                  <c:v>0.65384615384615385</c:v>
                </c:pt>
                <c:pt idx="881">
                  <c:v>0.65384615384615385</c:v>
                </c:pt>
                <c:pt idx="882">
                  <c:v>0.65384615384615385</c:v>
                </c:pt>
                <c:pt idx="883">
                  <c:v>0.65384615384615385</c:v>
                </c:pt>
                <c:pt idx="884">
                  <c:v>0.65384615384615385</c:v>
                </c:pt>
                <c:pt idx="885">
                  <c:v>0.65384615384615385</c:v>
                </c:pt>
                <c:pt idx="886">
                  <c:v>0.65384615384615385</c:v>
                </c:pt>
                <c:pt idx="887">
                  <c:v>0.65384615384615385</c:v>
                </c:pt>
                <c:pt idx="888">
                  <c:v>0.65384615384615385</c:v>
                </c:pt>
                <c:pt idx="889">
                  <c:v>0.65384615384615385</c:v>
                </c:pt>
                <c:pt idx="890">
                  <c:v>0.65384615384615385</c:v>
                </c:pt>
                <c:pt idx="891">
                  <c:v>0.65384615384615385</c:v>
                </c:pt>
                <c:pt idx="892">
                  <c:v>0.65384615384615385</c:v>
                </c:pt>
                <c:pt idx="893">
                  <c:v>0.65384615384615385</c:v>
                </c:pt>
                <c:pt idx="894">
                  <c:v>0.65384615384615385</c:v>
                </c:pt>
                <c:pt idx="895">
                  <c:v>0.65384615384615385</c:v>
                </c:pt>
                <c:pt idx="896">
                  <c:v>0.65384615384615385</c:v>
                </c:pt>
                <c:pt idx="897">
                  <c:v>0.65384615384615385</c:v>
                </c:pt>
                <c:pt idx="898">
                  <c:v>0.65384615384615385</c:v>
                </c:pt>
                <c:pt idx="899">
                  <c:v>0.65384615384615385</c:v>
                </c:pt>
                <c:pt idx="900">
                  <c:v>0.65384615384615385</c:v>
                </c:pt>
                <c:pt idx="901">
                  <c:v>0.65384615384615385</c:v>
                </c:pt>
                <c:pt idx="902">
                  <c:v>0.65384615384615385</c:v>
                </c:pt>
                <c:pt idx="903">
                  <c:v>0.65384615384615385</c:v>
                </c:pt>
                <c:pt idx="904">
                  <c:v>0.65384615384615385</c:v>
                </c:pt>
                <c:pt idx="905">
                  <c:v>0.65384615384615385</c:v>
                </c:pt>
                <c:pt idx="906">
                  <c:v>0.85</c:v>
                </c:pt>
                <c:pt idx="907">
                  <c:v>0.85</c:v>
                </c:pt>
                <c:pt idx="908">
                  <c:v>0.65384615384615385</c:v>
                </c:pt>
                <c:pt idx="909">
                  <c:v>0.65384615384615385</c:v>
                </c:pt>
                <c:pt idx="910">
                  <c:v>0.65384615384615385</c:v>
                </c:pt>
                <c:pt idx="911">
                  <c:v>0.65384615384615385</c:v>
                </c:pt>
                <c:pt idx="912">
                  <c:v>0.65384615384615385</c:v>
                </c:pt>
                <c:pt idx="913">
                  <c:v>0.65384615384615385</c:v>
                </c:pt>
                <c:pt idx="914">
                  <c:v>0.65384615384615385</c:v>
                </c:pt>
                <c:pt idx="915">
                  <c:v>0.65384615384615385</c:v>
                </c:pt>
                <c:pt idx="916">
                  <c:v>0.65384615384615385</c:v>
                </c:pt>
                <c:pt idx="917">
                  <c:v>0.65384615384615385</c:v>
                </c:pt>
                <c:pt idx="918">
                  <c:v>0.65384615384615385</c:v>
                </c:pt>
                <c:pt idx="919">
                  <c:v>0.65384615384615385</c:v>
                </c:pt>
                <c:pt idx="920">
                  <c:v>0.65384615384615385</c:v>
                </c:pt>
                <c:pt idx="921">
                  <c:v>0.65384615384615385</c:v>
                </c:pt>
                <c:pt idx="922">
                  <c:v>0.65384615384615385</c:v>
                </c:pt>
                <c:pt idx="923">
                  <c:v>0.65384615384615385</c:v>
                </c:pt>
                <c:pt idx="924">
                  <c:v>0.65384615384615385</c:v>
                </c:pt>
                <c:pt idx="925">
                  <c:v>0.65384615384615385</c:v>
                </c:pt>
                <c:pt idx="926">
                  <c:v>0.65384615384615385</c:v>
                </c:pt>
                <c:pt idx="927">
                  <c:v>0.65384615384615385</c:v>
                </c:pt>
                <c:pt idx="928">
                  <c:v>0.65384615384615385</c:v>
                </c:pt>
                <c:pt idx="929">
                  <c:v>0.65384615384615385</c:v>
                </c:pt>
                <c:pt idx="930">
                  <c:v>0.65384615384615385</c:v>
                </c:pt>
                <c:pt idx="931">
                  <c:v>0.65384615384615385</c:v>
                </c:pt>
                <c:pt idx="932">
                  <c:v>0.65384615384615385</c:v>
                </c:pt>
                <c:pt idx="933">
                  <c:v>0.65384615384615385</c:v>
                </c:pt>
                <c:pt idx="934">
                  <c:v>0.65384615384615385</c:v>
                </c:pt>
                <c:pt idx="935">
                  <c:v>0.65384615384615385</c:v>
                </c:pt>
                <c:pt idx="936">
                  <c:v>0.80952380952380953</c:v>
                </c:pt>
                <c:pt idx="937">
                  <c:v>0.80952380952380953</c:v>
                </c:pt>
                <c:pt idx="938">
                  <c:v>0.80952380952380953</c:v>
                </c:pt>
                <c:pt idx="939">
                  <c:v>0.80952380952380953</c:v>
                </c:pt>
                <c:pt idx="940">
                  <c:v>0.80952380952380953</c:v>
                </c:pt>
                <c:pt idx="941">
                  <c:v>0.80952380952380953</c:v>
                </c:pt>
                <c:pt idx="942">
                  <c:v>0.80952380952380953</c:v>
                </c:pt>
                <c:pt idx="943">
                  <c:v>0.54838709677419351</c:v>
                </c:pt>
                <c:pt idx="944">
                  <c:v>0.54838709677419351</c:v>
                </c:pt>
                <c:pt idx="945">
                  <c:v>0.54838709677419351</c:v>
                </c:pt>
                <c:pt idx="946">
                  <c:v>0.54838709677419351</c:v>
                </c:pt>
                <c:pt idx="947">
                  <c:v>0.54838709677419351</c:v>
                </c:pt>
                <c:pt idx="948">
                  <c:v>0.54838709677419351</c:v>
                </c:pt>
                <c:pt idx="949">
                  <c:v>0.54838709677419351</c:v>
                </c:pt>
                <c:pt idx="950">
                  <c:v>0.54838709677419351</c:v>
                </c:pt>
                <c:pt idx="951">
                  <c:v>0.54838709677419351</c:v>
                </c:pt>
                <c:pt idx="952">
                  <c:v>0.54838709677419351</c:v>
                </c:pt>
                <c:pt idx="953">
                  <c:v>0.54838709677419351</c:v>
                </c:pt>
                <c:pt idx="954">
                  <c:v>0.54838709677419351</c:v>
                </c:pt>
                <c:pt idx="955">
                  <c:v>0.54838709677419351</c:v>
                </c:pt>
                <c:pt idx="956">
                  <c:v>0.54838709677419351</c:v>
                </c:pt>
                <c:pt idx="957">
                  <c:v>0.54838709677419351</c:v>
                </c:pt>
                <c:pt idx="958">
                  <c:v>0.54838709677419351</c:v>
                </c:pt>
                <c:pt idx="959">
                  <c:v>0.54838709677419351</c:v>
                </c:pt>
                <c:pt idx="960">
                  <c:v>0.54838709677419351</c:v>
                </c:pt>
                <c:pt idx="961">
                  <c:v>0.54838709677419351</c:v>
                </c:pt>
                <c:pt idx="962">
                  <c:v>0.54838709677419351</c:v>
                </c:pt>
                <c:pt idx="963">
                  <c:v>0.54838709677419351</c:v>
                </c:pt>
                <c:pt idx="964">
                  <c:v>0.54838709677419351</c:v>
                </c:pt>
                <c:pt idx="965">
                  <c:v>0.54838709677419351</c:v>
                </c:pt>
                <c:pt idx="966">
                  <c:v>0.54838709677419351</c:v>
                </c:pt>
                <c:pt idx="967">
                  <c:v>0.54838709677419351</c:v>
                </c:pt>
                <c:pt idx="968">
                  <c:v>0.54838709677419351</c:v>
                </c:pt>
                <c:pt idx="969">
                  <c:v>0.54838709677419351</c:v>
                </c:pt>
                <c:pt idx="970">
                  <c:v>0.54838709677419351</c:v>
                </c:pt>
                <c:pt idx="971">
                  <c:v>0.58823529411764708</c:v>
                </c:pt>
                <c:pt idx="972">
                  <c:v>0.58823529411764708</c:v>
                </c:pt>
                <c:pt idx="973">
                  <c:v>0.58823529411764708</c:v>
                </c:pt>
                <c:pt idx="974">
                  <c:v>0.58823529411764708</c:v>
                </c:pt>
                <c:pt idx="975">
                  <c:v>0.58823529411764708</c:v>
                </c:pt>
                <c:pt idx="976">
                  <c:v>0.58823529411764708</c:v>
                </c:pt>
                <c:pt idx="977">
                  <c:v>0.58823529411764708</c:v>
                </c:pt>
                <c:pt idx="978">
                  <c:v>0.58823529411764708</c:v>
                </c:pt>
                <c:pt idx="979">
                  <c:v>0.58823529411764708</c:v>
                </c:pt>
                <c:pt idx="980">
                  <c:v>0.58823529411764708</c:v>
                </c:pt>
                <c:pt idx="981">
                  <c:v>0.58823529411764708</c:v>
                </c:pt>
                <c:pt idx="982">
                  <c:v>0.58823529411764708</c:v>
                </c:pt>
                <c:pt idx="983">
                  <c:v>0.58823529411764708</c:v>
                </c:pt>
                <c:pt idx="984">
                  <c:v>0.58823529411764708</c:v>
                </c:pt>
                <c:pt idx="985">
                  <c:v>0.58823529411764708</c:v>
                </c:pt>
                <c:pt idx="986">
                  <c:v>0.58823529411764708</c:v>
                </c:pt>
                <c:pt idx="987">
                  <c:v>0.58823529411764708</c:v>
                </c:pt>
                <c:pt idx="988">
                  <c:v>0.58823529411764708</c:v>
                </c:pt>
                <c:pt idx="989">
                  <c:v>0.58823529411764708</c:v>
                </c:pt>
                <c:pt idx="990">
                  <c:v>0.58823529411764708</c:v>
                </c:pt>
                <c:pt idx="991">
                  <c:v>0.58823529411764708</c:v>
                </c:pt>
                <c:pt idx="992">
                  <c:v>0.58823529411764708</c:v>
                </c:pt>
                <c:pt idx="993">
                  <c:v>0.58823529411764708</c:v>
                </c:pt>
                <c:pt idx="994">
                  <c:v>0.58823529411764708</c:v>
                </c:pt>
                <c:pt idx="995">
                  <c:v>0.58823529411764708</c:v>
                </c:pt>
                <c:pt idx="996">
                  <c:v>0.58823529411764708</c:v>
                </c:pt>
                <c:pt idx="997">
                  <c:v>0.7142857142857143</c:v>
                </c:pt>
                <c:pt idx="998">
                  <c:v>0.7142857142857143</c:v>
                </c:pt>
                <c:pt idx="999">
                  <c:v>0.53125</c:v>
                </c:pt>
                <c:pt idx="1000">
                  <c:v>0.53125</c:v>
                </c:pt>
                <c:pt idx="1001">
                  <c:v>0.53125</c:v>
                </c:pt>
                <c:pt idx="1002">
                  <c:v>0.53125</c:v>
                </c:pt>
                <c:pt idx="1003">
                  <c:v>0.53125</c:v>
                </c:pt>
                <c:pt idx="1004">
                  <c:v>0.53125</c:v>
                </c:pt>
                <c:pt idx="1005">
                  <c:v>0.53125</c:v>
                </c:pt>
                <c:pt idx="1006">
                  <c:v>0.53125</c:v>
                </c:pt>
                <c:pt idx="1007">
                  <c:v>0.53125</c:v>
                </c:pt>
                <c:pt idx="1008">
                  <c:v>0.53125</c:v>
                </c:pt>
                <c:pt idx="1009">
                  <c:v>0.53125</c:v>
                </c:pt>
                <c:pt idx="1010">
                  <c:v>0.53125</c:v>
                </c:pt>
                <c:pt idx="1011">
                  <c:v>0.53125</c:v>
                </c:pt>
                <c:pt idx="1012">
                  <c:v>0.53125</c:v>
                </c:pt>
                <c:pt idx="1013">
                  <c:v>0.53125</c:v>
                </c:pt>
                <c:pt idx="1014">
                  <c:v>0.53125</c:v>
                </c:pt>
                <c:pt idx="1015">
                  <c:v>0.53125</c:v>
                </c:pt>
                <c:pt idx="1016">
                  <c:v>0.53125</c:v>
                </c:pt>
                <c:pt idx="1017">
                  <c:v>0.53125</c:v>
                </c:pt>
                <c:pt idx="1018">
                  <c:v>0.53125</c:v>
                </c:pt>
                <c:pt idx="1019">
                  <c:v>0.53125</c:v>
                </c:pt>
                <c:pt idx="1020">
                  <c:v>0.53125</c:v>
                </c:pt>
                <c:pt idx="1021">
                  <c:v>0.53125</c:v>
                </c:pt>
                <c:pt idx="1022">
                  <c:v>0.53125</c:v>
                </c:pt>
                <c:pt idx="1023">
                  <c:v>0.53125</c:v>
                </c:pt>
                <c:pt idx="1024">
                  <c:v>0.53125</c:v>
                </c:pt>
                <c:pt idx="1025">
                  <c:v>0.53125</c:v>
                </c:pt>
                <c:pt idx="1026">
                  <c:v>0.44444444444444442</c:v>
                </c:pt>
                <c:pt idx="1027">
                  <c:v>0.42367066895368782</c:v>
                </c:pt>
                <c:pt idx="1028">
                  <c:v>0.42367066895368782</c:v>
                </c:pt>
                <c:pt idx="1029">
                  <c:v>0.42367066895368782</c:v>
                </c:pt>
                <c:pt idx="1030">
                  <c:v>0.42367066895368782</c:v>
                </c:pt>
                <c:pt idx="1031">
                  <c:v>0.42367066895368782</c:v>
                </c:pt>
                <c:pt idx="1032">
                  <c:v>0.42367066895368782</c:v>
                </c:pt>
                <c:pt idx="1033">
                  <c:v>0.42367066895368782</c:v>
                </c:pt>
                <c:pt idx="1034">
                  <c:v>0.42367066895368782</c:v>
                </c:pt>
                <c:pt idx="1035">
                  <c:v>0.42367066895368782</c:v>
                </c:pt>
                <c:pt idx="1036">
                  <c:v>0.42367066895368782</c:v>
                </c:pt>
                <c:pt idx="1037">
                  <c:v>0.42367066895368782</c:v>
                </c:pt>
                <c:pt idx="1038">
                  <c:v>0.42367066895368782</c:v>
                </c:pt>
                <c:pt idx="1039">
                  <c:v>0.42367066895368782</c:v>
                </c:pt>
                <c:pt idx="1040">
                  <c:v>0.42367066895368782</c:v>
                </c:pt>
                <c:pt idx="1041">
                  <c:v>0.42367066895368782</c:v>
                </c:pt>
                <c:pt idx="1042">
                  <c:v>0.42367066895368782</c:v>
                </c:pt>
                <c:pt idx="1043">
                  <c:v>0.42367066895368782</c:v>
                </c:pt>
                <c:pt idx="1044">
                  <c:v>0.42367066895368782</c:v>
                </c:pt>
                <c:pt idx="1045">
                  <c:v>0.42367066895368782</c:v>
                </c:pt>
                <c:pt idx="1046">
                  <c:v>0.42367066895368782</c:v>
                </c:pt>
                <c:pt idx="1047">
                  <c:v>0.42367066895368782</c:v>
                </c:pt>
                <c:pt idx="1048">
                  <c:v>0.42367066895368782</c:v>
                </c:pt>
                <c:pt idx="1049">
                  <c:v>0.42367066895368782</c:v>
                </c:pt>
                <c:pt idx="1050">
                  <c:v>0.42367066895368782</c:v>
                </c:pt>
                <c:pt idx="1051">
                  <c:v>0.42367066895368782</c:v>
                </c:pt>
                <c:pt idx="1052">
                  <c:v>0.42367066895368782</c:v>
                </c:pt>
                <c:pt idx="1053">
                  <c:v>0.42367066895368782</c:v>
                </c:pt>
                <c:pt idx="1054">
                  <c:v>0.42367066895368782</c:v>
                </c:pt>
                <c:pt idx="1055">
                  <c:v>0.42367066895368782</c:v>
                </c:pt>
                <c:pt idx="1056">
                  <c:v>0.42367066895368782</c:v>
                </c:pt>
                <c:pt idx="1057">
                  <c:v>0.42367066895368782</c:v>
                </c:pt>
                <c:pt idx="1058">
                  <c:v>0.42367066895368782</c:v>
                </c:pt>
                <c:pt idx="1059">
                  <c:v>0.42367066895368782</c:v>
                </c:pt>
                <c:pt idx="1060">
                  <c:v>0.42367066895368782</c:v>
                </c:pt>
                <c:pt idx="1061">
                  <c:v>0.42367066895368782</c:v>
                </c:pt>
                <c:pt idx="1062">
                  <c:v>0.42367066895368782</c:v>
                </c:pt>
                <c:pt idx="1063">
                  <c:v>0.31221719457013575</c:v>
                </c:pt>
                <c:pt idx="1064">
                  <c:v>0.31221719457013575</c:v>
                </c:pt>
                <c:pt idx="1065">
                  <c:v>0.31221719457013575</c:v>
                </c:pt>
                <c:pt idx="1066">
                  <c:v>0.31221719457013575</c:v>
                </c:pt>
                <c:pt idx="1067">
                  <c:v>0.31221719457013575</c:v>
                </c:pt>
                <c:pt idx="1068">
                  <c:v>0.31221719457013575</c:v>
                </c:pt>
                <c:pt idx="1069">
                  <c:v>0.31221719457013575</c:v>
                </c:pt>
                <c:pt idx="1070">
                  <c:v>0.31221719457013575</c:v>
                </c:pt>
                <c:pt idx="1071">
                  <c:v>0.31221719457013575</c:v>
                </c:pt>
                <c:pt idx="1072">
                  <c:v>0.31221719457013575</c:v>
                </c:pt>
                <c:pt idx="1073">
                  <c:v>0.31221719457013575</c:v>
                </c:pt>
                <c:pt idx="1074">
                  <c:v>0.31221719457013575</c:v>
                </c:pt>
                <c:pt idx="1075">
                  <c:v>0.31221719457013575</c:v>
                </c:pt>
                <c:pt idx="1076">
                  <c:v>0.31221719457013575</c:v>
                </c:pt>
                <c:pt idx="1077">
                  <c:v>0.31221719457013575</c:v>
                </c:pt>
                <c:pt idx="1078">
                  <c:v>0.31221719457013575</c:v>
                </c:pt>
                <c:pt idx="1079">
                  <c:v>0.31221719457013575</c:v>
                </c:pt>
                <c:pt idx="1080">
                  <c:v>0.31221719457013575</c:v>
                </c:pt>
                <c:pt idx="1081">
                  <c:v>0.31221719457013575</c:v>
                </c:pt>
                <c:pt idx="1082">
                  <c:v>0.31221719457013575</c:v>
                </c:pt>
                <c:pt idx="1083">
                  <c:v>0.31221719457013575</c:v>
                </c:pt>
                <c:pt idx="1084">
                  <c:v>0.31221719457013575</c:v>
                </c:pt>
                <c:pt idx="1085">
                  <c:v>0.31221719457013575</c:v>
                </c:pt>
                <c:pt idx="1086">
                  <c:v>0.31221719457013575</c:v>
                </c:pt>
                <c:pt idx="1087">
                  <c:v>0.31221719457013575</c:v>
                </c:pt>
                <c:pt idx="1088">
                  <c:v>0.31221719457013575</c:v>
                </c:pt>
                <c:pt idx="1089">
                  <c:v>0.31221719457013575</c:v>
                </c:pt>
                <c:pt idx="1090">
                  <c:v>0.31221719457013575</c:v>
                </c:pt>
                <c:pt idx="1091">
                  <c:v>0.41028858218318698</c:v>
                </c:pt>
                <c:pt idx="1092">
                  <c:v>0.41028858218318698</c:v>
                </c:pt>
                <c:pt idx="1093">
                  <c:v>0.41028858218318698</c:v>
                </c:pt>
                <c:pt idx="1094">
                  <c:v>0.41028858218318698</c:v>
                </c:pt>
                <c:pt idx="1095">
                  <c:v>0.41028858218318698</c:v>
                </c:pt>
                <c:pt idx="1096">
                  <c:v>0.41028858218318698</c:v>
                </c:pt>
                <c:pt idx="1097">
                  <c:v>0.41028858218318698</c:v>
                </c:pt>
                <c:pt idx="1098">
                  <c:v>0.41028858218318698</c:v>
                </c:pt>
                <c:pt idx="1099">
                  <c:v>0.41028858218318698</c:v>
                </c:pt>
                <c:pt idx="1100">
                  <c:v>0.41028858218318698</c:v>
                </c:pt>
                <c:pt idx="1101">
                  <c:v>0.41028858218318698</c:v>
                </c:pt>
                <c:pt idx="1102">
                  <c:v>0.41028858218318698</c:v>
                </c:pt>
                <c:pt idx="1103">
                  <c:v>0.41028858218318698</c:v>
                </c:pt>
                <c:pt idx="1104">
                  <c:v>0.41028858218318698</c:v>
                </c:pt>
                <c:pt idx="1105">
                  <c:v>0.41028858218318698</c:v>
                </c:pt>
                <c:pt idx="1106">
                  <c:v>0.41028858218318698</c:v>
                </c:pt>
                <c:pt idx="1107">
                  <c:v>0.41028858218318698</c:v>
                </c:pt>
                <c:pt idx="1108">
                  <c:v>0.41028858218318698</c:v>
                </c:pt>
                <c:pt idx="1109">
                  <c:v>0.41028858218318698</c:v>
                </c:pt>
                <c:pt idx="1110">
                  <c:v>0.41028858218318698</c:v>
                </c:pt>
                <c:pt idx="1111">
                  <c:v>0.41028858218318698</c:v>
                </c:pt>
                <c:pt idx="1112">
                  <c:v>0.41028858218318698</c:v>
                </c:pt>
                <c:pt idx="1113">
                  <c:v>0.41028858218318698</c:v>
                </c:pt>
                <c:pt idx="1114">
                  <c:v>0.41028858218318698</c:v>
                </c:pt>
                <c:pt idx="1115">
                  <c:v>0.41028858218318698</c:v>
                </c:pt>
                <c:pt idx="1116">
                  <c:v>0.41028858218318698</c:v>
                </c:pt>
                <c:pt idx="1117">
                  <c:v>0.41028858218318698</c:v>
                </c:pt>
                <c:pt idx="1118">
                  <c:v>0.41028858218318698</c:v>
                </c:pt>
                <c:pt idx="1119">
                  <c:v>0.41028858218318698</c:v>
                </c:pt>
                <c:pt idx="1120">
                  <c:v>0.41028858218318698</c:v>
                </c:pt>
                <c:pt idx="1121">
                  <c:v>0.41028858218318698</c:v>
                </c:pt>
                <c:pt idx="1122">
                  <c:v>0.41028858218318698</c:v>
                </c:pt>
                <c:pt idx="1123">
                  <c:v>0.41028858218318698</c:v>
                </c:pt>
                <c:pt idx="1124">
                  <c:v>0.41028858218318698</c:v>
                </c:pt>
                <c:pt idx="1125">
                  <c:v>0.41028858218318698</c:v>
                </c:pt>
                <c:pt idx="1126">
                  <c:v>0.41028858218318698</c:v>
                </c:pt>
                <c:pt idx="1127">
                  <c:v>0.41028858218318698</c:v>
                </c:pt>
                <c:pt idx="1128">
                  <c:v>0.41028858218318698</c:v>
                </c:pt>
                <c:pt idx="1129">
                  <c:v>0.41028858218318698</c:v>
                </c:pt>
                <c:pt idx="1130">
                  <c:v>0.41028858218318698</c:v>
                </c:pt>
                <c:pt idx="1131">
                  <c:v>0.41028858218318698</c:v>
                </c:pt>
                <c:pt idx="1132">
                  <c:v>0.41028858218318698</c:v>
                </c:pt>
                <c:pt idx="1133">
                  <c:v>0.41028858218318698</c:v>
                </c:pt>
                <c:pt idx="1134">
                  <c:v>0.41028858218318698</c:v>
                </c:pt>
                <c:pt idx="1135">
                  <c:v>0.41028858218318698</c:v>
                </c:pt>
                <c:pt idx="1136">
                  <c:v>0.41028858218318698</c:v>
                </c:pt>
                <c:pt idx="1137">
                  <c:v>0.41028858218318698</c:v>
                </c:pt>
                <c:pt idx="1138">
                  <c:v>0.41028858218318698</c:v>
                </c:pt>
                <c:pt idx="1139">
                  <c:v>0.41028858218318698</c:v>
                </c:pt>
                <c:pt idx="1140">
                  <c:v>0.41028858218318698</c:v>
                </c:pt>
                <c:pt idx="1141">
                  <c:v>0.41028858218318698</c:v>
                </c:pt>
                <c:pt idx="1142">
                  <c:v>0.41028858218318698</c:v>
                </c:pt>
                <c:pt idx="1143">
                  <c:v>0.41028858218318698</c:v>
                </c:pt>
                <c:pt idx="1144">
                  <c:v>0.41028858218318698</c:v>
                </c:pt>
                <c:pt idx="1145">
                  <c:v>0.41028858218318698</c:v>
                </c:pt>
                <c:pt idx="1146">
                  <c:v>0.41028858218318698</c:v>
                </c:pt>
                <c:pt idx="1147">
                  <c:v>0.41028858218318698</c:v>
                </c:pt>
                <c:pt idx="1148">
                  <c:v>0.41028858218318698</c:v>
                </c:pt>
                <c:pt idx="1149">
                  <c:v>0.41028858218318698</c:v>
                </c:pt>
                <c:pt idx="1150">
                  <c:v>0.41028858218318698</c:v>
                </c:pt>
                <c:pt idx="1151">
                  <c:v>0.41028858218318698</c:v>
                </c:pt>
                <c:pt idx="1152">
                  <c:v>0.41028858218318698</c:v>
                </c:pt>
                <c:pt idx="1153">
                  <c:v>0.37282741738066094</c:v>
                </c:pt>
                <c:pt idx="1154">
                  <c:v>0.34834761321909424</c:v>
                </c:pt>
                <c:pt idx="1155">
                  <c:v>0.34834761321909424</c:v>
                </c:pt>
                <c:pt idx="1156">
                  <c:v>0.34834761321909424</c:v>
                </c:pt>
                <c:pt idx="1157">
                  <c:v>0.34834761321909424</c:v>
                </c:pt>
                <c:pt idx="1158">
                  <c:v>0.34834761321909424</c:v>
                </c:pt>
                <c:pt idx="1159">
                  <c:v>0.34834761321909424</c:v>
                </c:pt>
                <c:pt idx="1160">
                  <c:v>0.34834761321909424</c:v>
                </c:pt>
                <c:pt idx="1161">
                  <c:v>0.34834761321909424</c:v>
                </c:pt>
                <c:pt idx="1162">
                  <c:v>0.34834761321909424</c:v>
                </c:pt>
                <c:pt idx="1163">
                  <c:v>0.34834761321909424</c:v>
                </c:pt>
                <c:pt idx="1164">
                  <c:v>0.34834761321909424</c:v>
                </c:pt>
                <c:pt idx="1165">
                  <c:v>0.34834761321909424</c:v>
                </c:pt>
                <c:pt idx="1166">
                  <c:v>0.34834761321909424</c:v>
                </c:pt>
                <c:pt idx="1167">
                  <c:v>0.34834761321909424</c:v>
                </c:pt>
                <c:pt idx="1168">
                  <c:v>0.34834761321909424</c:v>
                </c:pt>
                <c:pt idx="1169">
                  <c:v>0.34834761321909424</c:v>
                </c:pt>
                <c:pt idx="1170">
                  <c:v>0.34834761321909424</c:v>
                </c:pt>
                <c:pt idx="1171">
                  <c:v>0.34834761321909424</c:v>
                </c:pt>
                <c:pt idx="1172">
                  <c:v>0.34834761321909424</c:v>
                </c:pt>
                <c:pt idx="1173">
                  <c:v>0.34834761321909424</c:v>
                </c:pt>
                <c:pt idx="1174">
                  <c:v>0.34834761321909424</c:v>
                </c:pt>
                <c:pt idx="1175">
                  <c:v>0.34834761321909424</c:v>
                </c:pt>
                <c:pt idx="1176">
                  <c:v>0.34834761321909424</c:v>
                </c:pt>
                <c:pt idx="1177">
                  <c:v>0.34834761321909424</c:v>
                </c:pt>
                <c:pt idx="1178">
                  <c:v>0.34834761321909424</c:v>
                </c:pt>
                <c:pt idx="1179">
                  <c:v>0.34834761321909424</c:v>
                </c:pt>
                <c:pt idx="1180">
                  <c:v>0.34834761321909424</c:v>
                </c:pt>
                <c:pt idx="1181">
                  <c:v>0.36303549571603427</c:v>
                </c:pt>
                <c:pt idx="1182">
                  <c:v>0.36303549571603427</c:v>
                </c:pt>
                <c:pt idx="1183">
                  <c:v>0.36303549571603427</c:v>
                </c:pt>
                <c:pt idx="1184">
                  <c:v>0.36303549571603427</c:v>
                </c:pt>
                <c:pt idx="1185">
                  <c:v>0.36303549571603427</c:v>
                </c:pt>
                <c:pt idx="1186">
                  <c:v>0.36291309669522642</c:v>
                </c:pt>
                <c:pt idx="1187">
                  <c:v>0.36291309669522642</c:v>
                </c:pt>
                <c:pt idx="1188">
                  <c:v>0.36291309669522642</c:v>
                </c:pt>
                <c:pt idx="1189">
                  <c:v>0.36291309669522642</c:v>
                </c:pt>
                <c:pt idx="1190">
                  <c:v>0.36291309669522642</c:v>
                </c:pt>
                <c:pt idx="1191">
                  <c:v>0.36291309669522642</c:v>
                </c:pt>
                <c:pt idx="1192">
                  <c:v>0.36291309669522642</c:v>
                </c:pt>
                <c:pt idx="1193">
                  <c:v>0.36291309669522642</c:v>
                </c:pt>
                <c:pt idx="1194">
                  <c:v>0.36291309669522642</c:v>
                </c:pt>
                <c:pt idx="1195">
                  <c:v>0.36291309669522642</c:v>
                </c:pt>
                <c:pt idx="1196">
                  <c:v>0.36291309669522642</c:v>
                </c:pt>
                <c:pt idx="1197">
                  <c:v>0.36291309669522642</c:v>
                </c:pt>
                <c:pt idx="1198">
                  <c:v>0.36291309669522642</c:v>
                </c:pt>
                <c:pt idx="1199">
                  <c:v>0.36291309669522642</c:v>
                </c:pt>
                <c:pt idx="1200">
                  <c:v>0.36291309669522642</c:v>
                </c:pt>
                <c:pt idx="1201">
                  <c:v>0.36291309669522642</c:v>
                </c:pt>
                <c:pt idx="1202">
                  <c:v>0.36291309669522642</c:v>
                </c:pt>
                <c:pt idx="1203">
                  <c:v>0.36291309669522642</c:v>
                </c:pt>
                <c:pt idx="1204">
                  <c:v>0.36291309669522642</c:v>
                </c:pt>
                <c:pt idx="1205">
                  <c:v>0.36291309669522642</c:v>
                </c:pt>
                <c:pt idx="1206">
                  <c:v>0.36291309669522642</c:v>
                </c:pt>
                <c:pt idx="1207">
                  <c:v>0.36291309669522642</c:v>
                </c:pt>
                <c:pt idx="1208">
                  <c:v>0.36291309669522642</c:v>
                </c:pt>
                <c:pt idx="1209">
                  <c:v>0.28130563798219582</c:v>
                </c:pt>
                <c:pt idx="1210">
                  <c:v>0.28130563798219582</c:v>
                </c:pt>
                <c:pt idx="1211">
                  <c:v>0.28130563798219582</c:v>
                </c:pt>
                <c:pt idx="1212">
                  <c:v>0.28130563798219582</c:v>
                </c:pt>
                <c:pt idx="1213">
                  <c:v>0.28130563798219582</c:v>
                </c:pt>
                <c:pt idx="1214">
                  <c:v>0.28130563798219582</c:v>
                </c:pt>
                <c:pt idx="1215">
                  <c:v>0.28130563798219582</c:v>
                </c:pt>
                <c:pt idx="1216">
                  <c:v>0.31299871299871301</c:v>
                </c:pt>
                <c:pt idx="1217">
                  <c:v>0.31299871299871301</c:v>
                </c:pt>
                <c:pt idx="1218">
                  <c:v>0.31299871299871301</c:v>
                </c:pt>
                <c:pt idx="1219">
                  <c:v>0.31299871299871301</c:v>
                </c:pt>
                <c:pt idx="1220">
                  <c:v>0.31299871299871301</c:v>
                </c:pt>
                <c:pt idx="1221">
                  <c:v>0.31299871299871301</c:v>
                </c:pt>
                <c:pt idx="1222">
                  <c:v>0.31299871299871301</c:v>
                </c:pt>
                <c:pt idx="1223">
                  <c:v>0.31299871299871301</c:v>
                </c:pt>
                <c:pt idx="1224">
                  <c:v>0.31299871299871301</c:v>
                </c:pt>
                <c:pt idx="1225">
                  <c:v>0.31299871299871301</c:v>
                </c:pt>
                <c:pt idx="1226">
                  <c:v>0.31299871299871301</c:v>
                </c:pt>
                <c:pt idx="1227">
                  <c:v>0.31299871299871301</c:v>
                </c:pt>
                <c:pt idx="1228">
                  <c:v>0.31299871299871301</c:v>
                </c:pt>
                <c:pt idx="1229">
                  <c:v>0.31299871299871301</c:v>
                </c:pt>
                <c:pt idx="1230">
                  <c:v>0.31299871299871301</c:v>
                </c:pt>
                <c:pt idx="1231">
                  <c:v>0.31299871299871301</c:v>
                </c:pt>
                <c:pt idx="1232">
                  <c:v>0.31299871299871301</c:v>
                </c:pt>
                <c:pt idx="1233">
                  <c:v>0.31299871299871301</c:v>
                </c:pt>
                <c:pt idx="1234">
                  <c:v>0.31299871299871301</c:v>
                </c:pt>
                <c:pt idx="1235">
                  <c:v>0.31299871299871301</c:v>
                </c:pt>
                <c:pt idx="1236">
                  <c:v>0.31299871299871301</c:v>
                </c:pt>
                <c:pt idx="1237">
                  <c:v>0.31299871299871301</c:v>
                </c:pt>
                <c:pt idx="1238">
                  <c:v>0.31299871299871301</c:v>
                </c:pt>
                <c:pt idx="1239">
                  <c:v>0.31299871299871301</c:v>
                </c:pt>
                <c:pt idx="1240">
                  <c:v>0.31299871299871301</c:v>
                </c:pt>
                <c:pt idx="1241">
                  <c:v>0.31299871299871301</c:v>
                </c:pt>
                <c:pt idx="1242">
                  <c:v>0.31299871299871301</c:v>
                </c:pt>
                <c:pt idx="1243">
                  <c:v>0.31299871299871301</c:v>
                </c:pt>
                <c:pt idx="1244">
                  <c:v>0.36705276705276707</c:v>
                </c:pt>
                <c:pt idx="1245">
                  <c:v>0.36705276705276707</c:v>
                </c:pt>
                <c:pt idx="1246">
                  <c:v>0.36705276705276707</c:v>
                </c:pt>
                <c:pt idx="1247">
                  <c:v>0.36705276705276707</c:v>
                </c:pt>
                <c:pt idx="1248">
                  <c:v>0.36705276705276707</c:v>
                </c:pt>
                <c:pt idx="1249">
                  <c:v>0.36705276705276707</c:v>
                </c:pt>
                <c:pt idx="1250">
                  <c:v>0.36705276705276707</c:v>
                </c:pt>
                <c:pt idx="1251">
                  <c:v>0.36705276705276707</c:v>
                </c:pt>
                <c:pt idx="1252">
                  <c:v>0.36705276705276707</c:v>
                </c:pt>
                <c:pt idx="1253">
                  <c:v>0.36705276705276707</c:v>
                </c:pt>
                <c:pt idx="1254">
                  <c:v>0.36705276705276707</c:v>
                </c:pt>
                <c:pt idx="1255">
                  <c:v>0.36705276705276707</c:v>
                </c:pt>
                <c:pt idx="1256">
                  <c:v>0.36705276705276707</c:v>
                </c:pt>
                <c:pt idx="1257">
                  <c:v>0.36705276705276707</c:v>
                </c:pt>
                <c:pt idx="1258">
                  <c:v>0.36705276705276707</c:v>
                </c:pt>
                <c:pt idx="1259">
                  <c:v>0.36705276705276707</c:v>
                </c:pt>
                <c:pt idx="1260">
                  <c:v>0.36705276705276707</c:v>
                </c:pt>
                <c:pt idx="1261">
                  <c:v>0.36705276705276707</c:v>
                </c:pt>
                <c:pt idx="1262">
                  <c:v>0.36705276705276707</c:v>
                </c:pt>
                <c:pt idx="1263">
                  <c:v>0.36705276705276707</c:v>
                </c:pt>
                <c:pt idx="1264">
                  <c:v>0.36705276705276707</c:v>
                </c:pt>
                <c:pt idx="1265">
                  <c:v>0.36705276705276707</c:v>
                </c:pt>
                <c:pt idx="1266">
                  <c:v>0.36705276705276707</c:v>
                </c:pt>
                <c:pt idx="1267">
                  <c:v>0.36705276705276707</c:v>
                </c:pt>
                <c:pt idx="1268">
                  <c:v>0.36705276705276707</c:v>
                </c:pt>
                <c:pt idx="1269">
                  <c:v>0.36705276705276707</c:v>
                </c:pt>
                <c:pt idx="1270">
                  <c:v>0.36705276705276707</c:v>
                </c:pt>
                <c:pt idx="1271">
                  <c:v>0.36705276705276707</c:v>
                </c:pt>
                <c:pt idx="1272">
                  <c:v>0.29727403156384508</c:v>
                </c:pt>
                <c:pt idx="1273">
                  <c:v>0.29727403156384508</c:v>
                </c:pt>
                <c:pt idx="1274">
                  <c:v>0.29727403156384508</c:v>
                </c:pt>
                <c:pt idx="1275">
                  <c:v>0.29727403156384508</c:v>
                </c:pt>
                <c:pt idx="1276">
                  <c:v>0.29727403156384508</c:v>
                </c:pt>
                <c:pt idx="1277">
                  <c:v>0.29727403156384508</c:v>
                </c:pt>
                <c:pt idx="1278">
                  <c:v>0.29727403156384508</c:v>
                </c:pt>
                <c:pt idx="1279">
                  <c:v>0.29727403156384508</c:v>
                </c:pt>
                <c:pt idx="1280">
                  <c:v>0.29727403156384508</c:v>
                </c:pt>
                <c:pt idx="1281">
                  <c:v>0.29727403156384508</c:v>
                </c:pt>
                <c:pt idx="1282">
                  <c:v>0.29727403156384508</c:v>
                </c:pt>
                <c:pt idx="1283">
                  <c:v>0.29727403156384508</c:v>
                </c:pt>
                <c:pt idx="1284">
                  <c:v>0.29727403156384508</c:v>
                </c:pt>
                <c:pt idx="1285">
                  <c:v>0.29727403156384508</c:v>
                </c:pt>
                <c:pt idx="1286">
                  <c:v>0.29727403156384508</c:v>
                </c:pt>
                <c:pt idx="1287">
                  <c:v>0.29727403156384508</c:v>
                </c:pt>
                <c:pt idx="1288">
                  <c:v>0.29727403156384508</c:v>
                </c:pt>
                <c:pt idx="1289">
                  <c:v>0.29727403156384508</c:v>
                </c:pt>
                <c:pt idx="1290">
                  <c:v>0.29727403156384508</c:v>
                </c:pt>
                <c:pt idx="1291">
                  <c:v>0.29727403156384508</c:v>
                </c:pt>
                <c:pt idx="1292">
                  <c:v>0.29727403156384508</c:v>
                </c:pt>
                <c:pt idx="1293">
                  <c:v>0.29727403156384508</c:v>
                </c:pt>
                <c:pt idx="1294">
                  <c:v>0.29727403156384508</c:v>
                </c:pt>
                <c:pt idx="1295">
                  <c:v>0.29727403156384508</c:v>
                </c:pt>
                <c:pt idx="1296">
                  <c:v>0.29727403156384508</c:v>
                </c:pt>
                <c:pt idx="1297">
                  <c:v>0.29727403156384508</c:v>
                </c:pt>
                <c:pt idx="1298">
                  <c:v>0.29727403156384508</c:v>
                </c:pt>
                <c:pt idx="1299">
                  <c:v>0.29727403156384508</c:v>
                </c:pt>
                <c:pt idx="1300">
                  <c:v>0.29727403156384508</c:v>
                </c:pt>
                <c:pt idx="1301">
                  <c:v>0.29727403156384508</c:v>
                </c:pt>
                <c:pt idx="1302">
                  <c:v>0.29727403156384508</c:v>
                </c:pt>
                <c:pt idx="1303">
                  <c:v>0.29727403156384508</c:v>
                </c:pt>
                <c:pt idx="1304">
                  <c:v>0.29727403156384508</c:v>
                </c:pt>
                <c:pt idx="1305">
                  <c:v>0.29727403156384508</c:v>
                </c:pt>
                <c:pt idx="1306">
                  <c:v>0.29727403156384508</c:v>
                </c:pt>
                <c:pt idx="1307">
                  <c:v>0.29727403156384508</c:v>
                </c:pt>
                <c:pt idx="1308">
                  <c:v>0.29727403156384508</c:v>
                </c:pt>
                <c:pt idx="1309">
                  <c:v>0.29727403156384508</c:v>
                </c:pt>
                <c:pt idx="1310">
                  <c:v>0.29727403156384508</c:v>
                </c:pt>
                <c:pt idx="1311">
                  <c:v>0.29727403156384508</c:v>
                </c:pt>
                <c:pt idx="1312">
                  <c:v>0.29727403156384508</c:v>
                </c:pt>
                <c:pt idx="1313">
                  <c:v>0.29727403156384508</c:v>
                </c:pt>
                <c:pt idx="1314">
                  <c:v>0.29727403156384508</c:v>
                </c:pt>
                <c:pt idx="1315">
                  <c:v>0.29727403156384508</c:v>
                </c:pt>
                <c:pt idx="1316">
                  <c:v>0.29727403156384508</c:v>
                </c:pt>
                <c:pt idx="1317">
                  <c:v>0.29727403156384508</c:v>
                </c:pt>
                <c:pt idx="1318">
                  <c:v>0.29727403156384508</c:v>
                </c:pt>
                <c:pt idx="1319">
                  <c:v>0.29727403156384508</c:v>
                </c:pt>
                <c:pt idx="1320">
                  <c:v>0.29727403156384508</c:v>
                </c:pt>
                <c:pt idx="1321">
                  <c:v>0.29727403156384508</c:v>
                </c:pt>
                <c:pt idx="1322">
                  <c:v>0.29727403156384508</c:v>
                </c:pt>
                <c:pt idx="1323">
                  <c:v>0.29727403156384508</c:v>
                </c:pt>
                <c:pt idx="1324">
                  <c:v>0.29727403156384508</c:v>
                </c:pt>
                <c:pt idx="1325">
                  <c:v>0.29727403156384508</c:v>
                </c:pt>
                <c:pt idx="1326">
                  <c:v>0.29727403156384508</c:v>
                </c:pt>
                <c:pt idx="1327">
                  <c:v>0.29727403156384508</c:v>
                </c:pt>
                <c:pt idx="1328">
                  <c:v>0.29727403156384508</c:v>
                </c:pt>
                <c:pt idx="1329">
                  <c:v>0.29727403156384508</c:v>
                </c:pt>
                <c:pt idx="1330">
                  <c:v>0.29727403156384508</c:v>
                </c:pt>
                <c:pt idx="1331">
                  <c:v>0.29727403156384508</c:v>
                </c:pt>
                <c:pt idx="1332">
                  <c:v>0.29727403156384508</c:v>
                </c:pt>
                <c:pt idx="1333">
                  <c:v>0.29727403156384508</c:v>
                </c:pt>
                <c:pt idx="1334">
                  <c:v>0.29727403156384508</c:v>
                </c:pt>
                <c:pt idx="1335">
                  <c:v>0.30100430416068868</c:v>
                </c:pt>
                <c:pt idx="1336">
                  <c:v>0.30100430416068868</c:v>
                </c:pt>
                <c:pt idx="1337">
                  <c:v>0.30100430416068868</c:v>
                </c:pt>
                <c:pt idx="1338">
                  <c:v>0.30100430416068868</c:v>
                </c:pt>
                <c:pt idx="1339">
                  <c:v>0.30100430416068868</c:v>
                </c:pt>
                <c:pt idx="1340">
                  <c:v>0.30100430416068868</c:v>
                </c:pt>
                <c:pt idx="1341">
                  <c:v>0.30100430416068868</c:v>
                </c:pt>
                <c:pt idx="1342">
                  <c:v>0.30100430416068868</c:v>
                </c:pt>
                <c:pt idx="1343">
                  <c:v>0.30100430416068868</c:v>
                </c:pt>
                <c:pt idx="1344">
                  <c:v>0.30100430416068868</c:v>
                </c:pt>
                <c:pt idx="1345">
                  <c:v>0.30100430416068868</c:v>
                </c:pt>
                <c:pt idx="1346">
                  <c:v>0.30100430416068868</c:v>
                </c:pt>
                <c:pt idx="1347">
                  <c:v>0.30100430416068868</c:v>
                </c:pt>
                <c:pt idx="1348">
                  <c:v>0.30100430416068868</c:v>
                </c:pt>
                <c:pt idx="1349">
                  <c:v>0.30100430416068868</c:v>
                </c:pt>
                <c:pt idx="1350">
                  <c:v>0.30100430416068868</c:v>
                </c:pt>
                <c:pt idx="1351">
                  <c:v>0.30100430416068868</c:v>
                </c:pt>
                <c:pt idx="1352">
                  <c:v>0.30100430416068868</c:v>
                </c:pt>
                <c:pt idx="1353">
                  <c:v>0.30100430416068868</c:v>
                </c:pt>
                <c:pt idx="1354">
                  <c:v>0.30100430416068868</c:v>
                </c:pt>
                <c:pt idx="1355">
                  <c:v>0.30100430416068868</c:v>
                </c:pt>
                <c:pt idx="1356">
                  <c:v>0.30100430416068868</c:v>
                </c:pt>
                <c:pt idx="1357">
                  <c:v>0.30100430416068868</c:v>
                </c:pt>
                <c:pt idx="1358">
                  <c:v>0.30100430416068868</c:v>
                </c:pt>
                <c:pt idx="1359">
                  <c:v>0.30100430416068868</c:v>
                </c:pt>
                <c:pt idx="1360">
                  <c:v>0.30100430416068868</c:v>
                </c:pt>
                <c:pt idx="1361">
                  <c:v>0.30100430416068868</c:v>
                </c:pt>
                <c:pt idx="1362">
                  <c:v>0.30100430416068868</c:v>
                </c:pt>
                <c:pt idx="1363">
                  <c:v>0.28367288378766142</c:v>
                </c:pt>
                <c:pt idx="1364">
                  <c:v>0.28367288378766142</c:v>
                </c:pt>
                <c:pt idx="1365">
                  <c:v>0.28367288378766142</c:v>
                </c:pt>
                <c:pt idx="1366">
                  <c:v>0.28367288378766142</c:v>
                </c:pt>
                <c:pt idx="1367">
                  <c:v>0.28367288378766142</c:v>
                </c:pt>
                <c:pt idx="1368">
                  <c:v>0.28367288378766142</c:v>
                </c:pt>
                <c:pt idx="1369">
                  <c:v>0.28367288378766142</c:v>
                </c:pt>
                <c:pt idx="1370">
                  <c:v>0.28367288378766142</c:v>
                </c:pt>
                <c:pt idx="1371">
                  <c:v>0.28367288378766142</c:v>
                </c:pt>
                <c:pt idx="1372">
                  <c:v>0.28367288378766142</c:v>
                </c:pt>
                <c:pt idx="1373">
                  <c:v>0.28367288378766142</c:v>
                </c:pt>
                <c:pt idx="1374">
                  <c:v>0.28367288378766142</c:v>
                </c:pt>
                <c:pt idx="1375">
                  <c:v>0.28367288378766142</c:v>
                </c:pt>
                <c:pt idx="1376">
                  <c:v>0.28367288378766142</c:v>
                </c:pt>
                <c:pt idx="1377">
                  <c:v>0.28367288378766142</c:v>
                </c:pt>
                <c:pt idx="1378">
                  <c:v>0.28367288378766142</c:v>
                </c:pt>
                <c:pt idx="1379">
                  <c:v>0.28367288378766142</c:v>
                </c:pt>
                <c:pt idx="1380">
                  <c:v>0.28367288378766142</c:v>
                </c:pt>
                <c:pt idx="1381">
                  <c:v>0.28367288378766142</c:v>
                </c:pt>
                <c:pt idx="1382">
                  <c:v>0.28367288378766142</c:v>
                </c:pt>
                <c:pt idx="1383">
                  <c:v>0.28367288378766142</c:v>
                </c:pt>
                <c:pt idx="1384">
                  <c:v>0.28367288378766142</c:v>
                </c:pt>
                <c:pt idx="1385">
                  <c:v>0.28367288378766142</c:v>
                </c:pt>
                <c:pt idx="1386">
                  <c:v>0.28367288378766142</c:v>
                </c:pt>
                <c:pt idx="1387">
                  <c:v>0.28367288378766142</c:v>
                </c:pt>
                <c:pt idx="1388">
                  <c:v>0.28367288378766142</c:v>
                </c:pt>
                <c:pt idx="1389">
                  <c:v>0.28367288378766142</c:v>
                </c:pt>
                <c:pt idx="1390">
                  <c:v>0.28367288378766142</c:v>
                </c:pt>
                <c:pt idx="1391">
                  <c:v>0.28367288378766142</c:v>
                </c:pt>
                <c:pt idx="1392">
                  <c:v>0.28367288378766142</c:v>
                </c:pt>
                <c:pt idx="1393">
                  <c:v>0.28367288378766142</c:v>
                </c:pt>
                <c:pt idx="1394">
                  <c:v>0.28367288378766142</c:v>
                </c:pt>
                <c:pt idx="1395">
                  <c:v>0.293071104387292</c:v>
                </c:pt>
                <c:pt idx="1396">
                  <c:v>0.293071104387292</c:v>
                </c:pt>
                <c:pt idx="1397">
                  <c:v>0.293071104387292</c:v>
                </c:pt>
                <c:pt idx="1398">
                  <c:v>0.29802008608321373</c:v>
                </c:pt>
                <c:pt idx="1399">
                  <c:v>0.29802008608321373</c:v>
                </c:pt>
                <c:pt idx="1400">
                  <c:v>0.29802008608321373</c:v>
                </c:pt>
                <c:pt idx="1401">
                  <c:v>0.29802008608321373</c:v>
                </c:pt>
                <c:pt idx="1402">
                  <c:v>0.29802008608321373</c:v>
                </c:pt>
                <c:pt idx="1403">
                  <c:v>0.29802008608321373</c:v>
                </c:pt>
                <c:pt idx="1404">
                  <c:v>0.29802008608321373</c:v>
                </c:pt>
                <c:pt idx="1405">
                  <c:v>0.29802008608321373</c:v>
                </c:pt>
                <c:pt idx="1406">
                  <c:v>0.29802008608321373</c:v>
                </c:pt>
                <c:pt idx="1407">
                  <c:v>0.29802008608321373</c:v>
                </c:pt>
                <c:pt idx="1408">
                  <c:v>0.29802008608321373</c:v>
                </c:pt>
                <c:pt idx="1409">
                  <c:v>0.29802008608321373</c:v>
                </c:pt>
                <c:pt idx="1410">
                  <c:v>0.29802008608321373</c:v>
                </c:pt>
                <c:pt idx="1411">
                  <c:v>0.29802008608321373</c:v>
                </c:pt>
                <c:pt idx="1412">
                  <c:v>0.29802008608321373</c:v>
                </c:pt>
                <c:pt idx="1413">
                  <c:v>0.29802008608321373</c:v>
                </c:pt>
                <c:pt idx="1414">
                  <c:v>0.29802008608321373</c:v>
                </c:pt>
                <c:pt idx="1415">
                  <c:v>0.29802008608321373</c:v>
                </c:pt>
                <c:pt idx="1416">
                  <c:v>0.29802008608321373</c:v>
                </c:pt>
                <c:pt idx="1417">
                  <c:v>0.29802008608321373</c:v>
                </c:pt>
                <c:pt idx="1418">
                  <c:v>0.29802008608321373</c:v>
                </c:pt>
                <c:pt idx="1419">
                  <c:v>0.29802008608321373</c:v>
                </c:pt>
                <c:pt idx="1420">
                  <c:v>0.29802008608321373</c:v>
                </c:pt>
                <c:pt idx="1421">
                  <c:v>0.29802008608321373</c:v>
                </c:pt>
                <c:pt idx="1422">
                  <c:v>0.29802008608321373</c:v>
                </c:pt>
                <c:pt idx="1423">
                  <c:v>0.29802008608321373</c:v>
                </c:pt>
                <c:pt idx="1424">
                  <c:v>0.29802008608321373</c:v>
                </c:pt>
                <c:pt idx="1425">
                  <c:v>0.29802008608321373</c:v>
                </c:pt>
                <c:pt idx="1426">
                  <c:v>0.34393113342898129</c:v>
                </c:pt>
                <c:pt idx="1427">
                  <c:v>0.34393113342898129</c:v>
                </c:pt>
                <c:pt idx="1428">
                  <c:v>0.34393113342898129</c:v>
                </c:pt>
                <c:pt idx="1429">
                  <c:v>0.34393113342898129</c:v>
                </c:pt>
                <c:pt idx="1430">
                  <c:v>0.34393113342898129</c:v>
                </c:pt>
                <c:pt idx="1431">
                  <c:v>0.34393113342898129</c:v>
                </c:pt>
                <c:pt idx="1432">
                  <c:v>0.34393113342898129</c:v>
                </c:pt>
                <c:pt idx="1433">
                  <c:v>0.34393113342898129</c:v>
                </c:pt>
                <c:pt idx="1434">
                  <c:v>0.34393113342898129</c:v>
                </c:pt>
                <c:pt idx="1435">
                  <c:v>0.34393113342898129</c:v>
                </c:pt>
                <c:pt idx="1436">
                  <c:v>0.34393113342898129</c:v>
                </c:pt>
                <c:pt idx="1437">
                  <c:v>0.34393113342898129</c:v>
                </c:pt>
                <c:pt idx="1438">
                  <c:v>0.34393113342898129</c:v>
                </c:pt>
                <c:pt idx="1439">
                  <c:v>0.34393113342898129</c:v>
                </c:pt>
                <c:pt idx="1440">
                  <c:v>0.34393113342898129</c:v>
                </c:pt>
                <c:pt idx="1441">
                  <c:v>0.34393113342898129</c:v>
                </c:pt>
                <c:pt idx="1442">
                  <c:v>0.34393113342898129</c:v>
                </c:pt>
                <c:pt idx="1443">
                  <c:v>0.34393113342898129</c:v>
                </c:pt>
                <c:pt idx="1444">
                  <c:v>0.34393113342898129</c:v>
                </c:pt>
                <c:pt idx="1445">
                  <c:v>0.34393113342898129</c:v>
                </c:pt>
                <c:pt idx="1446">
                  <c:v>0.34393113342898129</c:v>
                </c:pt>
                <c:pt idx="1447">
                  <c:v>0.34393113342898129</c:v>
                </c:pt>
                <c:pt idx="1448">
                  <c:v>0.34393113342898129</c:v>
                </c:pt>
                <c:pt idx="1449">
                  <c:v>0.34393113342898129</c:v>
                </c:pt>
                <c:pt idx="1450">
                  <c:v>0.34393113342898129</c:v>
                </c:pt>
                <c:pt idx="1451">
                  <c:v>0.34393113342898129</c:v>
                </c:pt>
                <c:pt idx="1452">
                  <c:v>0.34393113342898129</c:v>
                </c:pt>
                <c:pt idx="1453">
                  <c:v>0.34393113342898129</c:v>
                </c:pt>
                <c:pt idx="1454">
                  <c:v>0.37804971319311659</c:v>
                </c:pt>
                <c:pt idx="1455">
                  <c:v>0.34835007173601146</c:v>
                </c:pt>
                <c:pt idx="1456">
                  <c:v>0.34835007173601146</c:v>
                </c:pt>
                <c:pt idx="1457">
                  <c:v>0.34835007173601146</c:v>
                </c:pt>
                <c:pt idx="1458">
                  <c:v>0.34835007173601146</c:v>
                </c:pt>
                <c:pt idx="1459">
                  <c:v>0.34835007173601146</c:v>
                </c:pt>
                <c:pt idx="1460">
                  <c:v>0.34835007173601146</c:v>
                </c:pt>
                <c:pt idx="1461">
                  <c:v>0.34835007173601146</c:v>
                </c:pt>
                <c:pt idx="1462">
                  <c:v>0.34835007173601146</c:v>
                </c:pt>
                <c:pt idx="1463">
                  <c:v>0.34835007173601146</c:v>
                </c:pt>
                <c:pt idx="1464">
                  <c:v>0.34835007173601146</c:v>
                </c:pt>
                <c:pt idx="1465">
                  <c:v>0.34835007173601146</c:v>
                </c:pt>
                <c:pt idx="1466">
                  <c:v>0.34835007173601146</c:v>
                </c:pt>
                <c:pt idx="1467">
                  <c:v>0.34835007173601146</c:v>
                </c:pt>
                <c:pt idx="1468">
                  <c:v>0.34835007173601146</c:v>
                </c:pt>
                <c:pt idx="1469">
                  <c:v>0.34835007173601146</c:v>
                </c:pt>
                <c:pt idx="1470">
                  <c:v>0.34835007173601146</c:v>
                </c:pt>
                <c:pt idx="1471">
                  <c:v>0.34835007173601146</c:v>
                </c:pt>
                <c:pt idx="1472">
                  <c:v>0.34835007173601146</c:v>
                </c:pt>
                <c:pt idx="1473">
                  <c:v>0.34835007173601146</c:v>
                </c:pt>
                <c:pt idx="1474">
                  <c:v>0.34835007173601146</c:v>
                </c:pt>
                <c:pt idx="1475">
                  <c:v>0.34835007173601146</c:v>
                </c:pt>
                <c:pt idx="1476">
                  <c:v>0.34835007173601146</c:v>
                </c:pt>
                <c:pt idx="1477">
                  <c:v>0.34835007173601146</c:v>
                </c:pt>
                <c:pt idx="1478">
                  <c:v>0.34835007173601146</c:v>
                </c:pt>
                <c:pt idx="1479">
                  <c:v>0.34835007173601146</c:v>
                </c:pt>
                <c:pt idx="1480">
                  <c:v>0.34835007173601146</c:v>
                </c:pt>
                <c:pt idx="1481">
                  <c:v>0.34835007173601146</c:v>
                </c:pt>
                <c:pt idx="1482">
                  <c:v>0.34835007173601146</c:v>
                </c:pt>
                <c:pt idx="1483">
                  <c:v>0.34835007173601146</c:v>
                </c:pt>
                <c:pt idx="1484">
                  <c:v>0.34835007173601146</c:v>
                </c:pt>
                <c:pt idx="1485">
                  <c:v>0.34835007173601146</c:v>
                </c:pt>
                <c:pt idx="1486">
                  <c:v>0.34835007173601146</c:v>
                </c:pt>
                <c:pt idx="1487">
                  <c:v>0.34835007173601146</c:v>
                </c:pt>
                <c:pt idx="1488">
                  <c:v>0.34835007173601146</c:v>
                </c:pt>
                <c:pt idx="1489">
                  <c:v>0.49182209469153515</c:v>
                </c:pt>
                <c:pt idx="1490">
                  <c:v>0.49182209469153515</c:v>
                </c:pt>
                <c:pt idx="1491">
                  <c:v>0.49182209469153515</c:v>
                </c:pt>
                <c:pt idx="1492">
                  <c:v>0.49182209469153515</c:v>
                </c:pt>
                <c:pt idx="1493">
                  <c:v>0.49182209469153515</c:v>
                </c:pt>
                <c:pt idx="1494">
                  <c:v>0.49182209469153515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69-4882-946F-7481CF690CC4}"/>
            </c:ext>
          </c:extLst>
        </c:ser>
        <c:ser>
          <c:idx val="2"/>
          <c:order val="2"/>
          <c:tx>
            <c:strRef>
              <c:f>BASE!$T$1</c:f>
              <c:strCache>
                <c:ptCount val="1"/>
                <c:pt idx="0">
                  <c:v>OT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BASE!$A$2:$A$1496</c:f>
              <c:numCache>
                <c:formatCode>m/d/yyyy</c:formatCode>
                <c:ptCount val="1495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</c:numCache>
            </c:numRef>
          </c:cat>
          <c:val>
            <c:numRef>
              <c:f>BASE!$T$2:$T$1496</c:f>
              <c:numCache>
                <c:formatCode>0%</c:formatCode>
                <c:ptCount val="14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0.55555555555555558</c:v>
                </c:pt>
                <c:pt idx="909">
                  <c:v>0.55555555555555558</c:v>
                </c:pt>
                <c:pt idx="910">
                  <c:v>0.55555555555555558</c:v>
                </c:pt>
                <c:pt idx="911">
                  <c:v>0.55555555555555558</c:v>
                </c:pt>
                <c:pt idx="912">
                  <c:v>0.55555555555555558</c:v>
                </c:pt>
                <c:pt idx="913">
                  <c:v>0.55555555555555558</c:v>
                </c:pt>
                <c:pt idx="914">
                  <c:v>0.55555555555555558</c:v>
                </c:pt>
                <c:pt idx="915">
                  <c:v>0.55555555555555558</c:v>
                </c:pt>
                <c:pt idx="916">
                  <c:v>0.55555555555555558</c:v>
                </c:pt>
                <c:pt idx="917">
                  <c:v>0.55555555555555558</c:v>
                </c:pt>
                <c:pt idx="918">
                  <c:v>0.55555555555555558</c:v>
                </c:pt>
                <c:pt idx="919">
                  <c:v>0.55555555555555558</c:v>
                </c:pt>
                <c:pt idx="920">
                  <c:v>0.55555555555555558</c:v>
                </c:pt>
                <c:pt idx="921">
                  <c:v>0.55555555555555558</c:v>
                </c:pt>
                <c:pt idx="922">
                  <c:v>0.55555555555555558</c:v>
                </c:pt>
                <c:pt idx="923">
                  <c:v>0.55555555555555558</c:v>
                </c:pt>
                <c:pt idx="924">
                  <c:v>0.55555555555555558</c:v>
                </c:pt>
                <c:pt idx="925">
                  <c:v>0.55555555555555558</c:v>
                </c:pt>
                <c:pt idx="926">
                  <c:v>0.55555555555555558</c:v>
                </c:pt>
                <c:pt idx="927">
                  <c:v>0.55555555555555558</c:v>
                </c:pt>
                <c:pt idx="928">
                  <c:v>0.55555555555555558</c:v>
                </c:pt>
                <c:pt idx="929">
                  <c:v>0.55555555555555558</c:v>
                </c:pt>
                <c:pt idx="930">
                  <c:v>0.55555555555555558</c:v>
                </c:pt>
                <c:pt idx="931">
                  <c:v>0.55555555555555558</c:v>
                </c:pt>
                <c:pt idx="932">
                  <c:v>0.55555555555555558</c:v>
                </c:pt>
                <c:pt idx="933">
                  <c:v>0.55555555555555558</c:v>
                </c:pt>
                <c:pt idx="934">
                  <c:v>0.55555555555555558</c:v>
                </c:pt>
                <c:pt idx="935">
                  <c:v>0.55555555555555558</c:v>
                </c:pt>
                <c:pt idx="936">
                  <c:v>0.55555555555555558</c:v>
                </c:pt>
                <c:pt idx="937">
                  <c:v>0.55555555555555558</c:v>
                </c:pt>
                <c:pt idx="938">
                  <c:v>0.55555555555555558</c:v>
                </c:pt>
                <c:pt idx="939">
                  <c:v>0.55555555555555558</c:v>
                </c:pt>
                <c:pt idx="940">
                  <c:v>0.55555555555555558</c:v>
                </c:pt>
                <c:pt idx="941">
                  <c:v>0.55555555555555558</c:v>
                </c:pt>
                <c:pt idx="942">
                  <c:v>0.55555555555555558</c:v>
                </c:pt>
                <c:pt idx="943">
                  <c:v>0.55555555555555558</c:v>
                </c:pt>
                <c:pt idx="944">
                  <c:v>0.55555555555555558</c:v>
                </c:pt>
                <c:pt idx="945">
                  <c:v>0.55555555555555558</c:v>
                </c:pt>
                <c:pt idx="946">
                  <c:v>0.55555555555555558</c:v>
                </c:pt>
                <c:pt idx="947">
                  <c:v>0.55555555555555558</c:v>
                </c:pt>
                <c:pt idx="948">
                  <c:v>0.55555555555555558</c:v>
                </c:pt>
                <c:pt idx="949">
                  <c:v>0.55555555555555558</c:v>
                </c:pt>
                <c:pt idx="950">
                  <c:v>0.55555555555555558</c:v>
                </c:pt>
                <c:pt idx="951">
                  <c:v>0.55555555555555558</c:v>
                </c:pt>
                <c:pt idx="952">
                  <c:v>0.55555555555555558</c:v>
                </c:pt>
                <c:pt idx="953">
                  <c:v>0.55555555555555558</c:v>
                </c:pt>
                <c:pt idx="954">
                  <c:v>0.55555555555555558</c:v>
                </c:pt>
                <c:pt idx="955">
                  <c:v>0.55555555555555558</c:v>
                </c:pt>
                <c:pt idx="956">
                  <c:v>0.55555555555555558</c:v>
                </c:pt>
                <c:pt idx="957">
                  <c:v>0.55555555555555558</c:v>
                </c:pt>
                <c:pt idx="958">
                  <c:v>0.55555555555555558</c:v>
                </c:pt>
                <c:pt idx="959">
                  <c:v>0.55555555555555558</c:v>
                </c:pt>
                <c:pt idx="960">
                  <c:v>0.55555555555555558</c:v>
                </c:pt>
                <c:pt idx="961">
                  <c:v>0.55555555555555558</c:v>
                </c:pt>
                <c:pt idx="962">
                  <c:v>0.55555555555555558</c:v>
                </c:pt>
                <c:pt idx="963">
                  <c:v>0.55555555555555558</c:v>
                </c:pt>
                <c:pt idx="964">
                  <c:v>0.55555555555555558</c:v>
                </c:pt>
                <c:pt idx="965">
                  <c:v>0.55555555555555558</c:v>
                </c:pt>
                <c:pt idx="966">
                  <c:v>0.55555555555555558</c:v>
                </c:pt>
                <c:pt idx="967">
                  <c:v>0.55555555555555558</c:v>
                </c:pt>
                <c:pt idx="968">
                  <c:v>0.55555555555555558</c:v>
                </c:pt>
                <c:pt idx="969">
                  <c:v>0.55555555555555558</c:v>
                </c:pt>
                <c:pt idx="970">
                  <c:v>0.55555555555555558</c:v>
                </c:pt>
                <c:pt idx="971">
                  <c:v>0.83333333333333337</c:v>
                </c:pt>
                <c:pt idx="972">
                  <c:v>0.83333333333333337</c:v>
                </c:pt>
                <c:pt idx="973">
                  <c:v>0.83333333333333337</c:v>
                </c:pt>
                <c:pt idx="974">
                  <c:v>0.83333333333333337</c:v>
                </c:pt>
                <c:pt idx="975">
                  <c:v>0.83333333333333337</c:v>
                </c:pt>
                <c:pt idx="976">
                  <c:v>0.83333333333333337</c:v>
                </c:pt>
                <c:pt idx="977">
                  <c:v>0.83333333333333337</c:v>
                </c:pt>
                <c:pt idx="978">
                  <c:v>0.83333333333333337</c:v>
                </c:pt>
                <c:pt idx="979">
                  <c:v>0.83333333333333337</c:v>
                </c:pt>
                <c:pt idx="980">
                  <c:v>0.83333333333333337</c:v>
                </c:pt>
                <c:pt idx="981">
                  <c:v>0.83333333333333337</c:v>
                </c:pt>
                <c:pt idx="982">
                  <c:v>0.83333333333333337</c:v>
                </c:pt>
                <c:pt idx="983">
                  <c:v>0.83333333333333337</c:v>
                </c:pt>
                <c:pt idx="984">
                  <c:v>0.83333333333333337</c:v>
                </c:pt>
                <c:pt idx="985">
                  <c:v>0.83333333333333337</c:v>
                </c:pt>
                <c:pt idx="986">
                  <c:v>0.83333333333333337</c:v>
                </c:pt>
                <c:pt idx="987">
                  <c:v>0.83333333333333337</c:v>
                </c:pt>
                <c:pt idx="988">
                  <c:v>0.83333333333333337</c:v>
                </c:pt>
                <c:pt idx="989">
                  <c:v>0.83333333333333337</c:v>
                </c:pt>
                <c:pt idx="990">
                  <c:v>0.83333333333333337</c:v>
                </c:pt>
                <c:pt idx="991">
                  <c:v>0.83333333333333337</c:v>
                </c:pt>
                <c:pt idx="992">
                  <c:v>0.83333333333333337</c:v>
                </c:pt>
                <c:pt idx="993">
                  <c:v>0.83333333333333337</c:v>
                </c:pt>
                <c:pt idx="994">
                  <c:v>0.83333333333333337</c:v>
                </c:pt>
                <c:pt idx="995">
                  <c:v>0.83333333333333337</c:v>
                </c:pt>
                <c:pt idx="996">
                  <c:v>0.83333333333333337</c:v>
                </c:pt>
                <c:pt idx="997">
                  <c:v>0.83333333333333337</c:v>
                </c:pt>
                <c:pt idx="998">
                  <c:v>0.83333333333333337</c:v>
                </c:pt>
                <c:pt idx="999">
                  <c:v>0.83333333333333337</c:v>
                </c:pt>
                <c:pt idx="1000">
                  <c:v>0.83333333333333337</c:v>
                </c:pt>
                <c:pt idx="1001">
                  <c:v>0.83333333333333337</c:v>
                </c:pt>
                <c:pt idx="1002">
                  <c:v>0.83333333333333337</c:v>
                </c:pt>
                <c:pt idx="1003">
                  <c:v>0.83333333333333337</c:v>
                </c:pt>
                <c:pt idx="1004">
                  <c:v>0.83333333333333337</c:v>
                </c:pt>
                <c:pt idx="1005">
                  <c:v>0.83333333333333337</c:v>
                </c:pt>
                <c:pt idx="1006">
                  <c:v>0.83333333333333337</c:v>
                </c:pt>
                <c:pt idx="1007">
                  <c:v>0.83333333333333337</c:v>
                </c:pt>
                <c:pt idx="1008">
                  <c:v>0.83333333333333337</c:v>
                </c:pt>
                <c:pt idx="1009">
                  <c:v>0.83333333333333337</c:v>
                </c:pt>
                <c:pt idx="1010">
                  <c:v>0.83333333333333337</c:v>
                </c:pt>
                <c:pt idx="1011">
                  <c:v>0.83333333333333337</c:v>
                </c:pt>
                <c:pt idx="1012">
                  <c:v>0.83333333333333337</c:v>
                </c:pt>
                <c:pt idx="1013">
                  <c:v>0.83333333333333337</c:v>
                </c:pt>
                <c:pt idx="1014">
                  <c:v>0.83333333333333337</c:v>
                </c:pt>
                <c:pt idx="1015">
                  <c:v>0.83333333333333337</c:v>
                </c:pt>
                <c:pt idx="1016">
                  <c:v>0.83333333333333337</c:v>
                </c:pt>
                <c:pt idx="1017">
                  <c:v>0.83333333333333337</c:v>
                </c:pt>
                <c:pt idx="1018">
                  <c:v>0.83333333333333337</c:v>
                </c:pt>
                <c:pt idx="1019">
                  <c:v>0.83333333333333337</c:v>
                </c:pt>
                <c:pt idx="1020">
                  <c:v>0.89743589743589747</c:v>
                </c:pt>
                <c:pt idx="1021">
                  <c:v>0.89743589743589747</c:v>
                </c:pt>
                <c:pt idx="1022">
                  <c:v>0.89743589743589747</c:v>
                </c:pt>
                <c:pt idx="1023">
                  <c:v>0.89743589743589747</c:v>
                </c:pt>
                <c:pt idx="1024">
                  <c:v>0.89743589743589747</c:v>
                </c:pt>
                <c:pt idx="1025">
                  <c:v>0.89743589743589747</c:v>
                </c:pt>
                <c:pt idx="1026">
                  <c:v>0.89743589743589747</c:v>
                </c:pt>
                <c:pt idx="1027">
                  <c:v>0.89743589743589747</c:v>
                </c:pt>
                <c:pt idx="1028">
                  <c:v>0.89743589743589747</c:v>
                </c:pt>
                <c:pt idx="1029">
                  <c:v>0.89743589743589747</c:v>
                </c:pt>
                <c:pt idx="1030">
                  <c:v>0.89743589743589747</c:v>
                </c:pt>
                <c:pt idx="1031">
                  <c:v>0.89743589743589747</c:v>
                </c:pt>
                <c:pt idx="1032">
                  <c:v>0.89743589743589747</c:v>
                </c:pt>
                <c:pt idx="1033">
                  <c:v>0.89743589743589747</c:v>
                </c:pt>
                <c:pt idx="1034">
                  <c:v>0.89743589743589747</c:v>
                </c:pt>
                <c:pt idx="1035">
                  <c:v>0.89743589743589747</c:v>
                </c:pt>
                <c:pt idx="1036">
                  <c:v>0.89743589743589747</c:v>
                </c:pt>
                <c:pt idx="1037">
                  <c:v>0.89743589743589747</c:v>
                </c:pt>
                <c:pt idx="1038">
                  <c:v>0.89743589743589747</c:v>
                </c:pt>
                <c:pt idx="1039">
                  <c:v>0.89743589743589747</c:v>
                </c:pt>
                <c:pt idx="1040">
                  <c:v>0.89743589743589747</c:v>
                </c:pt>
                <c:pt idx="1041">
                  <c:v>0.89743589743589747</c:v>
                </c:pt>
                <c:pt idx="1042">
                  <c:v>0.89743589743589747</c:v>
                </c:pt>
                <c:pt idx="1043">
                  <c:v>0.89743589743589747</c:v>
                </c:pt>
                <c:pt idx="1044">
                  <c:v>0.89743589743589747</c:v>
                </c:pt>
                <c:pt idx="1045">
                  <c:v>0.89743589743589747</c:v>
                </c:pt>
                <c:pt idx="1046">
                  <c:v>0.89743589743589747</c:v>
                </c:pt>
                <c:pt idx="1047">
                  <c:v>0.89743589743589747</c:v>
                </c:pt>
                <c:pt idx="1048">
                  <c:v>0.89743589743589747</c:v>
                </c:pt>
                <c:pt idx="1049">
                  <c:v>0.89743589743589747</c:v>
                </c:pt>
                <c:pt idx="1050">
                  <c:v>0.89743589743589747</c:v>
                </c:pt>
                <c:pt idx="1051">
                  <c:v>0.89743589743589747</c:v>
                </c:pt>
                <c:pt idx="1052">
                  <c:v>0.89743589743589747</c:v>
                </c:pt>
                <c:pt idx="1053">
                  <c:v>0.89743589743589747</c:v>
                </c:pt>
                <c:pt idx="1054">
                  <c:v>0.89743589743589747</c:v>
                </c:pt>
                <c:pt idx="1055">
                  <c:v>0.89743589743589747</c:v>
                </c:pt>
                <c:pt idx="1056">
                  <c:v>0.89743589743589747</c:v>
                </c:pt>
                <c:pt idx="1057">
                  <c:v>0.89743589743589747</c:v>
                </c:pt>
                <c:pt idx="1058">
                  <c:v>0.89743589743589747</c:v>
                </c:pt>
                <c:pt idx="1059">
                  <c:v>0.89743589743589747</c:v>
                </c:pt>
                <c:pt idx="1060">
                  <c:v>0.89743589743589747</c:v>
                </c:pt>
                <c:pt idx="1061">
                  <c:v>0.89743589743589747</c:v>
                </c:pt>
                <c:pt idx="1062">
                  <c:v>0.89743589743589747</c:v>
                </c:pt>
                <c:pt idx="1063">
                  <c:v>0.89743589743589747</c:v>
                </c:pt>
                <c:pt idx="1064">
                  <c:v>0.89743589743589747</c:v>
                </c:pt>
                <c:pt idx="1065">
                  <c:v>0.89743589743589747</c:v>
                </c:pt>
                <c:pt idx="1066">
                  <c:v>0.89743589743589747</c:v>
                </c:pt>
                <c:pt idx="1067">
                  <c:v>0.89743589743589747</c:v>
                </c:pt>
                <c:pt idx="1068">
                  <c:v>0.89743589743589747</c:v>
                </c:pt>
                <c:pt idx="1069">
                  <c:v>0.89743589743589747</c:v>
                </c:pt>
                <c:pt idx="1070">
                  <c:v>0.89743589743589747</c:v>
                </c:pt>
                <c:pt idx="1071">
                  <c:v>0.89743589743589747</c:v>
                </c:pt>
                <c:pt idx="1072">
                  <c:v>0.89743589743589747</c:v>
                </c:pt>
                <c:pt idx="1073">
                  <c:v>0.89743589743589747</c:v>
                </c:pt>
                <c:pt idx="1074">
                  <c:v>0.89743589743589747</c:v>
                </c:pt>
                <c:pt idx="1075">
                  <c:v>0.89743589743589747</c:v>
                </c:pt>
                <c:pt idx="1076">
                  <c:v>0.89743589743589747</c:v>
                </c:pt>
                <c:pt idx="1077">
                  <c:v>0.89743589743589747</c:v>
                </c:pt>
                <c:pt idx="1078">
                  <c:v>0.89743589743589747</c:v>
                </c:pt>
                <c:pt idx="1079">
                  <c:v>0.89743589743589747</c:v>
                </c:pt>
                <c:pt idx="1080">
                  <c:v>0.89743589743589747</c:v>
                </c:pt>
                <c:pt idx="1081">
                  <c:v>0.89743589743589747</c:v>
                </c:pt>
                <c:pt idx="1082">
                  <c:v>0.89743589743589747</c:v>
                </c:pt>
                <c:pt idx="1083">
                  <c:v>0.89743589743589747</c:v>
                </c:pt>
                <c:pt idx="1084">
                  <c:v>0.89743589743589747</c:v>
                </c:pt>
                <c:pt idx="1085">
                  <c:v>0.89743589743589747</c:v>
                </c:pt>
                <c:pt idx="1086">
                  <c:v>0.89743589743589747</c:v>
                </c:pt>
                <c:pt idx="1087">
                  <c:v>0.89743589743589747</c:v>
                </c:pt>
                <c:pt idx="1088">
                  <c:v>0.89743589743589747</c:v>
                </c:pt>
                <c:pt idx="1089">
                  <c:v>0.89743589743589747</c:v>
                </c:pt>
                <c:pt idx="1090">
                  <c:v>0.89743589743589747</c:v>
                </c:pt>
                <c:pt idx="1091">
                  <c:v>0.89743589743589747</c:v>
                </c:pt>
                <c:pt idx="1092">
                  <c:v>0.89743589743589747</c:v>
                </c:pt>
                <c:pt idx="1093">
                  <c:v>0.89743589743589747</c:v>
                </c:pt>
                <c:pt idx="1094">
                  <c:v>0.89743589743589747</c:v>
                </c:pt>
                <c:pt idx="1095">
                  <c:v>0.89743589743589747</c:v>
                </c:pt>
                <c:pt idx="1096">
                  <c:v>0.89743589743589747</c:v>
                </c:pt>
                <c:pt idx="1097">
                  <c:v>0.89743589743589747</c:v>
                </c:pt>
                <c:pt idx="1098">
                  <c:v>0.89743589743589747</c:v>
                </c:pt>
                <c:pt idx="1099">
                  <c:v>0.89743589743589747</c:v>
                </c:pt>
                <c:pt idx="1100">
                  <c:v>0.89743589743589747</c:v>
                </c:pt>
                <c:pt idx="1101">
                  <c:v>0.89743589743589747</c:v>
                </c:pt>
                <c:pt idx="1102">
                  <c:v>0.89743589743589747</c:v>
                </c:pt>
                <c:pt idx="1103">
                  <c:v>0.89743589743589747</c:v>
                </c:pt>
                <c:pt idx="1104">
                  <c:v>0.89743589743589747</c:v>
                </c:pt>
                <c:pt idx="1105">
                  <c:v>0.89743589743589747</c:v>
                </c:pt>
                <c:pt idx="1106">
                  <c:v>0.89743589743589747</c:v>
                </c:pt>
                <c:pt idx="1107">
                  <c:v>0.89743589743589747</c:v>
                </c:pt>
                <c:pt idx="1108">
                  <c:v>0.89743589743589747</c:v>
                </c:pt>
                <c:pt idx="1109">
                  <c:v>0.89743589743589747</c:v>
                </c:pt>
                <c:pt idx="1110">
                  <c:v>0.89743589743589747</c:v>
                </c:pt>
                <c:pt idx="1111">
                  <c:v>0.89743589743589747</c:v>
                </c:pt>
                <c:pt idx="1112">
                  <c:v>0.89743589743589747</c:v>
                </c:pt>
                <c:pt idx="1113">
                  <c:v>0.89743589743589747</c:v>
                </c:pt>
                <c:pt idx="1114">
                  <c:v>0.89743589743589747</c:v>
                </c:pt>
                <c:pt idx="1115">
                  <c:v>0.89743589743589747</c:v>
                </c:pt>
                <c:pt idx="1116">
                  <c:v>0.89743589743589747</c:v>
                </c:pt>
                <c:pt idx="1117">
                  <c:v>0.89743589743589747</c:v>
                </c:pt>
                <c:pt idx="1118">
                  <c:v>0.89743589743589747</c:v>
                </c:pt>
                <c:pt idx="1119">
                  <c:v>0.89743589743589747</c:v>
                </c:pt>
                <c:pt idx="1120">
                  <c:v>0.89743589743589747</c:v>
                </c:pt>
                <c:pt idx="1121">
                  <c:v>0.89743589743589747</c:v>
                </c:pt>
                <c:pt idx="1122">
                  <c:v>0.89743589743589747</c:v>
                </c:pt>
                <c:pt idx="1123">
                  <c:v>0.89743589743589747</c:v>
                </c:pt>
                <c:pt idx="1124">
                  <c:v>0.89743589743589747</c:v>
                </c:pt>
                <c:pt idx="1125">
                  <c:v>0.89743589743589747</c:v>
                </c:pt>
                <c:pt idx="1126">
                  <c:v>0.89743589743589747</c:v>
                </c:pt>
                <c:pt idx="1127">
                  <c:v>0.89743589743589747</c:v>
                </c:pt>
                <c:pt idx="1128">
                  <c:v>0.89743589743589747</c:v>
                </c:pt>
                <c:pt idx="1129">
                  <c:v>0.89743589743589747</c:v>
                </c:pt>
                <c:pt idx="1130">
                  <c:v>0.89743589743589747</c:v>
                </c:pt>
                <c:pt idx="1131">
                  <c:v>0.89743589743589747</c:v>
                </c:pt>
                <c:pt idx="1132">
                  <c:v>0.89743589743589747</c:v>
                </c:pt>
                <c:pt idx="1133">
                  <c:v>0.89743589743589747</c:v>
                </c:pt>
                <c:pt idx="1134">
                  <c:v>0.89743589743589747</c:v>
                </c:pt>
                <c:pt idx="1135">
                  <c:v>0.89743589743589747</c:v>
                </c:pt>
                <c:pt idx="1136">
                  <c:v>0.89743589743589747</c:v>
                </c:pt>
                <c:pt idx="1137">
                  <c:v>0.89743589743589747</c:v>
                </c:pt>
                <c:pt idx="1138">
                  <c:v>0.89743589743589747</c:v>
                </c:pt>
                <c:pt idx="1139">
                  <c:v>0.89743589743589747</c:v>
                </c:pt>
                <c:pt idx="1140">
                  <c:v>0.89743589743589747</c:v>
                </c:pt>
                <c:pt idx="1141">
                  <c:v>0.89743589743589747</c:v>
                </c:pt>
                <c:pt idx="1142">
                  <c:v>0.89743589743589747</c:v>
                </c:pt>
                <c:pt idx="1143">
                  <c:v>0.89743589743589747</c:v>
                </c:pt>
                <c:pt idx="1144">
                  <c:v>0.89743589743589747</c:v>
                </c:pt>
                <c:pt idx="1145">
                  <c:v>0.89743589743589747</c:v>
                </c:pt>
                <c:pt idx="1146">
                  <c:v>0.89743589743589747</c:v>
                </c:pt>
                <c:pt idx="1147">
                  <c:v>0.89743589743589747</c:v>
                </c:pt>
                <c:pt idx="1148">
                  <c:v>0.89743589743589747</c:v>
                </c:pt>
                <c:pt idx="1149">
                  <c:v>0.89743589743589747</c:v>
                </c:pt>
                <c:pt idx="1150">
                  <c:v>0.89743589743589747</c:v>
                </c:pt>
                <c:pt idx="1151">
                  <c:v>0.89743589743589747</c:v>
                </c:pt>
                <c:pt idx="1152">
                  <c:v>0.89743589743589747</c:v>
                </c:pt>
                <c:pt idx="1153">
                  <c:v>0.89743589743589747</c:v>
                </c:pt>
                <c:pt idx="1154">
                  <c:v>0.89743589743589747</c:v>
                </c:pt>
                <c:pt idx="1155">
                  <c:v>0.89743589743589747</c:v>
                </c:pt>
                <c:pt idx="1156">
                  <c:v>0.89743589743589747</c:v>
                </c:pt>
                <c:pt idx="1157">
                  <c:v>0.89743589743589747</c:v>
                </c:pt>
                <c:pt idx="1158">
                  <c:v>0.89743589743589747</c:v>
                </c:pt>
                <c:pt idx="1159">
                  <c:v>0.89743589743589747</c:v>
                </c:pt>
                <c:pt idx="1160">
                  <c:v>0.89743589743589747</c:v>
                </c:pt>
                <c:pt idx="1161">
                  <c:v>0.89743589743589747</c:v>
                </c:pt>
                <c:pt idx="1162">
                  <c:v>0.89743589743589747</c:v>
                </c:pt>
                <c:pt idx="1163">
                  <c:v>0.89743589743589747</c:v>
                </c:pt>
                <c:pt idx="1164">
                  <c:v>0.89743589743589747</c:v>
                </c:pt>
                <c:pt idx="1165">
                  <c:v>0.89743589743589747</c:v>
                </c:pt>
                <c:pt idx="1166">
                  <c:v>0.89743589743589747</c:v>
                </c:pt>
                <c:pt idx="1167">
                  <c:v>0.76618705035971224</c:v>
                </c:pt>
                <c:pt idx="1168">
                  <c:v>0.76618705035971224</c:v>
                </c:pt>
                <c:pt idx="1169">
                  <c:v>0.76618705035971224</c:v>
                </c:pt>
                <c:pt idx="1170">
                  <c:v>0.76618705035971224</c:v>
                </c:pt>
                <c:pt idx="1171">
                  <c:v>0.76618705035971224</c:v>
                </c:pt>
                <c:pt idx="1172">
                  <c:v>0.76618705035971224</c:v>
                </c:pt>
                <c:pt idx="1173">
                  <c:v>0.76618705035971224</c:v>
                </c:pt>
                <c:pt idx="1174">
                  <c:v>0.77031802120141346</c:v>
                </c:pt>
                <c:pt idx="1175">
                  <c:v>0.77031802120141346</c:v>
                </c:pt>
                <c:pt idx="1176">
                  <c:v>0.77031802120141346</c:v>
                </c:pt>
                <c:pt idx="1177">
                  <c:v>0.77031802120141346</c:v>
                </c:pt>
                <c:pt idx="1178">
                  <c:v>0.77031802120141346</c:v>
                </c:pt>
                <c:pt idx="1179">
                  <c:v>0.77031802120141346</c:v>
                </c:pt>
                <c:pt idx="1180">
                  <c:v>0.77031802120141346</c:v>
                </c:pt>
                <c:pt idx="1181">
                  <c:v>0.77031802120141346</c:v>
                </c:pt>
                <c:pt idx="1182">
                  <c:v>0.77031802120141346</c:v>
                </c:pt>
                <c:pt idx="1183">
                  <c:v>0.77031802120141346</c:v>
                </c:pt>
                <c:pt idx="1184">
                  <c:v>0.77031802120141346</c:v>
                </c:pt>
                <c:pt idx="1185">
                  <c:v>0.77031802120141346</c:v>
                </c:pt>
                <c:pt idx="1186">
                  <c:v>0.77031802120141346</c:v>
                </c:pt>
                <c:pt idx="1187">
                  <c:v>0.77031802120141346</c:v>
                </c:pt>
                <c:pt idx="1188">
                  <c:v>0.77031802120141346</c:v>
                </c:pt>
                <c:pt idx="1189">
                  <c:v>0.77031802120141346</c:v>
                </c:pt>
                <c:pt idx="1190">
                  <c:v>0.77031802120141346</c:v>
                </c:pt>
                <c:pt idx="1191">
                  <c:v>0.77031802120141346</c:v>
                </c:pt>
                <c:pt idx="1192">
                  <c:v>0.77031802120141346</c:v>
                </c:pt>
                <c:pt idx="1193">
                  <c:v>0.77031802120141346</c:v>
                </c:pt>
                <c:pt idx="1194">
                  <c:v>0.77031802120141346</c:v>
                </c:pt>
                <c:pt idx="1195">
                  <c:v>0.77031802120141346</c:v>
                </c:pt>
                <c:pt idx="1196">
                  <c:v>0.77031802120141346</c:v>
                </c:pt>
                <c:pt idx="1197">
                  <c:v>0.77031802120141346</c:v>
                </c:pt>
                <c:pt idx="1198">
                  <c:v>0.77031802120141346</c:v>
                </c:pt>
                <c:pt idx="1199">
                  <c:v>0.77031802120141346</c:v>
                </c:pt>
                <c:pt idx="1200">
                  <c:v>0.77031802120141346</c:v>
                </c:pt>
                <c:pt idx="1201">
                  <c:v>0.77031802120141346</c:v>
                </c:pt>
                <c:pt idx="1202">
                  <c:v>0.74402730375426618</c:v>
                </c:pt>
                <c:pt idx="1203">
                  <c:v>0.74402730375426618</c:v>
                </c:pt>
                <c:pt idx="1204">
                  <c:v>0.74402730375426618</c:v>
                </c:pt>
                <c:pt idx="1205">
                  <c:v>0.74402730375426618</c:v>
                </c:pt>
                <c:pt idx="1206">
                  <c:v>0.74402730375426618</c:v>
                </c:pt>
                <c:pt idx="1207">
                  <c:v>0.74402730375426618</c:v>
                </c:pt>
                <c:pt idx="1208">
                  <c:v>0.74402730375426618</c:v>
                </c:pt>
                <c:pt idx="1209">
                  <c:v>0.74402730375426618</c:v>
                </c:pt>
                <c:pt idx="1210">
                  <c:v>0.74402730375426618</c:v>
                </c:pt>
                <c:pt idx="1211">
                  <c:v>0.74402730375426618</c:v>
                </c:pt>
                <c:pt idx="1212">
                  <c:v>0.74402730375426618</c:v>
                </c:pt>
                <c:pt idx="1213">
                  <c:v>0.74402730375426618</c:v>
                </c:pt>
                <c:pt idx="1214">
                  <c:v>0.74402730375426618</c:v>
                </c:pt>
                <c:pt idx="1215">
                  <c:v>0.74402730375426618</c:v>
                </c:pt>
                <c:pt idx="1216">
                  <c:v>0.74402730375426618</c:v>
                </c:pt>
                <c:pt idx="1217">
                  <c:v>0.74402730375426618</c:v>
                </c:pt>
                <c:pt idx="1218">
                  <c:v>0.74402730375426618</c:v>
                </c:pt>
                <c:pt idx="1219">
                  <c:v>0.74402730375426618</c:v>
                </c:pt>
                <c:pt idx="1220">
                  <c:v>0.74402730375426618</c:v>
                </c:pt>
                <c:pt idx="1221">
                  <c:v>0.74402730375426618</c:v>
                </c:pt>
                <c:pt idx="1222">
                  <c:v>0.74402730375426618</c:v>
                </c:pt>
                <c:pt idx="1223">
                  <c:v>0.74402730375426618</c:v>
                </c:pt>
                <c:pt idx="1224">
                  <c:v>0.74402730375426618</c:v>
                </c:pt>
                <c:pt idx="1225">
                  <c:v>0.74402730375426618</c:v>
                </c:pt>
                <c:pt idx="1226">
                  <c:v>0.74402730375426618</c:v>
                </c:pt>
                <c:pt idx="1227">
                  <c:v>0.74402730375426618</c:v>
                </c:pt>
                <c:pt idx="1228">
                  <c:v>0.74402730375426618</c:v>
                </c:pt>
                <c:pt idx="1229">
                  <c:v>0.74402730375426618</c:v>
                </c:pt>
                <c:pt idx="1230">
                  <c:v>0.74402730375426618</c:v>
                </c:pt>
                <c:pt idx="1231">
                  <c:v>0.74402730375426618</c:v>
                </c:pt>
                <c:pt idx="1232">
                  <c:v>0.74402730375426618</c:v>
                </c:pt>
                <c:pt idx="1233">
                  <c:v>0.74402730375426618</c:v>
                </c:pt>
                <c:pt idx="1234">
                  <c:v>0.74402730375426618</c:v>
                </c:pt>
                <c:pt idx="1235">
                  <c:v>0.74402730375426618</c:v>
                </c:pt>
                <c:pt idx="1236">
                  <c:v>0.74402730375426618</c:v>
                </c:pt>
                <c:pt idx="1237">
                  <c:v>0.74402730375426618</c:v>
                </c:pt>
                <c:pt idx="1238">
                  <c:v>0.74402730375426618</c:v>
                </c:pt>
                <c:pt idx="1239">
                  <c:v>0.74402730375426618</c:v>
                </c:pt>
                <c:pt idx="1240">
                  <c:v>0.74402730375426618</c:v>
                </c:pt>
                <c:pt idx="1241">
                  <c:v>0.74402730375426618</c:v>
                </c:pt>
                <c:pt idx="1242">
                  <c:v>0.74402730375426618</c:v>
                </c:pt>
                <c:pt idx="1243">
                  <c:v>0.74402730375426618</c:v>
                </c:pt>
                <c:pt idx="1244">
                  <c:v>0.74402730375426618</c:v>
                </c:pt>
                <c:pt idx="1245">
                  <c:v>0.74402730375426618</c:v>
                </c:pt>
                <c:pt idx="1246">
                  <c:v>0.74402730375426618</c:v>
                </c:pt>
                <c:pt idx="1247">
                  <c:v>0.74402730375426618</c:v>
                </c:pt>
                <c:pt idx="1248">
                  <c:v>0.74402730375426618</c:v>
                </c:pt>
                <c:pt idx="1249">
                  <c:v>0.74402730375426618</c:v>
                </c:pt>
                <c:pt idx="1250">
                  <c:v>0.74402730375426618</c:v>
                </c:pt>
                <c:pt idx="1251">
                  <c:v>0.74402730375426618</c:v>
                </c:pt>
                <c:pt idx="1252">
                  <c:v>0.74402730375426618</c:v>
                </c:pt>
                <c:pt idx="1253">
                  <c:v>0.74402730375426618</c:v>
                </c:pt>
                <c:pt idx="1254">
                  <c:v>0.74402730375426618</c:v>
                </c:pt>
                <c:pt idx="1255">
                  <c:v>0.74402730375426618</c:v>
                </c:pt>
                <c:pt idx="1256">
                  <c:v>0.74402730375426618</c:v>
                </c:pt>
                <c:pt idx="1257">
                  <c:v>0.74402730375426618</c:v>
                </c:pt>
                <c:pt idx="1258">
                  <c:v>0.74402730375426618</c:v>
                </c:pt>
                <c:pt idx="1259">
                  <c:v>0.74402730375426618</c:v>
                </c:pt>
                <c:pt idx="1260">
                  <c:v>0.74402730375426618</c:v>
                </c:pt>
                <c:pt idx="1261">
                  <c:v>0.74402730375426618</c:v>
                </c:pt>
                <c:pt idx="1262">
                  <c:v>0.74402730375426618</c:v>
                </c:pt>
                <c:pt idx="1263">
                  <c:v>0.74402730375426618</c:v>
                </c:pt>
                <c:pt idx="1264">
                  <c:v>0.74402730375426618</c:v>
                </c:pt>
                <c:pt idx="1265">
                  <c:v>0.74402730375426618</c:v>
                </c:pt>
                <c:pt idx="1266">
                  <c:v>0.74402730375426618</c:v>
                </c:pt>
                <c:pt idx="1267">
                  <c:v>0.74402730375426618</c:v>
                </c:pt>
                <c:pt idx="1268">
                  <c:v>0.74402730375426618</c:v>
                </c:pt>
                <c:pt idx="1269">
                  <c:v>0.74402730375426618</c:v>
                </c:pt>
                <c:pt idx="1270">
                  <c:v>0.74402730375426618</c:v>
                </c:pt>
                <c:pt idx="1271">
                  <c:v>0.74402730375426618</c:v>
                </c:pt>
                <c:pt idx="1272">
                  <c:v>0.74402730375426618</c:v>
                </c:pt>
                <c:pt idx="1273">
                  <c:v>0.74402730375426618</c:v>
                </c:pt>
                <c:pt idx="1274">
                  <c:v>0.74402730375426618</c:v>
                </c:pt>
                <c:pt idx="1275">
                  <c:v>0.74402730375426618</c:v>
                </c:pt>
                <c:pt idx="1276">
                  <c:v>0.74402730375426618</c:v>
                </c:pt>
                <c:pt idx="1277">
                  <c:v>0.74402730375426618</c:v>
                </c:pt>
                <c:pt idx="1278">
                  <c:v>0.74402730375426618</c:v>
                </c:pt>
                <c:pt idx="1279">
                  <c:v>0.74402730375426618</c:v>
                </c:pt>
                <c:pt idx="1280">
                  <c:v>0.74402730375426618</c:v>
                </c:pt>
                <c:pt idx="1281">
                  <c:v>0.74402730375426618</c:v>
                </c:pt>
                <c:pt idx="1282">
                  <c:v>0.74402730375426618</c:v>
                </c:pt>
                <c:pt idx="1283">
                  <c:v>0.74402730375426618</c:v>
                </c:pt>
                <c:pt idx="1284">
                  <c:v>0.74402730375426618</c:v>
                </c:pt>
                <c:pt idx="1285">
                  <c:v>0.74402730375426618</c:v>
                </c:pt>
                <c:pt idx="1286">
                  <c:v>0.74402730375426618</c:v>
                </c:pt>
                <c:pt idx="1287">
                  <c:v>0.74402730375426618</c:v>
                </c:pt>
                <c:pt idx="1288">
                  <c:v>0.74402730375426618</c:v>
                </c:pt>
                <c:pt idx="1289">
                  <c:v>0.74402730375426618</c:v>
                </c:pt>
                <c:pt idx="1290">
                  <c:v>0.74402730375426618</c:v>
                </c:pt>
                <c:pt idx="1291">
                  <c:v>0.74402730375426618</c:v>
                </c:pt>
                <c:pt idx="1292">
                  <c:v>0.74402730375426618</c:v>
                </c:pt>
                <c:pt idx="1293">
                  <c:v>0.74402730375426618</c:v>
                </c:pt>
                <c:pt idx="1294">
                  <c:v>0.74402730375426618</c:v>
                </c:pt>
                <c:pt idx="1295">
                  <c:v>0.74402730375426618</c:v>
                </c:pt>
                <c:pt idx="1296">
                  <c:v>0.74402730375426618</c:v>
                </c:pt>
                <c:pt idx="1297">
                  <c:v>0.74402730375426618</c:v>
                </c:pt>
                <c:pt idx="1298">
                  <c:v>0.74402730375426618</c:v>
                </c:pt>
                <c:pt idx="1299">
                  <c:v>0.74402730375426618</c:v>
                </c:pt>
                <c:pt idx="1300">
                  <c:v>0.74402730375426618</c:v>
                </c:pt>
                <c:pt idx="1301">
                  <c:v>0.74402730375426618</c:v>
                </c:pt>
                <c:pt idx="1302">
                  <c:v>0.74402730375426618</c:v>
                </c:pt>
                <c:pt idx="1303">
                  <c:v>0.74402730375426618</c:v>
                </c:pt>
                <c:pt idx="1304">
                  <c:v>0.74402730375426618</c:v>
                </c:pt>
                <c:pt idx="1305">
                  <c:v>0.74402730375426618</c:v>
                </c:pt>
                <c:pt idx="1306">
                  <c:v>0.74402730375426618</c:v>
                </c:pt>
                <c:pt idx="1307">
                  <c:v>0.74402730375426618</c:v>
                </c:pt>
                <c:pt idx="1308">
                  <c:v>0.74402730375426618</c:v>
                </c:pt>
                <c:pt idx="1309">
                  <c:v>0.74402730375426618</c:v>
                </c:pt>
                <c:pt idx="1310">
                  <c:v>0.74402730375426618</c:v>
                </c:pt>
                <c:pt idx="1311">
                  <c:v>0.74402730375426618</c:v>
                </c:pt>
                <c:pt idx="1312">
                  <c:v>0.74402730375426618</c:v>
                </c:pt>
                <c:pt idx="1313">
                  <c:v>0.74402730375426618</c:v>
                </c:pt>
                <c:pt idx="1314">
                  <c:v>0.74402730375426618</c:v>
                </c:pt>
                <c:pt idx="1315">
                  <c:v>0.74402730375426618</c:v>
                </c:pt>
                <c:pt idx="1316">
                  <c:v>0.74402730375426618</c:v>
                </c:pt>
                <c:pt idx="1317">
                  <c:v>0.74402730375426618</c:v>
                </c:pt>
                <c:pt idx="1318">
                  <c:v>0.74402730375426618</c:v>
                </c:pt>
                <c:pt idx="1319">
                  <c:v>0.74402730375426618</c:v>
                </c:pt>
                <c:pt idx="1320">
                  <c:v>0.74402730375426618</c:v>
                </c:pt>
                <c:pt idx="1321">
                  <c:v>0.74402730375426618</c:v>
                </c:pt>
                <c:pt idx="1322">
                  <c:v>0.74402730375426618</c:v>
                </c:pt>
                <c:pt idx="1323">
                  <c:v>0.74402730375426618</c:v>
                </c:pt>
                <c:pt idx="1324">
                  <c:v>0.74402730375426618</c:v>
                </c:pt>
                <c:pt idx="1325">
                  <c:v>0.74402730375426618</c:v>
                </c:pt>
                <c:pt idx="1326">
                  <c:v>0.74402730375426618</c:v>
                </c:pt>
                <c:pt idx="1327">
                  <c:v>0.74402730375426618</c:v>
                </c:pt>
                <c:pt idx="1328">
                  <c:v>0.74402730375426618</c:v>
                </c:pt>
                <c:pt idx="1329">
                  <c:v>0.74402730375426618</c:v>
                </c:pt>
                <c:pt idx="1330">
                  <c:v>0.74402730375426618</c:v>
                </c:pt>
                <c:pt idx="1331">
                  <c:v>0.74402730375426618</c:v>
                </c:pt>
                <c:pt idx="1332">
                  <c:v>0.74402730375426618</c:v>
                </c:pt>
                <c:pt idx="1333">
                  <c:v>0.74402730375426618</c:v>
                </c:pt>
                <c:pt idx="1334">
                  <c:v>0.87368421052631584</c:v>
                </c:pt>
                <c:pt idx="1335">
                  <c:v>0.87368421052631584</c:v>
                </c:pt>
                <c:pt idx="1336">
                  <c:v>0.87368421052631584</c:v>
                </c:pt>
                <c:pt idx="1337">
                  <c:v>0.87368421052631584</c:v>
                </c:pt>
                <c:pt idx="1338">
                  <c:v>0.87368421052631584</c:v>
                </c:pt>
                <c:pt idx="1339">
                  <c:v>0.87368421052631584</c:v>
                </c:pt>
                <c:pt idx="1340">
                  <c:v>0.87368421052631584</c:v>
                </c:pt>
                <c:pt idx="1341">
                  <c:v>0.87368421052631584</c:v>
                </c:pt>
                <c:pt idx="1342">
                  <c:v>0.87368421052631584</c:v>
                </c:pt>
                <c:pt idx="1343">
                  <c:v>0.87368421052631584</c:v>
                </c:pt>
                <c:pt idx="1344">
                  <c:v>0.87368421052631584</c:v>
                </c:pt>
                <c:pt idx="1345">
                  <c:v>0.87368421052631584</c:v>
                </c:pt>
                <c:pt idx="1346">
                  <c:v>0.87368421052631584</c:v>
                </c:pt>
                <c:pt idx="1347">
                  <c:v>0.87368421052631584</c:v>
                </c:pt>
                <c:pt idx="1348">
                  <c:v>0.87368421052631584</c:v>
                </c:pt>
                <c:pt idx="1349">
                  <c:v>0.87368421052631584</c:v>
                </c:pt>
                <c:pt idx="1350">
                  <c:v>0.87368421052631584</c:v>
                </c:pt>
                <c:pt idx="1351">
                  <c:v>0.87368421052631584</c:v>
                </c:pt>
                <c:pt idx="1352">
                  <c:v>0.87368421052631584</c:v>
                </c:pt>
                <c:pt idx="1353">
                  <c:v>0.87368421052631584</c:v>
                </c:pt>
                <c:pt idx="1354">
                  <c:v>0.87368421052631584</c:v>
                </c:pt>
                <c:pt idx="1355">
                  <c:v>0.87368421052631584</c:v>
                </c:pt>
                <c:pt idx="1356">
                  <c:v>0.87368421052631584</c:v>
                </c:pt>
                <c:pt idx="1357">
                  <c:v>0.87368421052631584</c:v>
                </c:pt>
                <c:pt idx="1358">
                  <c:v>0.87368421052631584</c:v>
                </c:pt>
                <c:pt idx="1359">
                  <c:v>0.87368421052631584</c:v>
                </c:pt>
                <c:pt idx="1360">
                  <c:v>0.87368421052631584</c:v>
                </c:pt>
                <c:pt idx="1361">
                  <c:v>0.87368421052631584</c:v>
                </c:pt>
                <c:pt idx="1362">
                  <c:v>0.87368421052631584</c:v>
                </c:pt>
                <c:pt idx="1363">
                  <c:v>0.87368421052631584</c:v>
                </c:pt>
                <c:pt idx="1364">
                  <c:v>0.87368421052631584</c:v>
                </c:pt>
                <c:pt idx="1365">
                  <c:v>0.87368421052631584</c:v>
                </c:pt>
                <c:pt idx="1366">
                  <c:v>0.87368421052631584</c:v>
                </c:pt>
                <c:pt idx="1367">
                  <c:v>0.87368421052631584</c:v>
                </c:pt>
                <c:pt idx="1368">
                  <c:v>0.87368421052631584</c:v>
                </c:pt>
                <c:pt idx="1369">
                  <c:v>0.87368421052631584</c:v>
                </c:pt>
                <c:pt idx="1370">
                  <c:v>0.87368421052631584</c:v>
                </c:pt>
                <c:pt idx="1371">
                  <c:v>0.87368421052631584</c:v>
                </c:pt>
                <c:pt idx="1372">
                  <c:v>0.87368421052631584</c:v>
                </c:pt>
                <c:pt idx="1373">
                  <c:v>0.87368421052631584</c:v>
                </c:pt>
                <c:pt idx="1374">
                  <c:v>0.87368421052631584</c:v>
                </c:pt>
                <c:pt idx="1375">
                  <c:v>0.87368421052631584</c:v>
                </c:pt>
                <c:pt idx="1376">
                  <c:v>0.87368421052631584</c:v>
                </c:pt>
                <c:pt idx="1377">
                  <c:v>0.87368421052631584</c:v>
                </c:pt>
                <c:pt idx="1378">
                  <c:v>0.87368421052631584</c:v>
                </c:pt>
                <c:pt idx="1379">
                  <c:v>0.87368421052631584</c:v>
                </c:pt>
                <c:pt idx="1380">
                  <c:v>0.87368421052631584</c:v>
                </c:pt>
                <c:pt idx="1381">
                  <c:v>0.87368421052631584</c:v>
                </c:pt>
                <c:pt idx="1382">
                  <c:v>0.87368421052631584</c:v>
                </c:pt>
                <c:pt idx="1383">
                  <c:v>0.87368421052631584</c:v>
                </c:pt>
                <c:pt idx="1384">
                  <c:v>0.87368421052631584</c:v>
                </c:pt>
                <c:pt idx="1385">
                  <c:v>0.87368421052631584</c:v>
                </c:pt>
                <c:pt idx="1386">
                  <c:v>0.87368421052631584</c:v>
                </c:pt>
                <c:pt idx="1387">
                  <c:v>0.87368421052631584</c:v>
                </c:pt>
                <c:pt idx="1388">
                  <c:v>0.87368421052631584</c:v>
                </c:pt>
                <c:pt idx="1389">
                  <c:v>0.87368421052631584</c:v>
                </c:pt>
                <c:pt idx="1390">
                  <c:v>0.87368421052631584</c:v>
                </c:pt>
                <c:pt idx="1391">
                  <c:v>0.87368421052631584</c:v>
                </c:pt>
                <c:pt idx="1392">
                  <c:v>0.87368421052631584</c:v>
                </c:pt>
                <c:pt idx="1393">
                  <c:v>0.87368421052631584</c:v>
                </c:pt>
                <c:pt idx="1394">
                  <c:v>0.87368421052631584</c:v>
                </c:pt>
                <c:pt idx="1395">
                  <c:v>0.87368421052631584</c:v>
                </c:pt>
                <c:pt idx="1396">
                  <c:v>0.87368421052631584</c:v>
                </c:pt>
                <c:pt idx="1397">
                  <c:v>0.87368421052631584</c:v>
                </c:pt>
                <c:pt idx="1398">
                  <c:v>0.87368421052631584</c:v>
                </c:pt>
                <c:pt idx="1399">
                  <c:v>0.87368421052631584</c:v>
                </c:pt>
                <c:pt idx="1400">
                  <c:v>0.87368421052631584</c:v>
                </c:pt>
                <c:pt idx="1401">
                  <c:v>0.9041394335511983</c:v>
                </c:pt>
                <c:pt idx="1402">
                  <c:v>0.9041394335511983</c:v>
                </c:pt>
                <c:pt idx="1403">
                  <c:v>0.88210526315789473</c:v>
                </c:pt>
                <c:pt idx="1404">
                  <c:v>0.88210526315789473</c:v>
                </c:pt>
                <c:pt idx="1405">
                  <c:v>0.88210526315789473</c:v>
                </c:pt>
                <c:pt idx="1406">
                  <c:v>0.88210526315789473</c:v>
                </c:pt>
                <c:pt idx="1407">
                  <c:v>0.88210526315789473</c:v>
                </c:pt>
                <c:pt idx="1408">
                  <c:v>0.88210526315789473</c:v>
                </c:pt>
                <c:pt idx="1409">
                  <c:v>0.88210526315789473</c:v>
                </c:pt>
                <c:pt idx="1410">
                  <c:v>0.88210526315789473</c:v>
                </c:pt>
                <c:pt idx="1411">
                  <c:v>0.88210526315789473</c:v>
                </c:pt>
                <c:pt idx="1412">
                  <c:v>0.88210526315789473</c:v>
                </c:pt>
                <c:pt idx="1413">
                  <c:v>0.88210526315789473</c:v>
                </c:pt>
                <c:pt idx="1414">
                  <c:v>0.88210526315789473</c:v>
                </c:pt>
                <c:pt idx="1415">
                  <c:v>0.88210526315789473</c:v>
                </c:pt>
                <c:pt idx="1416">
                  <c:v>0.88210526315789473</c:v>
                </c:pt>
                <c:pt idx="1417">
                  <c:v>0.88210526315789473</c:v>
                </c:pt>
                <c:pt idx="1418">
                  <c:v>0.88210526315789473</c:v>
                </c:pt>
                <c:pt idx="1419">
                  <c:v>0.88210526315789473</c:v>
                </c:pt>
                <c:pt idx="1420">
                  <c:v>0.88210526315789473</c:v>
                </c:pt>
                <c:pt idx="1421">
                  <c:v>0.88210526315789473</c:v>
                </c:pt>
                <c:pt idx="1422">
                  <c:v>0.88210526315789473</c:v>
                </c:pt>
                <c:pt idx="1423">
                  <c:v>0.88210526315789473</c:v>
                </c:pt>
                <c:pt idx="1424">
                  <c:v>0.88210526315789473</c:v>
                </c:pt>
                <c:pt idx="1425">
                  <c:v>0.88210526315789473</c:v>
                </c:pt>
                <c:pt idx="1426">
                  <c:v>0.88210526315789473</c:v>
                </c:pt>
                <c:pt idx="1427">
                  <c:v>0.88210526315789473</c:v>
                </c:pt>
                <c:pt idx="1428">
                  <c:v>0.88210526315789473</c:v>
                </c:pt>
                <c:pt idx="1429">
                  <c:v>0.88210526315789473</c:v>
                </c:pt>
                <c:pt idx="1430">
                  <c:v>0.88210526315789473</c:v>
                </c:pt>
                <c:pt idx="1431">
                  <c:v>0.88210526315789473</c:v>
                </c:pt>
                <c:pt idx="1432">
                  <c:v>0.88210526315789473</c:v>
                </c:pt>
                <c:pt idx="1433">
                  <c:v>0.88210526315789473</c:v>
                </c:pt>
                <c:pt idx="1434">
                  <c:v>0.88210526315789473</c:v>
                </c:pt>
                <c:pt idx="1435">
                  <c:v>0.88210526315789473</c:v>
                </c:pt>
                <c:pt idx="1436">
                  <c:v>0.88210526315789473</c:v>
                </c:pt>
                <c:pt idx="1437">
                  <c:v>0.88210526315789473</c:v>
                </c:pt>
                <c:pt idx="1438">
                  <c:v>0.88210526315789473</c:v>
                </c:pt>
                <c:pt idx="1439">
                  <c:v>0.88210526315789473</c:v>
                </c:pt>
                <c:pt idx="1440">
                  <c:v>0.88210526315789473</c:v>
                </c:pt>
                <c:pt idx="1441">
                  <c:v>0.88210526315789473</c:v>
                </c:pt>
                <c:pt idx="1442">
                  <c:v>0.88210526315789473</c:v>
                </c:pt>
                <c:pt idx="1443">
                  <c:v>0.88210526315789473</c:v>
                </c:pt>
                <c:pt idx="1444">
                  <c:v>0.88210526315789473</c:v>
                </c:pt>
                <c:pt idx="1445">
                  <c:v>0.88210526315789473</c:v>
                </c:pt>
                <c:pt idx="1446">
                  <c:v>0.88210526315789473</c:v>
                </c:pt>
                <c:pt idx="1447">
                  <c:v>0.88210526315789473</c:v>
                </c:pt>
                <c:pt idx="1448">
                  <c:v>0.88210526315789473</c:v>
                </c:pt>
                <c:pt idx="1449">
                  <c:v>0.88210526315789473</c:v>
                </c:pt>
                <c:pt idx="1450">
                  <c:v>0.88210526315789473</c:v>
                </c:pt>
                <c:pt idx="1451">
                  <c:v>0.88210526315789473</c:v>
                </c:pt>
                <c:pt idx="1452">
                  <c:v>0.88210526315789473</c:v>
                </c:pt>
                <c:pt idx="1453">
                  <c:v>0.88210526315789473</c:v>
                </c:pt>
                <c:pt idx="1454">
                  <c:v>0.88210526315789473</c:v>
                </c:pt>
                <c:pt idx="1455">
                  <c:v>0.88210526315789473</c:v>
                </c:pt>
                <c:pt idx="1456">
                  <c:v>0.88210526315789473</c:v>
                </c:pt>
                <c:pt idx="1457">
                  <c:v>0.88210526315789473</c:v>
                </c:pt>
                <c:pt idx="1458">
                  <c:v>0.88210526315789473</c:v>
                </c:pt>
                <c:pt idx="1459">
                  <c:v>0.88210526315789473</c:v>
                </c:pt>
                <c:pt idx="1460">
                  <c:v>0.88210526315789473</c:v>
                </c:pt>
                <c:pt idx="1461">
                  <c:v>0.88210526315789473</c:v>
                </c:pt>
                <c:pt idx="1462">
                  <c:v>0.88210526315789473</c:v>
                </c:pt>
                <c:pt idx="1463">
                  <c:v>0.88210526315789473</c:v>
                </c:pt>
                <c:pt idx="1464">
                  <c:v>0.88210526315789473</c:v>
                </c:pt>
                <c:pt idx="1465">
                  <c:v>0.88210526315789473</c:v>
                </c:pt>
                <c:pt idx="1466">
                  <c:v>0.88210526315789473</c:v>
                </c:pt>
                <c:pt idx="1467">
                  <c:v>0.88210526315789473</c:v>
                </c:pt>
                <c:pt idx="1468">
                  <c:v>0.88210526315789473</c:v>
                </c:pt>
                <c:pt idx="1469">
                  <c:v>0.88210526315789473</c:v>
                </c:pt>
                <c:pt idx="1470">
                  <c:v>0.88210526315789473</c:v>
                </c:pt>
                <c:pt idx="1471">
                  <c:v>0.88210526315789473</c:v>
                </c:pt>
                <c:pt idx="1472">
                  <c:v>0.88210526315789473</c:v>
                </c:pt>
                <c:pt idx="1473">
                  <c:v>0.88210526315789473</c:v>
                </c:pt>
                <c:pt idx="1474">
                  <c:v>0.88210526315789473</c:v>
                </c:pt>
                <c:pt idx="1475">
                  <c:v>0.89126213592233006</c:v>
                </c:pt>
                <c:pt idx="1476">
                  <c:v>0.89126213592233006</c:v>
                </c:pt>
                <c:pt idx="1477">
                  <c:v>0.89126213592233006</c:v>
                </c:pt>
                <c:pt idx="1478">
                  <c:v>0.89126213592233006</c:v>
                </c:pt>
                <c:pt idx="1479">
                  <c:v>0.89126213592233006</c:v>
                </c:pt>
                <c:pt idx="1480">
                  <c:v>0.89126213592233006</c:v>
                </c:pt>
                <c:pt idx="1481">
                  <c:v>0.89126213592233006</c:v>
                </c:pt>
                <c:pt idx="1482">
                  <c:v>0.89126213592233006</c:v>
                </c:pt>
                <c:pt idx="1483">
                  <c:v>0.89126213592233006</c:v>
                </c:pt>
                <c:pt idx="1484">
                  <c:v>0.89126213592233006</c:v>
                </c:pt>
                <c:pt idx="1485">
                  <c:v>0.89126213592233006</c:v>
                </c:pt>
                <c:pt idx="1486">
                  <c:v>0.89126213592233006</c:v>
                </c:pt>
                <c:pt idx="1487">
                  <c:v>0.89126213592233006</c:v>
                </c:pt>
                <c:pt idx="1488">
                  <c:v>0.89126213592233006</c:v>
                </c:pt>
                <c:pt idx="1489">
                  <c:v>0.89477477477477474</c:v>
                </c:pt>
                <c:pt idx="1490">
                  <c:v>0.89477477477477474</c:v>
                </c:pt>
                <c:pt idx="1491">
                  <c:v>0.89477477477477474</c:v>
                </c:pt>
                <c:pt idx="1492">
                  <c:v>0.89477477477477474</c:v>
                </c:pt>
                <c:pt idx="1493">
                  <c:v>0.89477477477477474</c:v>
                </c:pt>
                <c:pt idx="1494">
                  <c:v>0.89477477477477474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69-4882-946F-7481CF690CC4}"/>
            </c:ext>
          </c:extLst>
        </c:ser>
        <c:ser>
          <c:idx val="3"/>
          <c:order val="3"/>
          <c:tx>
            <c:strRef>
              <c:f>BASE!$U$1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BASE!$A$2:$A$1496</c:f>
              <c:numCache>
                <c:formatCode>m/d/yyyy</c:formatCode>
                <c:ptCount val="1495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</c:numCache>
            </c:numRef>
          </c:cat>
          <c:val>
            <c:numRef>
              <c:f>BASE!$U$2:$U$1496</c:f>
              <c:numCache>
                <c:formatCode>0%</c:formatCode>
                <c:ptCount val="1495"/>
                <c:pt idx="0">
                  <c:v>9.9522679735784728E-2</c:v>
                </c:pt>
                <c:pt idx="1">
                  <c:v>9.9522679735784728E-2</c:v>
                </c:pt>
                <c:pt idx="2">
                  <c:v>9.9522679735784728E-2</c:v>
                </c:pt>
                <c:pt idx="3">
                  <c:v>9.9522679735784728E-2</c:v>
                </c:pt>
                <c:pt idx="4">
                  <c:v>0.1002680116167799</c:v>
                </c:pt>
                <c:pt idx="5">
                  <c:v>0.1002680116167799</c:v>
                </c:pt>
                <c:pt idx="6">
                  <c:v>0.1002680116167799</c:v>
                </c:pt>
                <c:pt idx="7">
                  <c:v>0.1002680116167799</c:v>
                </c:pt>
                <c:pt idx="8">
                  <c:v>0.1002680116167799</c:v>
                </c:pt>
                <c:pt idx="9">
                  <c:v>0.1002680116167799</c:v>
                </c:pt>
                <c:pt idx="10">
                  <c:v>0.1002680116167799</c:v>
                </c:pt>
                <c:pt idx="11">
                  <c:v>9.8793172310861654E-2</c:v>
                </c:pt>
                <c:pt idx="12">
                  <c:v>9.8793172310861654E-2</c:v>
                </c:pt>
                <c:pt idx="13">
                  <c:v>9.8793172310861654E-2</c:v>
                </c:pt>
                <c:pt idx="14">
                  <c:v>9.8793172310861654E-2</c:v>
                </c:pt>
                <c:pt idx="15">
                  <c:v>9.8793172310861654E-2</c:v>
                </c:pt>
                <c:pt idx="16">
                  <c:v>9.8793172310861654E-2</c:v>
                </c:pt>
                <c:pt idx="17">
                  <c:v>9.8793172310861654E-2</c:v>
                </c:pt>
                <c:pt idx="18">
                  <c:v>9.7407350968041886E-2</c:v>
                </c:pt>
                <c:pt idx="19">
                  <c:v>0.1007351379896725</c:v>
                </c:pt>
                <c:pt idx="20">
                  <c:v>0.1007351379896725</c:v>
                </c:pt>
                <c:pt idx="21">
                  <c:v>0.1007351379896725</c:v>
                </c:pt>
                <c:pt idx="22">
                  <c:v>0.1007351379896725</c:v>
                </c:pt>
                <c:pt idx="23">
                  <c:v>0.1007351379896725</c:v>
                </c:pt>
                <c:pt idx="24">
                  <c:v>0.10818342380186029</c:v>
                </c:pt>
                <c:pt idx="25">
                  <c:v>0.11911556365108278</c:v>
                </c:pt>
                <c:pt idx="26">
                  <c:v>0.10237017133568858</c:v>
                </c:pt>
                <c:pt idx="27">
                  <c:v>0.10237017133568858</c:v>
                </c:pt>
                <c:pt idx="28">
                  <c:v>0.10237017133568858</c:v>
                </c:pt>
                <c:pt idx="29">
                  <c:v>0.10237017133568858</c:v>
                </c:pt>
                <c:pt idx="30">
                  <c:v>0.10237017133568858</c:v>
                </c:pt>
                <c:pt idx="31">
                  <c:v>0.10475049119116915</c:v>
                </c:pt>
                <c:pt idx="32">
                  <c:v>0.10473291194781449</c:v>
                </c:pt>
                <c:pt idx="33">
                  <c:v>0.10481305941916176</c:v>
                </c:pt>
                <c:pt idx="34">
                  <c:v>0.10481305941916176</c:v>
                </c:pt>
                <c:pt idx="35">
                  <c:v>0.10481305941916176</c:v>
                </c:pt>
                <c:pt idx="36">
                  <c:v>0.10481305941916176</c:v>
                </c:pt>
                <c:pt idx="37">
                  <c:v>0.10481305941916176</c:v>
                </c:pt>
                <c:pt idx="38">
                  <c:v>0.10481305941916176</c:v>
                </c:pt>
                <c:pt idx="39">
                  <c:v>0.10177746701510282</c:v>
                </c:pt>
                <c:pt idx="40">
                  <c:v>0.10177746701510282</c:v>
                </c:pt>
                <c:pt idx="41">
                  <c:v>0.10177746701510282</c:v>
                </c:pt>
                <c:pt idx="42">
                  <c:v>0.10177746701510282</c:v>
                </c:pt>
                <c:pt idx="43">
                  <c:v>0.10177746701510282</c:v>
                </c:pt>
                <c:pt idx="44">
                  <c:v>0.10177746701510282</c:v>
                </c:pt>
                <c:pt idx="45">
                  <c:v>0.10177746701510282</c:v>
                </c:pt>
                <c:pt idx="46">
                  <c:v>9.7241637163668862E-2</c:v>
                </c:pt>
                <c:pt idx="47">
                  <c:v>9.7241637163668862E-2</c:v>
                </c:pt>
                <c:pt idx="48">
                  <c:v>9.7241637163668862E-2</c:v>
                </c:pt>
                <c:pt idx="49">
                  <c:v>9.7241637163668862E-2</c:v>
                </c:pt>
                <c:pt idx="50">
                  <c:v>9.7241637163668862E-2</c:v>
                </c:pt>
                <c:pt idx="51">
                  <c:v>9.7241637163668862E-2</c:v>
                </c:pt>
                <c:pt idx="52">
                  <c:v>9.7241637163668862E-2</c:v>
                </c:pt>
                <c:pt idx="53">
                  <c:v>9.7241637163668862E-2</c:v>
                </c:pt>
                <c:pt idx="54">
                  <c:v>9.7241637163668862E-2</c:v>
                </c:pt>
                <c:pt idx="55">
                  <c:v>9.7241637163668862E-2</c:v>
                </c:pt>
                <c:pt idx="56">
                  <c:v>9.7241637163668862E-2</c:v>
                </c:pt>
                <c:pt idx="57">
                  <c:v>9.7241637163668862E-2</c:v>
                </c:pt>
                <c:pt idx="58">
                  <c:v>9.7241637163668862E-2</c:v>
                </c:pt>
                <c:pt idx="59">
                  <c:v>9.7241637163668862E-2</c:v>
                </c:pt>
                <c:pt idx="60">
                  <c:v>9.5587426974522258E-2</c:v>
                </c:pt>
                <c:pt idx="61">
                  <c:v>0.10399255410207005</c:v>
                </c:pt>
                <c:pt idx="62">
                  <c:v>0.10399255410207005</c:v>
                </c:pt>
                <c:pt idx="63">
                  <c:v>0.10399255410207005</c:v>
                </c:pt>
                <c:pt idx="64">
                  <c:v>0.10399255410207005</c:v>
                </c:pt>
                <c:pt idx="65">
                  <c:v>0.10399255410207005</c:v>
                </c:pt>
                <c:pt idx="66">
                  <c:v>0.10399255410207005</c:v>
                </c:pt>
                <c:pt idx="67">
                  <c:v>0.10399255410207005</c:v>
                </c:pt>
                <c:pt idx="68">
                  <c:v>0.10399255410207005</c:v>
                </c:pt>
                <c:pt idx="69">
                  <c:v>0.10399255410207005</c:v>
                </c:pt>
                <c:pt idx="70">
                  <c:v>0.10399255410207005</c:v>
                </c:pt>
                <c:pt idx="71">
                  <c:v>0.10399255410207005</c:v>
                </c:pt>
                <c:pt idx="72">
                  <c:v>0.10399255410207005</c:v>
                </c:pt>
                <c:pt idx="73">
                  <c:v>0.10399255410207005</c:v>
                </c:pt>
                <c:pt idx="74">
                  <c:v>0.10399255410207005</c:v>
                </c:pt>
                <c:pt idx="75">
                  <c:v>0.10399255410207005</c:v>
                </c:pt>
                <c:pt idx="76">
                  <c:v>0.10399255410207005</c:v>
                </c:pt>
                <c:pt idx="77">
                  <c:v>0.10399255410207005</c:v>
                </c:pt>
                <c:pt idx="78">
                  <c:v>0.10399255410207005</c:v>
                </c:pt>
                <c:pt idx="79">
                  <c:v>0.10399255410207005</c:v>
                </c:pt>
                <c:pt idx="80">
                  <c:v>0.10399255410207005</c:v>
                </c:pt>
                <c:pt idx="81">
                  <c:v>0.10400776094024218</c:v>
                </c:pt>
                <c:pt idx="82">
                  <c:v>0.10393770349313557</c:v>
                </c:pt>
                <c:pt idx="83">
                  <c:v>0.10393770349313557</c:v>
                </c:pt>
                <c:pt idx="84">
                  <c:v>0.10393770349313557</c:v>
                </c:pt>
                <c:pt idx="85">
                  <c:v>0.10393770349313557</c:v>
                </c:pt>
                <c:pt idx="86">
                  <c:v>0.10393770349313557</c:v>
                </c:pt>
                <c:pt idx="87">
                  <c:v>0.1103945235092776</c:v>
                </c:pt>
                <c:pt idx="88">
                  <c:v>0.10890627144229449</c:v>
                </c:pt>
                <c:pt idx="89">
                  <c:v>0.1093109856652083</c:v>
                </c:pt>
                <c:pt idx="90">
                  <c:v>0.1093109856652083</c:v>
                </c:pt>
                <c:pt idx="91">
                  <c:v>0.1093109856652083</c:v>
                </c:pt>
                <c:pt idx="92">
                  <c:v>0.1093109856652083</c:v>
                </c:pt>
                <c:pt idx="93">
                  <c:v>0.1093109856652083</c:v>
                </c:pt>
                <c:pt idx="94">
                  <c:v>0.1093109856652083</c:v>
                </c:pt>
                <c:pt idx="95">
                  <c:v>0.1093109856652083</c:v>
                </c:pt>
                <c:pt idx="96">
                  <c:v>0.1093109856652083</c:v>
                </c:pt>
                <c:pt idx="97">
                  <c:v>0.1093109856652083</c:v>
                </c:pt>
                <c:pt idx="98">
                  <c:v>0.1093109856652083</c:v>
                </c:pt>
                <c:pt idx="99">
                  <c:v>0.1093109856652083</c:v>
                </c:pt>
                <c:pt idx="100">
                  <c:v>0.1093109856652083</c:v>
                </c:pt>
                <c:pt idx="101">
                  <c:v>0.1093109856652083</c:v>
                </c:pt>
                <c:pt idx="102">
                  <c:v>0.1093109856652083</c:v>
                </c:pt>
                <c:pt idx="103">
                  <c:v>0.1093109856652083</c:v>
                </c:pt>
                <c:pt idx="104">
                  <c:v>0.1093109856652083</c:v>
                </c:pt>
                <c:pt idx="105">
                  <c:v>0.1093109856652083</c:v>
                </c:pt>
                <c:pt idx="106">
                  <c:v>0.1093109856652083</c:v>
                </c:pt>
                <c:pt idx="107">
                  <c:v>0.1093109856652083</c:v>
                </c:pt>
                <c:pt idx="108">
                  <c:v>0.1093109856652083</c:v>
                </c:pt>
                <c:pt idx="109">
                  <c:v>0.1093109856652083</c:v>
                </c:pt>
                <c:pt idx="110">
                  <c:v>0.1093109856652083</c:v>
                </c:pt>
                <c:pt idx="111">
                  <c:v>0.1093109856652083</c:v>
                </c:pt>
                <c:pt idx="112">
                  <c:v>0.1093109856652083</c:v>
                </c:pt>
                <c:pt idx="113">
                  <c:v>0.1093109856652083</c:v>
                </c:pt>
                <c:pt idx="114">
                  <c:v>0.1093109856652083</c:v>
                </c:pt>
                <c:pt idx="115">
                  <c:v>0.1093109856652083</c:v>
                </c:pt>
                <c:pt idx="116">
                  <c:v>0.1093109856652083</c:v>
                </c:pt>
                <c:pt idx="117">
                  <c:v>0.1093109856652083</c:v>
                </c:pt>
                <c:pt idx="118">
                  <c:v>0.1093109856652083</c:v>
                </c:pt>
                <c:pt idx="119">
                  <c:v>0.1093109856652083</c:v>
                </c:pt>
                <c:pt idx="120">
                  <c:v>0.1093109856652083</c:v>
                </c:pt>
                <c:pt idx="121">
                  <c:v>0.1093109856652083</c:v>
                </c:pt>
                <c:pt idx="122">
                  <c:v>0.1093109856652083</c:v>
                </c:pt>
                <c:pt idx="123">
                  <c:v>0.1093109856652083</c:v>
                </c:pt>
                <c:pt idx="124">
                  <c:v>0.1093109856652083</c:v>
                </c:pt>
                <c:pt idx="125">
                  <c:v>0.1093109856652083</c:v>
                </c:pt>
                <c:pt idx="126">
                  <c:v>0.1093109856652083</c:v>
                </c:pt>
                <c:pt idx="127">
                  <c:v>0.1093109856652083</c:v>
                </c:pt>
                <c:pt idx="128">
                  <c:v>0.1093109856652083</c:v>
                </c:pt>
                <c:pt idx="129">
                  <c:v>0.1093109856652083</c:v>
                </c:pt>
                <c:pt idx="130">
                  <c:v>0.1093109856652083</c:v>
                </c:pt>
                <c:pt idx="131">
                  <c:v>0.1093109856652083</c:v>
                </c:pt>
                <c:pt idx="132">
                  <c:v>0.1093109856652083</c:v>
                </c:pt>
                <c:pt idx="133">
                  <c:v>0.1093109856652083</c:v>
                </c:pt>
                <c:pt idx="134">
                  <c:v>0.1093109856652083</c:v>
                </c:pt>
                <c:pt idx="135">
                  <c:v>0.1093109856652083</c:v>
                </c:pt>
                <c:pt idx="136">
                  <c:v>0.1093109856652083</c:v>
                </c:pt>
                <c:pt idx="137">
                  <c:v>0.116470552371662</c:v>
                </c:pt>
                <c:pt idx="138">
                  <c:v>0.116470552371662</c:v>
                </c:pt>
                <c:pt idx="139">
                  <c:v>0.116470552371662</c:v>
                </c:pt>
                <c:pt idx="140">
                  <c:v>0.116470552371662</c:v>
                </c:pt>
                <c:pt idx="141">
                  <c:v>0.116470552371662</c:v>
                </c:pt>
                <c:pt idx="142">
                  <c:v>0.116470552371662</c:v>
                </c:pt>
                <c:pt idx="143">
                  <c:v>0.12388373819772636</c:v>
                </c:pt>
                <c:pt idx="144">
                  <c:v>0.1258347992440135</c:v>
                </c:pt>
                <c:pt idx="145">
                  <c:v>0.11842161341794916</c:v>
                </c:pt>
                <c:pt idx="146">
                  <c:v>0.11842161341794916</c:v>
                </c:pt>
                <c:pt idx="147">
                  <c:v>0.11842161341794916</c:v>
                </c:pt>
                <c:pt idx="148">
                  <c:v>0.11842161341794916</c:v>
                </c:pt>
                <c:pt idx="149">
                  <c:v>0.11842161341794916</c:v>
                </c:pt>
                <c:pt idx="150">
                  <c:v>0.11842161341794916</c:v>
                </c:pt>
                <c:pt idx="151">
                  <c:v>0.11842161341794916</c:v>
                </c:pt>
                <c:pt idx="152">
                  <c:v>0.11842161341794916</c:v>
                </c:pt>
                <c:pt idx="153">
                  <c:v>0.11842161341794916</c:v>
                </c:pt>
                <c:pt idx="154">
                  <c:v>0.11842161341794916</c:v>
                </c:pt>
                <c:pt idx="155">
                  <c:v>0.11842161341794916</c:v>
                </c:pt>
                <c:pt idx="156">
                  <c:v>0.11842161341794916</c:v>
                </c:pt>
                <c:pt idx="157">
                  <c:v>0.11842161341794916</c:v>
                </c:pt>
                <c:pt idx="158">
                  <c:v>0.11735703083087555</c:v>
                </c:pt>
                <c:pt idx="159">
                  <c:v>0.10221239960264594</c:v>
                </c:pt>
                <c:pt idx="160">
                  <c:v>0.10221239960264594</c:v>
                </c:pt>
                <c:pt idx="161">
                  <c:v>0.10221239960264594</c:v>
                </c:pt>
                <c:pt idx="162">
                  <c:v>0.10221239960264594</c:v>
                </c:pt>
                <c:pt idx="163">
                  <c:v>0.10221239960264594</c:v>
                </c:pt>
                <c:pt idx="164">
                  <c:v>0.10221239960264594</c:v>
                </c:pt>
                <c:pt idx="165">
                  <c:v>0.10221239960264594</c:v>
                </c:pt>
                <c:pt idx="166">
                  <c:v>0.10221239960264594</c:v>
                </c:pt>
                <c:pt idx="167">
                  <c:v>0.10221239960264594</c:v>
                </c:pt>
                <c:pt idx="168">
                  <c:v>0.10221239960264594</c:v>
                </c:pt>
                <c:pt idx="169">
                  <c:v>0.10221239960264594</c:v>
                </c:pt>
                <c:pt idx="170">
                  <c:v>0.10221239960264594</c:v>
                </c:pt>
                <c:pt idx="171">
                  <c:v>0.10221239960264594</c:v>
                </c:pt>
                <c:pt idx="172">
                  <c:v>0.10221239960264594</c:v>
                </c:pt>
                <c:pt idx="173">
                  <c:v>8.7067768374416363E-2</c:v>
                </c:pt>
                <c:pt idx="174">
                  <c:v>8.7067768374416363E-2</c:v>
                </c:pt>
                <c:pt idx="175">
                  <c:v>8.7067768374416363E-2</c:v>
                </c:pt>
                <c:pt idx="176">
                  <c:v>8.7067768374416363E-2</c:v>
                </c:pt>
                <c:pt idx="177">
                  <c:v>8.7067768374416363E-2</c:v>
                </c:pt>
                <c:pt idx="178">
                  <c:v>9.7661627821715488E-2</c:v>
                </c:pt>
                <c:pt idx="179">
                  <c:v>8.7724621344916612E-2</c:v>
                </c:pt>
                <c:pt idx="180">
                  <c:v>0.10286925257314622</c:v>
                </c:pt>
                <c:pt idx="181">
                  <c:v>0.10286925257314622</c:v>
                </c:pt>
                <c:pt idx="182">
                  <c:v>0.10286925257314622</c:v>
                </c:pt>
                <c:pt idx="183">
                  <c:v>0.10286925257314622</c:v>
                </c:pt>
                <c:pt idx="184">
                  <c:v>0.10286925257314622</c:v>
                </c:pt>
                <c:pt idx="185">
                  <c:v>0.10286925257314622</c:v>
                </c:pt>
                <c:pt idx="186">
                  <c:v>0.10286925257314622</c:v>
                </c:pt>
                <c:pt idx="187">
                  <c:v>0.10294497572928736</c:v>
                </c:pt>
                <c:pt idx="188">
                  <c:v>0.10294497572928736</c:v>
                </c:pt>
                <c:pt idx="189">
                  <c:v>0.10294497572928736</c:v>
                </c:pt>
                <c:pt idx="190">
                  <c:v>0.10294497572928736</c:v>
                </c:pt>
                <c:pt idx="191">
                  <c:v>0.10294497572928736</c:v>
                </c:pt>
                <c:pt idx="192">
                  <c:v>0.10294497572928736</c:v>
                </c:pt>
                <c:pt idx="193">
                  <c:v>0.10294497572928736</c:v>
                </c:pt>
                <c:pt idx="194">
                  <c:v>0.10302069888542852</c:v>
                </c:pt>
                <c:pt idx="195">
                  <c:v>0.10302069888542852</c:v>
                </c:pt>
                <c:pt idx="196">
                  <c:v>0.10302069888542852</c:v>
                </c:pt>
                <c:pt idx="197">
                  <c:v>0.10302069888542852</c:v>
                </c:pt>
                <c:pt idx="198">
                  <c:v>0.10302069888542852</c:v>
                </c:pt>
                <c:pt idx="199">
                  <c:v>0.10302069888542852</c:v>
                </c:pt>
                <c:pt idx="200">
                  <c:v>0.10302069888542852</c:v>
                </c:pt>
                <c:pt idx="201">
                  <c:v>8.7724621344916612E-2</c:v>
                </c:pt>
                <c:pt idx="202">
                  <c:v>8.7724621344916612E-2</c:v>
                </c:pt>
                <c:pt idx="203">
                  <c:v>8.7724621344916612E-2</c:v>
                </c:pt>
                <c:pt idx="204">
                  <c:v>8.7724621344916612E-2</c:v>
                </c:pt>
                <c:pt idx="205">
                  <c:v>8.7724621344916612E-2</c:v>
                </c:pt>
                <c:pt idx="206">
                  <c:v>9.9043057460429337E-2</c:v>
                </c:pt>
                <c:pt idx="207">
                  <c:v>0.12466249301196985</c:v>
                </c:pt>
                <c:pt idx="208">
                  <c:v>6.0836501901140684E-2</c:v>
                </c:pt>
                <c:pt idx="209">
                  <c:v>6.0836501901140684E-2</c:v>
                </c:pt>
                <c:pt idx="210">
                  <c:v>6.0836501901140684E-2</c:v>
                </c:pt>
                <c:pt idx="211">
                  <c:v>6.0836501901140684E-2</c:v>
                </c:pt>
                <c:pt idx="212">
                  <c:v>6.0836501901140684E-2</c:v>
                </c:pt>
                <c:pt idx="213">
                  <c:v>6.0836501901140684E-2</c:v>
                </c:pt>
                <c:pt idx="214">
                  <c:v>6.1285909712722297E-2</c:v>
                </c:pt>
                <c:pt idx="215">
                  <c:v>5.1983584131326949E-2</c:v>
                </c:pt>
                <c:pt idx="216">
                  <c:v>5.1983584131326949E-2</c:v>
                </c:pt>
                <c:pt idx="217">
                  <c:v>5.1983584131326949E-2</c:v>
                </c:pt>
                <c:pt idx="218">
                  <c:v>5.1983584131326949E-2</c:v>
                </c:pt>
                <c:pt idx="219">
                  <c:v>5.1983584131326949E-2</c:v>
                </c:pt>
                <c:pt idx="220">
                  <c:v>5.1983584131326949E-2</c:v>
                </c:pt>
                <c:pt idx="221">
                  <c:v>5.1983584131326949E-2</c:v>
                </c:pt>
                <c:pt idx="222">
                  <c:v>5.1983584131326949E-2</c:v>
                </c:pt>
                <c:pt idx="223">
                  <c:v>5.1983584131326949E-2</c:v>
                </c:pt>
                <c:pt idx="224">
                  <c:v>5.1983584131326949E-2</c:v>
                </c:pt>
                <c:pt idx="225">
                  <c:v>5.1983584131326949E-2</c:v>
                </c:pt>
                <c:pt idx="226">
                  <c:v>5.1983584131326949E-2</c:v>
                </c:pt>
                <c:pt idx="227">
                  <c:v>5.1983584131326949E-2</c:v>
                </c:pt>
                <c:pt idx="228">
                  <c:v>5.1983584131326949E-2</c:v>
                </c:pt>
                <c:pt idx="229">
                  <c:v>5.1983584131326949E-2</c:v>
                </c:pt>
                <c:pt idx="230">
                  <c:v>5.1983584131326949E-2</c:v>
                </c:pt>
                <c:pt idx="231">
                  <c:v>5.1983584131326949E-2</c:v>
                </c:pt>
                <c:pt idx="232">
                  <c:v>5.1983584131326949E-2</c:v>
                </c:pt>
                <c:pt idx="233">
                  <c:v>5.1983584131326949E-2</c:v>
                </c:pt>
                <c:pt idx="234">
                  <c:v>5.1983584131326949E-2</c:v>
                </c:pt>
                <c:pt idx="235">
                  <c:v>5.1983584131326949E-2</c:v>
                </c:pt>
                <c:pt idx="236">
                  <c:v>5.1983584131326949E-2</c:v>
                </c:pt>
                <c:pt idx="237">
                  <c:v>5.1983584131326949E-2</c:v>
                </c:pt>
                <c:pt idx="238">
                  <c:v>5.1983584131326949E-2</c:v>
                </c:pt>
                <c:pt idx="239">
                  <c:v>5.1983584131326949E-2</c:v>
                </c:pt>
                <c:pt idx="240">
                  <c:v>5.1983584131326949E-2</c:v>
                </c:pt>
                <c:pt idx="241">
                  <c:v>5.1983584131326949E-2</c:v>
                </c:pt>
                <c:pt idx="242">
                  <c:v>5.3748231966053744E-2</c:v>
                </c:pt>
                <c:pt idx="243">
                  <c:v>5.3748231966053744E-2</c:v>
                </c:pt>
                <c:pt idx="244">
                  <c:v>5.3748231966053744E-2</c:v>
                </c:pt>
                <c:pt idx="245">
                  <c:v>5.3748231966053744E-2</c:v>
                </c:pt>
                <c:pt idx="246">
                  <c:v>5.3748231966053744E-2</c:v>
                </c:pt>
                <c:pt idx="247">
                  <c:v>5.3748231966053744E-2</c:v>
                </c:pt>
                <c:pt idx="248">
                  <c:v>5.3748231966053744E-2</c:v>
                </c:pt>
                <c:pt idx="249">
                  <c:v>5.3748231966053744E-2</c:v>
                </c:pt>
                <c:pt idx="250">
                  <c:v>4.2432814710042434E-2</c:v>
                </c:pt>
                <c:pt idx="251">
                  <c:v>4.2432814710042434E-2</c:v>
                </c:pt>
                <c:pt idx="252">
                  <c:v>4.2432814710042434E-2</c:v>
                </c:pt>
                <c:pt idx="253">
                  <c:v>4.2432814710042434E-2</c:v>
                </c:pt>
                <c:pt idx="254">
                  <c:v>4.2432814710042434E-2</c:v>
                </c:pt>
                <c:pt idx="255">
                  <c:v>4.2432814710042434E-2</c:v>
                </c:pt>
                <c:pt idx="256">
                  <c:v>4.3668122270742356E-2</c:v>
                </c:pt>
                <c:pt idx="257">
                  <c:v>3.3964095099466275E-2</c:v>
                </c:pt>
                <c:pt idx="258">
                  <c:v>3.3964095099466275E-2</c:v>
                </c:pt>
                <c:pt idx="259">
                  <c:v>3.3964095099466275E-2</c:v>
                </c:pt>
                <c:pt idx="260">
                  <c:v>3.3964095099466275E-2</c:v>
                </c:pt>
                <c:pt idx="261">
                  <c:v>3.3964095099466275E-2</c:v>
                </c:pt>
                <c:pt idx="262">
                  <c:v>3.3964095099466275E-2</c:v>
                </c:pt>
                <c:pt idx="263">
                  <c:v>3.4982508745627187E-2</c:v>
                </c:pt>
                <c:pt idx="264">
                  <c:v>2.4987506246876564E-2</c:v>
                </c:pt>
                <c:pt idx="265">
                  <c:v>2.4987506246876564E-2</c:v>
                </c:pt>
                <c:pt idx="266">
                  <c:v>2.4987506246876564E-2</c:v>
                </c:pt>
                <c:pt idx="267">
                  <c:v>2.4987506246876564E-2</c:v>
                </c:pt>
                <c:pt idx="268">
                  <c:v>2.4987506246876564E-2</c:v>
                </c:pt>
                <c:pt idx="269">
                  <c:v>2.4987506246876564E-2</c:v>
                </c:pt>
                <c:pt idx="270">
                  <c:v>2.4987506246876564E-2</c:v>
                </c:pt>
                <c:pt idx="271">
                  <c:v>2.4987506246876564E-2</c:v>
                </c:pt>
                <c:pt idx="272">
                  <c:v>2.4987506246876564E-2</c:v>
                </c:pt>
                <c:pt idx="273">
                  <c:v>2.4987506246876564E-2</c:v>
                </c:pt>
                <c:pt idx="274">
                  <c:v>2.4987506246876564E-2</c:v>
                </c:pt>
                <c:pt idx="275">
                  <c:v>2.4987506246876564E-2</c:v>
                </c:pt>
                <c:pt idx="276">
                  <c:v>2.4987506246876564E-2</c:v>
                </c:pt>
                <c:pt idx="277">
                  <c:v>2.2925263640531865E-2</c:v>
                </c:pt>
                <c:pt idx="278">
                  <c:v>9.170105456212746E-3</c:v>
                </c:pt>
                <c:pt idx="279">
                  <c:v>9.170105456212746E-3</c:v>
                </c:pt>
                <c:pt idx="280">
                  <c:v>9.170105456212746E-3</c:v>
                </c:pt>
                <c:pt idx="281">
                  <c:v>9.170105456212746E-3</c:v>
                </c:pt>
                <c:pt idx="282">
                  <c:v>9.170105456212746E-3</c:v>
                </c:pt>
                <c:pt idx="283">
                  <c:v>9.170105456212746E-3</c:v>
                </c:pt>
                <c:pt idx="284">
                  <c:v>8.9245872378402504E-3</c:v>
                </c:pt>
                <c:pt idx="285">
                  <c:v>3.1236055332440876E-2</c:v>
                </c:pt>
                <c:pt idx="286">
                  <c:v>3.1236055332440876E-2</c:v>
                </c:pt>
                <c:pt idx="287">
                  <c:v>3.1236055332440876E-2</c:v>
                </c:pt>
                <c:pt idx="288">
                  <c:v>3.1236055332440876E-2</c:v>
                </c:pt>
                <c:pt idx="289">
                  <c:v>3.1236055332440876E-2</c:v>
                </c:pt>
                <c:pt idx="290">
                  <c:v>3.1236055332440876E-2</c:v>
                </c:pt>
                <c:pt idx="291">
                  <c:v>3.1236055332440876E-2</c:v>
                </c:pt>
                <c:pt idx="292">
                  <c:v>3.1236055332440876E-2</c:v>
                </c:pt>
                <c:pt idx="293">
                  <c:v>3.1236055332440876E-2</c:v>
                </c:pt>
                <c:pt idx="294">
                  <c:v>3.1236055332440876E-2</c:v>
                </c:pt>
                <c:pt idx="295">
                  <c:v>3.1236055332440876E-2</c:v>
                </c:pt>
                <c:pt idx="296">
                  <c:v>3.1236055332440876E-2</c:v>
                </c:pt>
                <c:pt idx="297">
                  <c:v>3.1236055332440876E-2</c:v>
                </c:pt>
                <c:pt idx="298">
                  <c:v>3.1236055332440876E-2</c:v>
                </c:pt>
                <c:pt idx="299">
                  <c:v>3.1236055332440876E-2</c:v>
                </c:pt>
                <c:pt idx="300">
                  <c:v>3.1236055332440876E-2</c:v>
                </c:pt>
                <c:pt idx="301">
                  <c:v>3.1236055332440876E-2</c:v>
                </c:pt>
                <c:pt idx="302">
                  <c:v>3.1236055332440876E-2</c:v>
                </c:pt>
                <c:pt idx="303">
                  <c:v>3.1236055332440876E-2</c:v>
                </c:pt>
                <c:pt idx="304">
                  <c:v>3.1236055332440876E-2</c:v>
                </c:pt>
                <c:pt idx="305">
                  <c:v>3.1236055332440876E-2</c:v>
                </c:pt>
                <c:pt idx="306">
                  <c:v>3.1236055332440876E-2</c:v>
                </c:pt>
                <c:pt idx="307">
                  <c:v>3.1236055332440876E-2</c:v>
                </c:pt>
                <c:pt idx="308">
                  <c:v>3.1236055332440876E-2</c:v>
                </c:pt>
                <c:pt idx="309">
                  <c:v>3.1236055332440876E-2</c:v>
                </c:pt>
                <c:pt idx="310">
                  <c:v>3.1236055332440876E-2</c:v>
                </c:pt>
                <c:pt idx="311">
                  <c:v>3.1236055332440876E-2</c:v>
                </c:pt>
                <c:pt idx="312">
                  <c:v>3.2095369096744611E-2</c:v>
                </c:pt>
                <c:pt idx="313">
                  <c:v>2.2925263640531865E-2</c:v>
                </c:pt>
                <c:pt idx="314">
                  <c:v>2.2925263640531865E-2</c:v>
                </c:pt>
                <c:pt idx="315">
                  <c:v>2.2925263640531865E-2</c:v>
                </c:pt>
                <c:pt idx="316">
                  <c:v>2.2925263640531865E-2</c:v>
                </c:pt>
                <c:pt idx="317">
                  <c:v>2.2925263640531865E-2</c:v>
                </c:pt>
                <c:pt idx="318">
                  <c:v>2.2925263640531865E-2</c:v>
                </c:pt>
                <c:pt idx="319">
                  <c:v>2.2311468094600623E-2</c:v>
                </c:pt>
                <c:pt idx="320">
                  <c:v>3.1236055332440876E-2</c:v>
                </c:pt>
                <c:pt idx="321">
                  <c:v>3.1236055332440876E-2</c:v>
                </c:pt>
                <c:pt idx="322">
                  <c:v>3.1236055332440876E-2</c:v>
                </c:pt>
                <c:pt idx="323">
                  <c:v>3.1236055332440876E-2</c:v>
                </c:pt>
                <c:pt idx="324">
                  <c:v>3.1236055332440876E-2</c:v>
                </c:pt>
                <c:pt idx="325">
                  <c:v>3.1236055332440876E-2</c:v>
                </c:pt>
                <c:pt idx="326">
                  <c:v>3.1236055332440876E-2</c:v>
                </c:pt>
                <c:pt idx="327">
                  <c:v>3.1236055332440876E-2</c:v>
                </c:pt>
                <c:pt idx="328">
                  <c:v>3.1236055332440876E-2</c:v>
                </c:pt>
                <c:pt idx="329">
                  <c:v>3.1236055332440876E-2</c:v>
                </c:pt>
                <c:pt idx="330">
                  <c:v>3.1236055332440876E-2</c:v>
                </c:pt>
                <c:pt idx="331">
                  <c:v>3.1236055332440876E-2</c:v>
                </c:pt>
                <c:pt idx="332">
                  <c:v>3.1236055332440876E-2</c:v>
                </c:pt>
                <c:pt idx="333">
                  <c:v>3.1236055332440876E-2</c:v>
                </c:pt>
                <c:pt idx="334">
                  <c:v>3.1236055332440876E-2</c:v>
                </c:pt>
                <c:pt idx="335">
                  <c:v>3.1236055332440876E-2</c:v>
                </c:pt>
                <c:pt idx="336">
                  <c:v>3.1236055332440876E-2</c:v>
                </c:pt>
                <c:pt idx="337">
                  <c:v>3.1236055332440876E-2</c:v>
                </c:pt>
                <c:pt idx="338">
                  <c:v>3.1236055332440876E-2</c:v>
                </c:pt>
                <c:pt idx="339">
                  <c:v>3.1236055332440876E-2</c:v>
                </c:pt>
                <c:pt idx="340">
                  <c:v>3.0429490523387236E-2</c:v>
                </c:pt>
                <c:pt idx="341">
                  <c:v>3.7384802643018605E-2</c:v>
                </c:pt>
                <c:pt idx="342">
                  <c:v>3.7384802643018605E-2</c:v>
                </c:pt>
                <c:pt idx="343">
                  <c:v>3.7384802643018605E-2</c:v>
                </c:pt>
                <c:pt idx="344">
                  <c:v>3.7384802643018605E-2</c:v>
                </c:pt>
                <c:pt idx="345">
                  <c:v>3.7384802643018605E-2</c:v>
                </c:pt>
                <c:pt idx="346">
                  <c:v>3.7384802643018605E-2</c:v>
                </c:pt>
                <c:pt idx="347">
                  <c:v>3.7384802643018605E-2</c:v>
                </c:pt>
                <c:pt idx="348">
                  <c:v>3.7384802643018605E-2</c:v>
                </c:pt>
                <c:pt idx="349">
                  <c:v>3.7384802643018605E-2</c:v>
                </c:pt>
                <c:pt idx="350">
                  <c:v>3.7384802643018605E-2</c:v>
                </c:pt>
                <c:pt idx="351">
                  <c:v>3.7384802643018605E-2</c:v>
                </c:pt>
                <c:pt idx="352">
                  <c:v>3.7384802643018605E-2</c:v>
                </c:pt>
                <c:pt idx="353">
                  <c:v>3.7384802643018605E-2</c:v>
                </c:pt>
                <c:pt idx="354">
                  <c:v>3.7384802643018605E-2</c:v>
                </c:pt>
                <c:pt idx="355">
                  <c:v>3.7384802643018605E-2</c:v>
                </c:pt>
                <c:pt idx="356">
                  <c:v>3.7384802643018605E-2</c:v>
                </c:pt>
                <c:pt idx="357">
                  <c:v>3.7384802643018605E-2</c:v>
                </c:pt>
                <c:pt idx="358">
                  <c:v>3.7384802643018605E-2</c:v>
                </c:pt>
                <c:pt idx="359">
                  <c:v>3.7384802643018605E-2</c:v>
                </c:pt>
                <c:pt idx="360">
                  <c:v>3.7384802643018605E-2</c:v>
                </c:pt>
                <c:pt idx="361">
                  <c:v>0.12385608796963911</c:v>
                </c:pt>
                <c:pt idx="362">
                  <c:v>7.8720108917918433E-2</c:v>
                </c:pt>
                <c:pt idx="363">
                  <c:v>7.8720108917918433E-2</c:v>
                </c:pt>
                <c:pt idx="364">
                  <c:v>7.8720108917918433E-2</c:v>
                </c:pt>
                <c:pt idx="365">
                  <c:v>7.8720108917918433E-2</c:v>
                </c:pt>
                <c:pt idx="366">
                  <c:v>7.8720108917918433E-2</c:v>
                </c:pt>
                <c:pt idx="367">
                  <c:v>7.8720108917918433E-2</c:v>
                </c:pt>
                <c:pt idx="368">
                  <c:v>7.7802858523292287E-2</c:v>
                </c:pt>
                <c:pt idx="369">
                  <c:v>8.8181685715819524E-2</c:v>
                </c:pt>
                <c:pt idx="370">
                  <c:v>8.8181685715819524E-2</c:v>
                </c:pt>
                <c:pt idx="371">
                  <c:v>8.8181685715819524E-2</c:v>
                </c:pt>
                <c:pt idx="372">
                  <c:v>8.8181685715819524E-2</c:v>
                </c:pt>
                <c:pt idx="373">
                  <c:v>8.8181685715819524E-2</c:v>
                </c:pt>
                <c:pt idx="374">
                  <c:v>8.8181685715819524E-2</c:v>
                </c:pt>
                <c:pt idx="375">
                  <c:v>8.7930843991328833E-2</c:v>
                </c:pt>
                <c:pt idx="376">
                  <c:v>8.7930843991328833E-2</c:v>
                </c:pt>
                <c:pt idx="377">
                  <c:v>8.7930843991328833E-2</c:v>
                </c:pt>
                <c:pt idx="378">
                  <c:v>8.7930843991328833E-2</c:v>
                </c:pt>
                <c:pt idx="379">
                  <c:v>8.7930843991328833E-2</c:v>
                </c:pt>
                <c:pt idx="380">
                  <c:v>8.7930843991328833E-2</c:v>
                </c:pt>
                <c:pt idx="381">
                  <c:v>8.7930843991328833E-2</c:v>
                </c:pt>
                <c:pt idx="382">
                  <c:v>8.7930843991328833E-2</c:v>
                </c:pt>
                <c:pt idx="383">
                  <c:v>8.7930843991328833E-2</c:v>
                </c:pt>
                <c:pt idx="384">
                  <c:v>8.7930843991328833E-2</c:v>
                </c:pt>
                <c:pt idx="385">
                  <c:v>8.7930843991328833E-2</c:v>
                </c:pt>
                <c:pt idx="386">
                  <c:v>8.7930843991328833E-2</c:v>
                </c:pt>
                <c:pt idx="387">
                  <c:v>8.7930843991328833E-2</c:v>
                </c:pt>
                <c:pt idx="388">
                  <c:v>9.6473228455578944E-2</c:v>
                </c:pt>
                <c:pt idx="389">
                  <c:v>9.749650869499378E-2</c:v>
                </c:pt>
                <c:pt idx="390">
                  <c:v>8.8675833031237938E-2</c:v>
                </c:pt>
                <c:pt idx="391">
                  <c:v>8.8675833031237938E-2</c:v>
                </c:pt>
                <c:pt idx="392">
                  <c:v>8.8675833031237938E-2</c:v>
                </c:pt>
                <c:pt idx="393">
                  <c:v>8.8675833031237938E-2</c:v>
                </c:pt>
                <c:pt idx="394">
                  <c:v>8.8675833031237938E-2</c:v>
                </c:pt>
                <c:pt idx="395">
                  <c:v>8.8675833031237938E-2</c:v>
                </c:pt>
                <c:pt idx="396">
                  <c:v>9.2954618152854954E-2</c:v>
                </c:pt>
                <c:pt idx="397">
                  <c:v>9.2954618152854954E-2</c:v>
                </c:pt>
                <c:pt idx="398">
                  <c:v>7.286824675584784E-2</c:v>
                </c:pt>
                <c:pt idx="399">
                  <c:v>7.286824675584784E-2</c:v>
                </c:pt>
                <c:pt idx="400">
                  <c:v>7.286824675584784E-2</c:v>
                </c:pt>
                <c:pt idx="401">
                  <c:v>7.286824675584784E-2</c:v>
                </c:pt>
                <c:pt idx="402">
                  <c:v>7.286824675584784E-2</c:v>
                </c:pt>
                <c:pt idx="403">
                  <c:v>7.2093265292973885E-2</c:v>
                </c:pt>
                <c:pt idx="404">
                  <c:v>7.2093265292973885E-2</c:v>
                </c:pt>
                <c:pt idx="405">
                  <c:v>7.2093265292973885E-2</c:v>
                </c:pt>
                <c:pt idx="406">
                  <c:v>7.2093265292973885E-2</c:v>
                </c:pt>
                <c:pt idx="407">
                  <c:v>7.2093265292973885E-2</c:v>
                </c:pt>
                <c:pt idx="408">
                  <c:v>7.2093265292973885E-2</c:v>
                </c:pt>
                <c:pt idx="409">
                  <c:v>7.2093265292973885E-2</c:v>
                </c:pt>
                <c:pt idx="410">
                  <c:v>7.1442311634169961E-2</c:v>
                </c:pt>
                <c:pt idx="411">
                  <c:v>9.8719998486324886E-2</c:v>
                </c:pt>
                <c:pt idx="412">
                  <c:v>9.8719998486324886E-2</c:v>
                </c:pt>
                <c:pt idx="413">
                  <c:v>9.8719998486324886E-2</c:v>
                </c:pt>
                <c:pt idx="414">
                  <c:v>9.8719998486324886E-2</c:v>
                </c:pt>
                <c:pt idx="415">
                  <c:v>9.8719998486324886E-2</c:v>
                </c:pt>
                <c:pt idx="416">
                  <c:v>9.8719998486324886E-2</c:v>
                </c:pt>
                <c:pt idx="417">
                  <c:v>9.8719998486324886E-2</c:v>
                </c:pt>
                <c:pt idx="418">
                  <c:v>0.12675344014947704</c:v>
                </c:pt>
                <c:pt idx="419">
                  <c:v>0.12675344014947704</c:v>
                </c:pt>
                <c:pt idx="420">
                  <c:v>0.12675344014947704</c:v>
                </c:pt>
                <c:pt idx="421">
                  <c:v>0.12675344014947704</c:v>
                </c:pt>
                <c:pt idx="422">
                  <c:v>0.12675344014947704</c:v>
                </c:pt>
                <c:pt idx="423">
                  <c:v>0.12675344014947704</c:v>
                </c:pt>
                <c:pt idx="424">
                  <c:v>0.12443701280485246</c:v>
                </c:pt>
                <c:pt idx="425">
                  <c:v>0.12443701280485246</c:v>
                </c:pt>
                <c:pt idx="426">
                  <c:v>0.12443701280485246</c:v>
                </c:pt>
                <c:pt idx="427">
                  <c:v>0.12443701280485246</c:v>
                </c:pt>
                <c:pt idx="428">
                  <c:v>0.12443701280485246</c:v>
                </c:pt>
                <c:pt idx="429">
                  <c:v>0.12443701280485246</c:v>
                </c:pt>
                <c:pt idx="430">
                  <c:v>0.12443701280485246</c:v>
                </c:pt>
                <c:pt idx="431">
                  <c:v>0.12443701280485246</c:v>
                </c:pt>
                <c:pt idx="432">
                  <c:v>0.12443701280485246</c:v>
                </c:pt>
                <c:pt idx="433">
                  <c:v>0.12443701280485246</c:v>
                </c:pt>
                <c:pt idx="434">
                  <c:v>0.12443701280485246</c:v>
                </c:pt>
                <c:pt idx="435">
                  <c:v>0.12443701280485246</c:v>
                </c:pt>
                <c:pt idx="436">
                  <c:v>0.12443701280485246</c:v>
                </c:pt>
                <c:pt idx="437">
                  <c:v>0.12443701280485246</c:v>
                </c:pt>
                <c:pt idx="438">
                  <c:v>0.12443701280485246</c:v>
                </c:pt>
                <c:pt idx="439">
                  <c:v>0.12443701280485246</c:v>
                </c:pt>
                <c:pt idx="440">
                  <c:v>0.12443701280485246</c:v>
                </c:pt>
                <c:pt idx="441">
                  <c:v>0.12443701280485246</c:v>
                </c:pt>
                <c:pt idx="442">
                  <c:v>0.12443701280485246</c:v>
                </c:pt>
                <c:pt idx="443">
                  <c:v>0.12443701280485246</c:v>
                </c:pt>
                <c:pt idx="444">
                  <c:v>0.12443701280485246</c:v>
                </c:pt>
                <c:pt idx="445">
                  <c:v>0.12443701280485246</c:v>
                </c:pt>
                <c:pt idx="446">
                  <c:v>0.12443701280485246</c:v>
                </c:pt>
                <c:pt idx="447">
                  <c:v>0.12443701280485246</c:v>
                </c:pt>
                <c:pt idx="448">
                  <c:v>0.12443701280485246</c:v>
                </c:pt>
                <c:pt idx="449">
                  <c:v>0.12443701280485246</c:v>
                </c:pt>
                <c:pt idx="450">
                  <c:v>0.12443701280485246</c:v>
                </c:pt>
                <c:pt idx="451">
                  <c:v>0.11892138807417008</c:v>
                </c:pt>
                <c:pt idx="452">
                  <c:v>0.12146226155306911</c:v>
                </c:pt>
                <c:pt idx="453">
                  <c:v>0.10448395762070621</c:v>
                </c:pt>
                <c:pt idx="454">
                  <c:v>0.10448395762070621</c:v>
                </c:pt>
                <c:pt idx="455">
                  <c:v>0.10448395762070621</c:v>
                </c:pt>
                <c:pt idx="456">
                  <c:v>0.10448395762070621</c:v>
                </c:pt>
                <c:pt idx="457">
                  <c:v>0.10448395762070621</c:v>
                </c:pt>
                <c:pt idx="458">
                  <c:v>0.10448395762070621</c:v>
                </c:pt>
                <c:pt idx="459">
                  <c:v>0.10066109277413098</c:v>
                </c:pt>
                <c:pt idx="460">
                  <c:v>0.12600321137524603</c:v>
                </c:pt>
                <c:pt idx="461">
                  <c:v>0.12600321137524603</c:v>
                </c:pt>
                <c:pt idx="462">
                  <c:v>0.12600321137524603</c:v>
                </c:pt>
                <c:pt idx="463">
                  <c:v>0.12600321137524603</c:v>
                </c:pt>
                <c:pt idx="464">
                  <c:v>0.12600321137524603</c:v>
                </c:pt>
                <c:pt idx="465">
                  <c:v>0.12600321137524603</c:v>
                </c:pt>
                <c:pt idx="466">
                  <c:v>0.12711184754667929</c:v>
                </c:pt>
                <c:pt idx="467">
                  <c:v>0.11853404689476643</c:v>
                </c:pt>
                <c:pt idx="468">
                  <c:v>0.11853404689476643</c:v>
                </c:pt>
                <c:pt idx="469">
                  <c:v>0.11853404689476643</c:v>
                </c:pt>
                <c:pt idx="470">
                  <c:v>0.11853404689476643</c:v>
                </c:pt>
                <c:pt idx="471">
                  <c:v>0.11853404689476643</c:v>
                </c:pt>
                <c:pt idx="472">
                  <c:v>0.11853404689476643</c:v>
                </c:pt>
                <c:pt idx="473">
                  <c:v>0.11392342781526239</c:v>
                </c:pt>
                <c:pt idx="474">
                  <c:v>0.1218864792565747</c:v>
                </c:pt>
                <c:pt idx="475">
                  <c:v>0.1218864792565747</c:v>
                </c:pt>
                <c:pt idx="476">
                  <c:v>0.1218864792565747</c:v>
                </c:pt>
                <c:pt idx="477">
                  <c:v>0.1218864792565747</c:v>
                </c:pt>
                <c:pt idx="478">
                  <c:v>0.1218864792565747</c:v>
                </c:pt>
                <c:pt idx="479">
                  <c:v>0.18164605121126862</c:v>
                </c:pt>
                <c:pt idx="480">
                  <c:v>0.18022141735892905</c:v>
                </c:pt>
                <c:pt idx="481">
                  <c:v>0.17783731455641619</c:v>
                </c:pt>
                <c:pt idx="482">
                  <c:v>0.17783731455641619</c:v>
                </c:pt>
                <c:pt idx="483">
                  <c:v>0.17783731455641619</c:v>
                </c:pt>
                <c:pt idx="484">
                  <c:v>0.17783731455641619</c:v>
                </c:pt>
                <c:pt idx="485">
                  <c:v>0.17783731455641619</c:v>
                </c:pt>
                <c:pt idx="486">
                  <c:v>0.17783731455641619</c:v>
                </c:pt>
                <c:pt idx="487">
                  <c:v>0.17942403159182843</c:v>
                </c:pt>
                <c:pt idx="488">
                  <c:v>0.17144191154074287</c:v>
                </c:pt>
                <c:pt idx="489">
                  <c:v>0.17144191154074287</c:v>
                </c:pt>
                <c:pt idx="490">
                  <c:v>0.17144191154074287</c:v>
                </c:pt>
                <c:pt idx="491">
                  <c:v>0.17144191154074287</c:v>
                </c:pt>
                <c:pt idx="492">
                  <c:v>0.17144191154074287</c:v>
                </c:pt>
                <c:pt idx="493">
                  <c:v>0.17144191154074287</c:v>
                </c:pt>
                <c:pt idx="494">
                  <c:v>0.16844589286824715</c:v>
                </c:pt>
                <c:pt idx="495">
                  <c:v>0.1972599662683078</c:v>
                </c:pt>
                <c:pt idx="496">
                  <c:v>0.1972599662683078</c:v>
                </c:pt>
                <c:pt idx="497">
                  <c:v>0.1972599662683078</c:v>
                </c:pt>
                <c:pt idx="498">
                  <c:v>0.1972599662683078</c:v>
                </c:pt>
                <c:pt idx="499">
                  <c:v>0.1972599662683078</c:v>
                </c:pt>
                <c:pt idx="500">
                  <c:v>0.1972599662683078</c:v>
                </c:pt>
                <c:pt idx="501">
                  <c:v>0.19648734268750792</c:v>
                </c:pt>
                <c:pt idx="502">
                  <c:v>0.19648734268750792</c:v>
                </c:pt>
                <c:pt idx="503">
                  <c:v>0.19648734268750792</c:v>
                </c:pt>
                <c:pt idx="504">
                  <c:v>0.19648734268750792</c:v>
                </c:pt>
                <c:pt idx="505">
                  <c:v>0.19648734268750792</c:v>
                </c:pt>
                <c:pt idx="506">
                  <c:v>0.19648734268750792</c:v>
                </c:pt>
                <c:pt idx="507">
                  <c:v>0.19648734268750792</c:v>
                </c:pt>
                <c:pt idx="508">
                  <c:v>0.19569094341902735</c:v>
                </c:pt>
                <c:pt idx="509">
                  <c:v>0.1508883052570319</c:v>
                </c:pt>
                <c:pt idx="510">
                  <c:v>0.1508883052570319</c:v>
                </c:pt>
                <c:pt idx="511">
                  <c:v>0.1508883052570319</c:v>
                </c:pt>
                <c:pt idx="512">
                  <c:v>0.1508883052570319</c:v>
                </c:pt>
                <c:pt idx="513">
                  <c:v>0.1508883052570319</c:v>
                </c:pt>
                <c:pt idx="514">
                  <c:v>0.1508883052570319</c:v>
                </c:pt>
                <c:pt idx="515">
                  <c:v>0.1508883052570319</c:v>
                </c:pt>
                <c:pt idx="516">
                  <c:v>0.18278623189180063</c:v>
                </c:pt>
                <c:pt idx="517">
                  <c:v>0.18278623189180063</c:v>
                </c:pt>
                <c:pt idx="518">
                  <c:v>0.18278623189180063</c:v>
                </c:pt>
                <c:pt idx="519">
                  <c:v>0.18278623189180063</c:v>
                </c:pt>
                <c:pt idx="520">
                  <c:v>0.18278623189180063</c:v>
                </c:pt>
                <c:pt idx="521">
                  <c:v>0.18278623189180063</c:v>
                </c:pt>
                <c:pt idx="522">
                  <c:v>0.19373299559058074</c:v>
                </c:pt>
                <c:pt idx="523">
                  <c:v>0.17362238724467827</c:v>
                </c:pt>
                <c:pt idx="524">
                  <c:v>0.17362238724467827</c:v>
                </c:pt>
                <c:pt idx="525">
                  <c:v>0.17362238724467827</c:v>
                </c:pt>
                <c:pt idx="526">
                  <c:v>0.17362238724467827</c:v>
                </c:pt>
                <c:pt idx="527">
                  <c:v>0.17362238724467827</c:v>
                </c:pt>
                <c:pt idx="528">
                  <c:v>0.17362238724467827</c:v>
                </c:pt>
                <c:pt idx="529">
                  <c:v>0.16196141564607622</c:v>
                </c:pt>
                <c:pt idx="530">
                  <c:v>0.22609138571875684</c:v>
                </c:pt>
                <c:pt idx="531">
                  <c:v>0.22609138571875684</c:v>
                </c:pt>
                <c:pt idx="532">
                  <c:v>0.22609138571875684</c:v>
                </c:pt>
                <c:pt idx="533">
                  <c:v>0.22609138571875684</c:v>
                </c:pt>
                <c:pt idx="534">
                  <c:v>0.22609138571875684</c:v>
                </c:pt>
                <c:pt idx="535">
                  <c:v>0.22609138571875684</c:v>
                </c:pt>
                <c:pt idx="536">
                  <c:v>0.21902576534708826</c:v>
                </c:pt>
                <c:pt idx="537">
                  <c:v>0.22980888975738614</c:v>
                </c:pt>
                <c:pt idx="538">
                  <c:v>0.22980888975738614</c:v>
                </c:pt>
                <c:pt idx="539">
                  <c:v>0.22980888975738614</c:v>
                </c:pt>
                <c:pt idx="540">
                  <c:v>0.22980888975738614</c:v>
                </c:pt>
                <c:pt idx="541">
                  <c:v>0.22980888975738614</c:v>
                </c:pt>
                <c:pt idx="542">
                  <c:v>0.20249117822914831</c:v>
                </c:pt>
                <c:pt idx="543">
                  <c:v>0.20525872073540255</c:v>
                </c:pt>
                <c:pt idx="544">
                  <c:v>0.15837292144138765</c:v>
                </c:pt>
                <c:pt idx="545">
                  <c:v>0.15837292144138765</c:v>
                </c:pt>
                <c:pt idx="546">
                  <c:v>0.15837292144138765</c:v>
                </c:pt>
                <c:pt idx="547">
                  <c:v>0.15837292144138765</c:v>
                </c:pt>
                <c:pt idx="548">
                  <c:v>0.15837292144138765</c:v>
                </c:pt>
                <c:pt idx="549">
                  <c:v>0.15837292144138765</c:v>
                </c:pt>
                <c:pt idx="550">
                  <c:v>0.16055511409124323</c:v>
                </c:pt>
                <c:pt idx="551">
                  <c:v>0.15495992595304209</c:v>
                </c:pt>
                <c:pt idx="552">
                  <c:v>0.15495992595304209</c:v>
                </c:pt>
                <c:pt idx="553">
                  <c:v>0.15495992595304209</c:v>
                </c:pt>
                <c:pt idx="554">
                  <c:v>0.15495992595304209</c:v>
                </c:pt>
                <c:pt idx="555">
                  <c:v>0.15495992595304209</c:v>
                </c:pt>
                <c:pt idx="556">
                  <c:v>0.15495992595304209</c:v>
                </c:pt>
                <c:pt idx="557">
                  <c:v>0.16422408217432341</c:v>
                </c:pt>
                <c:pt idx="558">
                  <c:v>0.12969732393668923</c:v>
                </c:pt>
                <c:pt idx="559">
                  <c:v>0.12969732393668923</c:v>
                </c:pt>
                <c:pt idx="560">
                  <c:v>0.12969732393668923</c:v>
                </c:pt>
                <c:pt idx="561">
                  <c:v>0.12969732393668923</c:v>
                </c:pt>
                <c:pt idx="562">
                  <c:v>0.12969732393668923</c:v>
                </c:pt>
                <c:pt idx="563">
                  <c:v>0.12969732393668923</c:v>
                </c:pt>
                <c:pt idx="564">
                  <c:v>0.13061828307879739</c:v>
                </c:pt>
                <c:pt idx="565">
                  <c:v>0.12304424687490433</c:v>
                </c:pt>
                <c:pt idx="566">
                  <c:v>0.12304424687490433</c:v>
                </c:pt>
                <c:pt idx="567">
                  <c:v>0.12304424687490433</c:v>
                </c:pt>
                <c:pt idx="568">
                  <c:v>0.12304424687490433</c:v>
                </c:pt>
                <c:pt idx="569">
                  <c:v>0.12304424687490433</c:v>
                </c:pt>
                <c:pt idx="570">
                  <c:v>0.13071148858469922</c:v>
                </c:pt>
                <c:pt idx="571">
                  <c:v>0.12943811329823435</c:v>
                </c:pt>
                <c:pt idx="572">
                  <c:v>0.22554495143886891</c:v>
                </c:pt>
                <c:pt idx="573">
                  <c:v>0.22554495143886891</c:v>
                </c:pt>
                <c:pt idx="574">
                  <c:v>0.22554495143886891</c:v>
                </c:pt>
                <c:pt idx="575">
                  <c:v>0.22554495143886891</c:v>
                </c:pt>
                <c:pt idx="576">
                  <c:v>0.22554495143886891</c:v>
                </c:pt>
                <c:pt idx="577">
                  <c:v>0.22554495143886891</c:v>
                </c:pt>
                <c:pt idx="578">
                  <c:v>0.22350388234048779</c:v>
                </c:pt>
                <c:pt idx="579">
                  <c:v>0.22716206203027414</c:v>
                </c:pt>
                <c:pt idx="580">
                  <c:v>0.22716206203027414</c:v>
                </c:pt>
                <c:pt idx="581">
                  <c:v>0.22716206203027414</c:v>
                </c:pt>
                <c:pt idx="582">
                  <c:v>0.22716206203027414</c:v>
                </c:pt>
                <c:pt idx="583">
                  <c:v>0.22716206203027414</c:v>
                </c:pt>
                <c:pt idx="584">
                  <c:v>0.22716206203027414</c:v>
                </c:pt>
                <c:pt idx="585">
                  <c:v>0.23621640716284883</c:v>
                </c:pt>
                <c:pt idx="586">
                  <c:v>0.2330235591424146</c:v>
                </c:pt>
                <c:pt idx="587">
                  <c:v>0.2330235591424146</c:v>
                </c:pt>
                <c:pt idx="588">
                  <c:v>0.2330235591424146</c:v>
                </c:pt>
                <c:pt idx="589">
                  <c:v>0.2330235591424146</c:v>
                </c:pt>
                <c:pt idx="590">
                  <c:v>0.2330235591424146</c:v>
                </c:pt>
                <c:pt idx="591">
                  <c:v>0.2330235591424146</c:v>
                </c:pt>
                <c:pt idx="592">
                  <c:v>0.23686781472621368</c:v>
                </c:pt>
                <c:pt idx="593">
                  <c:v>0.22445778742415359</c:v>
                </c:pt>
                <c:pt idx="594">
                  <c:v>0.22445778742415359</c:v>
                </c:pt>
                <c:pt idx="595">
                  <c:v>0.22445778742415359</c:v>
                </c:pt>
                <c:pt idx="596">
                  <c:v>0.22445778742415359</c:v>
                </c:pt>
                <c:pt idx="597">
                  <c:v>0.22445778742415359</c:v>
                </c:pt>
                <c:pt idx="598">
                  <c:v>0.22445778742415359</c:v>
                </c:pt>
                <c:pt idx="599">
                  <c:v>0.2111892382076439</c:v>
                </c:pt>
                <c:pt idx="600">
                  <c:v>0.2354628157046097</c:v>
                </c:pt>
                <c:pt idx="601">
                  <c:v>0.2354628157046097</c:v>
                </c:pt>
                <c:pt idx="602">
                  <c:v>0.2354628157046097</c:v>
                </c:pt>
                <c:pt idx="603">
                  <c:v>0.2354628157046097</c:v>
                </c:pt>
                <c:pt idx="604">
                  <c:v>0.2354628157046097</c:v>
                </c:pt>
                <c:pt idx="605">
                  <c:v>0.2354628157046097</c:v>
                </c:pt>
                <c:pt idx="606">
                  <c:v>0.22355085534698269</c:v>
                </c:pt>
                <c:pt idx="607">
                  <c:v>0.18840468093213295</c:v>
                </c:pt>
                <c:pt idx="608">
                  <c:v>0.18840468093213295</c:v>
                </c:pt>
                <c:pt idx="609">
                  <c:v>0.18840468093213295</c:v>
                </c:pt>
                <c:pt idx="610">
                  <c:v>0.18840468093213295</c:v>
                </c:pt>
                <c:pt idx="611">
                  <c:v>0.18840468093213295</c:v>
                </c:pt>
                <c:pt idx="612">
                  <c:v>0.18840468093213295</c:v>
                </c:pt>
                <c:pt idx="613">
                  <c:v>0.19427999074992305</c:v>
                </c:pt>
                <c:pt idx="614">
                  <c:v>0.17760999008312303</c:v>
                </c:pt>
                <c:pt idx="615">
                  <c:v>0.17760999008312303</c:v>
                </c:pt>
                <c:pt idx="616">
                  <c:v>0.17760999008312303</c:v>
                </c:pt>
                <c:pt idx="617">
                  <c:v>0.17760999008312303</c:v>
                </c:pt>
                <c:pt idx="618">
                  <c:v>0.17760999008312303</c:v>
                </c:pt>
                <c:pt idx="619">
                  <c:v>0.17760999008312303</c:v>
                </c:pt>
                <c:pt idx="620">
                  <c:v>0.17551765816965917</c:v>
                </c:pt>
                <c:pt idx="621">
                  <c:v>0.18205488769178771</c:v>
                </c:pt>
                <c:pt idx="622">
                  <c:v>0.18205488769178771</c:v>
                </c:pt>
                <c:pt idx="623">
                  <c:v>0.18205488769178771</c:v>
                </c:pt>
                <c:pt idx="624">
                  <c:v>0.18205488769178771</c:v>
                </c:pt>
                <c:pt idx="625">
                  <c:v>0.18205488769178771</c:v>
                </c:pt>
                <c:pt idx="626">
                  <c:v>0.18205488769178771</c:v>
                </c:pt>
                <c:pt idx="627">
                  <c:v>0.17786040186894625</c:v>
                </c:pt>
                <c:pt idx="628">
                  <c:v>0.190441391992869</c:v>
                </c:pt>
                <c:pt idx="629">
                  <c:v>0.190441391992869</c:v>
                </c:pt>
                <c:pt idx="630">
                  <c:v>0.190441391992869</c:v>
                </c:pt>
                <c:pt idx="631">
                  <c:v>0.190441391992869</c:v>
                </c:pt>
                <c:pt idx="632">
                  <c:v>0.190441391992869</c:v>
                </c:pt>
                <c:pt idx="633">
                  <c:v>0.190441391992869</c:v>
                </c:pt>
                <c:pt idx="634">
                  <c:v>0.18578113223078843</c:v>
                </c:pt>
                <c:pt idx="635">
                  <c:v>0.203916786927923</c:v>
                </c:pt>
                <c:pt idx="636">
                  <c:v>0.203916786927923</c:v>
                </c:pt>
                <c:pt idx="637">
                  <c:v>0.203916786927923</c:v>
                </c:pt>
                <c:pt idx="638">
                  <c:v>0.203916786927923</c:v>
                </c:pt>
                <c:pt idx="639">
                  <c:v>0.203916786927923</c:v>
                </c:pt>
                <c:pt idx="640">
                  <c:v>0.203916786927923</c:v>
                </c:pt>
                <c:pt idx="641">
                  <c:v>0.203916786927923</c:v>
                </c:pt>
                <c:pt idx="642">
                  <c:v>0.203916786927923</c:v>
                </c:pt>
                <c:pt idx="643">
                  <c:v>0.203916786927923</c:v>
                </c:pt>
                <c:pt idx="644">
                  <c:v>0.203916786927923</c:v>
                </c:pt>
                <c:pt idx="645">
                  <c:v>0.203916786927923</c:v>
                </c:pt>
                <c:pt idx="646">
                  <c:v>0.203916786927923</c:v>
                </c:pt>
                <c:pt idx="647">
                  <c:v>0.203916786927923</c:v>
                </c:pt>
                <c:pt idx="648">
                  <c:v>0.19926173613645223</c:v>
                </c:pt>
                <c:pt idx="649">
                  <c:v>0.21092898616562036</c:v>
                </c:pt>
                <c:pt idx="650">
                  <c:v>0.21092898616562036</c:v>
                </c:pt>
                <c:pt idx="651">
                  <c:v>0.21092898616562036</c:v>
                </c:pt>
                <c:pt idx="652">
                  <c:v>0.21092898616562036</c:v>
                </c:pt>
                <c:pt idx="653">
                  <c:v>0.21092898616562036</c:v>
                </c:pt>
                <c:pt idx="654">
                  <c:v>0.21092898616562036</c:v>
                </c:pt>
                <c:pt idx="655">
                  <c:v>0.21166793936943817</c:v>
                </c:pt>
                <c:pt idx="656">
                  <c:v>0.19231537075578578</c:v>
                </c:pt>
                <c:pt idx="657">
                  <c:v>0.19231537075578578</c:v>
                </c:pt>
                <c:pt idx="658">
                  <c:v>0.19231537075578578</c:v>
                </c:pt>
                <c:pt idx="659">
                  <c:v>0.19231537075578578</c:v>
                </c:pt>
                <c:pt idx="660">
                  <c:v>0.19231537075578578</c:v>
                </c:pt>
                <c:pt idx="661">
                  <c:v>0.21398597753277557</c:v>
                </c:pt>
                <c:pt idx="662">
                  <c:v>0.21387928621185784</c:v>
                </c:pt>
                <c:pt idx="663">
                  <c:v>0.23269076775844222</c:v>
                </c:pt>
                <c:pt idx="664">
                  <c:v>0.23269076775844222</c:v>
                </c:pt>
                <c:pt idx="665">
                  <c:v>0.23269076775844222</c:v>
                </c:pt>
                <c:pt idx="666">
                  <c:v>0.23269076775844222</c:v>
                </c:pt>
                <c:pt idx="667">
                  <c:v>0.23269076775844222</c:v>
                </c:pt>
                <c:pt idx="668">
                  <c:v>0.23269076775844222</c:v>
                </c:pt>
                <c:pt idx="669">
                  <c:v>0.22660061965455189</c:v>
                </c:pt>
                <c:pt idx="670">
                  <c:v>0.24329789799818183</c:v>
                </c:pt>
                <c:pt idx="671">
                  <c:v>0.24329789799818183</c:v>
                </c:pt>
                <c:pt idx="672">
                  <c:v>0.24329789799818183</c:v>
                </c:pt>
                <c:pt idx="673">
                  <c:v>0.24329789799818183</c:v>
                </c:pt>
                <c:pt idx="674">
                  <c:v>0.24329789799818183</c:v>
                </c:pt>
                <c:pt idx="675">
                  <c:v>0.24329789799818183</c:v>
                </c:pt>
                <c:pt idx="676">
                  <c:v>0.24329789799818183</c:v>
                </c:pt>
                <c:pt idx="677">
                  <c:v>0.24886365744605851</c:v>
                </c:pt>
                <c:pt idx="678">
                  <c:v>0.24886365744605851</c:v>
                </c:pt>
                <c:pt idx="679">
                  <c:v>0.24886365744605851</c:v>
                </c:pt>
                <c:pt idx="680">
                  <c:v>0.24886365744605851</c:v>
                </c:pt>
                <c:pt idx="681">
                  <c:v>0.24886365744605851</c:v>
                </c:pt>
                <c:pt idx="682">
                  <c:v>0.24886365744605851</c:v>
                </c:pt>
                <c:pt idx="683">
                  <c:v>0.24886365744605851</c:v>
                </c:pt>
                <c:pt idx="684">
                  <c:v>0.2505229079136429</c:v>
                </c:pt>
                <c:pt idx="685">
                  <c:v>0.2505229079136429</c:v>
                </c:pt>
                <c:pt idx="686">
                  <c:v>0.2505229079136429</c:v>
                </c:pt>
                <c:pt idx="687">
                  <c:v>0.2505229079136429</c:v>
                </c:pt>
                <c:pt idx="688">
                  <c:v>0.2505229079136429</c:v>
                </c:pt>
                <c:pt idx="689">
                  <c:v>0.2505229079136429</c:v>
                </c:pt>
                <c:pt idx="690">
                  <c:v>0.2505229079136429</c:v>
                </c:pt>
                <c:pt idx="691">
                  <c:v>0.24157968761566362</c:v>
                </c:pt>
                <c:pt idx="692">
                  <c:v>0.24157968761566362</c:v>
                </c:pt>
                <c:pt idx="693">
                  <c:v>0.24157968761566362</c:v>
                </c:pt>
                <c:pt idx="694">
                  <c:v>0.24157968761566362</c:v>
                </c:pt>
                <c:pt idx="695">
                  <c:v>0.24157968761566362</c:v>
                </c:pt>
                <c:pt idx="696">
                  <c:v>0.24157968761566362</c:v>
                </c:pt>
                <c:pt idx="697">
                  <c:v>0.24157968761566362</c:v>
                </c:pt>
                <c:pt idx="698">
                  <c:v>0.23893315626383357</c:v>
                </c:pt>
                <c:pt idx="699">
                  <c:v>0.23893315626383357</c:v>
                </c:pt>
                <c:pt idx="700">
                  <c:v>0.23893315626383357</c:v>
                </c:pt>
                <c:pt idx="701">
                  <c:v>0.23893315626383357</c:v>
                </c:pt>
                <c:pt idx="702">
                  <c:v>0.23893315626383357</c:v>
                </c:pt>
                <c:pt idx="703">
                  <c:v>0.23893315626383357</c:v>
                </c:pt>
                <c:pt idx="704">
                  <c:v>0.23893315626383357</c:v>
                </c:pt>
                <c:pt idx="705">
                  <c:v>0.248991334245518</c:v>
                </c:pt>
                <c:pt idx="706">
                  <c:v>0.248991334245518</c:v>
                </c:pt>
                <c:pt idx="707">
                  <c:v>0.248991334245518</c:v>
                </c:pt>
                <c:pt idx="708">
                  <c:v>0.248991334245518</c:v>
                </c:pt>
                <c:pt idx="709">
                  <c:v>0.248991334245518</c:v>
                </c:pt>
                <c:pt idx="710">
                  <c:v>0.248991334245518</c:v>
                </c:pt>
                <c:pt idx="711">
                  <c:v>0.248991334245518</c:v>
                </c:pt>
                <c:pt idx="712">
                  <c:v>0.24477094174063871</c:v>
                </c:pt>
                <c:pt idx="713">
                  <c:v>0.24477094174063871</c:v>
                </c:pt>
                <c:pt idx="714">
                  <c:v>0.24477094174063871</c:v>
                </c:pt>
                <c:pt idx="715">
                  <c:v>0.24477094174063871</c:v>
                </c:pt>
                <c:pt idx="716">
                  <c:v>0.24477094174063871</c:v>
                </c:pt>
                <c:pt idx="717">
                  <c:v>0.24477094174063871</c:v>
                </c:pt>
                <c:pt idx="718">
                  <c:v>0.24477094174063871</c:v>
                </c:pt>
                <c:pt idx="719">
                  <c:v>0.25084499843366143</c:v>
                </c:pt>
                <c:pt idx="720">
                  <c:v>0.25084499843366143</c:v>
                </c:pt>
                <c:pt idx="721">
                  <c:v>0.25084499843366143</c:v>
                </c:pt>
                <c:pt idx="722">
                  <c:v>0.25084499843366143</c:v>
                </c:pt>
                <c:pt idx="723">
                  <c:v>0.25084499843366143</c:v>
                </c:pt>
                <c:pt idx="724">
                  <c:v>0.25084499843366143</c:v>
                </c:pt>
                <c:pt idx="725">
                  <c:v>0.25084499843366143</c:v>
                </c:pt>
                <c:pt idx="726">
                  <c:v>0.25632514928165828</c:v>
                </c:pt>
                <c:pt idx="727">
                  <c:v>0.25632514928165828</c:v>
                </c:pt>
                <c:pt idx="728">
                  <c:v>0.25632514928165828</c:v>
                </c:pt>
                <c:pt idx="729">
                  <c:v>0.25632514928165828</c:v>
                </c:pt>
                <c:pt idx="730">
                  <c:v>0.25632514928165828</c:v>
                </c:pt>
                <c:pt idx="731">
                  <c:v>0.25632514928165828</c:v>
                </c:pt>
                <c:pt idx="732">
                  <c:v>0.25632514928165828</c:v>
                </c:pt>
                <c:pt idx="733">
                  <c:v>0.26421697287839019</c:v>
                </c:pt>
                <c:pt idx="734">
                  <c:v>0.26421697287839019</c:v>
                </c:pt>
                <c:pt idx="735">
                  <c:v>0.26421697287839019</c:v>
                </c:pt>
                <c:pt idx="736">
                  <c:v>0.26421697287839019</c:v>
                </c:pt>
                <c:pt idx="737">
                  <c:v>0.26421697287839019</c:v>
                </c:pt>
                <c:pt idx="738">
                  <c:v>0.26421697287839019</c:v>
                </c:pt>
                <c:pt idx="739">
                  <c:v>0.26421697287839019</c:v>
                </c:pt>
                <c:pt idx="740">
                  <c:v>0.2690624486564801</c:v>
                </c:pt>
                <c:pt idx="741">
                  <c:v>0.2690624486564801</c:v>
                </c:pt>
                <c:pt idx="742">
                  <c:v>0.2690624486564801</c:v>
                </c:pt>
                <c:pt idx="743">
                  <c:v>0.2690624486564801</c:v>
                </c:pt>
                <c:pt idx="744">
                  <c:v>0.2690624486564801</c:v>
                </c:pt>
                <c:pt idx="745">
                  <c:v>0.2690624486564801</c:v>
                </c:pt>
                <c:pt idx="746">
                  <c:v>0.2690624486564801</c:v>
                </c:pt>
                <c:pt idx="747">
                  <c:v>0.28138302493267314</c:v>
                </c:pt>
                <c:pt idx="748">
                  <c:v>0.28138302493267314</c:v>
                </c:pt>
                <c:pt idx="749">
                  <c:v>0.28138302493267314</c:v>
                </c:pt>
                <c:pt idx="750">
                  <c:v>0.28138302493267314</c:v>
                </c:pt>
                <c:pt idx="751">
                  <c:v>0.28138302493267314</c:v>
                </c:pt>
                <c:pt idx="752">
                  <c:v>0.19591293946258767</c:v>
                </c:pt>
                <c:pt idx="753">
                  <c:v>0.20475467244225165</c:v>
                </c:pt>
                <c:pt idx="754">
                  <c:v>0.27662007260669469</c:v>
                </c:pt>
                <c:pt idx="755">
                  <c:v>0.27662007260669469</c:v>
                </c:pt>
                <c:pt idx="756">
                  <c:v>0.27662007260669469</c:v>
                </c:pt>
                <c:pt idx="757">
                  <c:v>0.27662007260669469</c:v>
                </c:pt>
                <c:pt idx="758">
                  <c:v>0.27662007260669469</c:v>
                </c:pt>
                <c:pt idx="759">
                  <c:v>0.27662007260669469</c:v>
                </c:pt>
                <c:pt idx="760">
                  <c:v>0.27662007260669469</c:v>
                </c:pt>
                <c:pt idx="761">
                  <c:v>0.28164600837423398</c:v>
                </c:pt>
                <c:pt idx="762">
                  <c:v>0.28164600837423398</c:v>
                </c:pt>
                <c:pt idx="763">
                  <c:v>0.28164600837423398</c:v>
                </c:pt>
                <c:pt idx="764">
                  <c:v>0.28164600837423398</c:v>
                </c:pt>
                <c:pt idx="765">
                  <c:v>0.28164600837423398</c:v>
                </c:pt>
                <c:pt idx="766">
                  <c:v>0.28164600837423398</c:v>
                </c:pt>
                <c:pt idx="767">
                  <c:v>0.28164600837423398</c:v>
                </c:pt>
                <c:pt idx="768">
                  <c:v>0.28169488669867743</c:v>
                </c:pt>
                <c:pt idx="769">
                  <c:v>0.28169488669867743</c:v>
                </c:pt>
                <c:pt idx="770">
                  <c:v>0.28169488669867743</c:v>
                </c:pt>
                <c:pt idx="771">
                  <c:v>0.28169488669867743</c:v>
                </c:pt>
                <c:pt idx="772">
                  <c:v>0.28169488669867743</c:v>
                </c:pt>
                <c:pt idx="773">
                  <c:v>0.28169488669867743</c:v>
                </c:pt>
                <c:pt idx="774">
                  <c:v>0.28169488669867743</c:v>
                </c:pt>
                <c:pt idx="775">
                  <c:v>0.28081827460789804</c:v>
                </c:pt>
                <c:pt idx="776">
                  <c:v>0.28081827460789804</c:v>
                </c:pt>
                <c:pt idx="777">
                  <c:v>0.28081827460789804</c:v>
                </c:pt>
                <c:pt idx="778">
                  <c:v>0.28081827460789804</c:v>
                </c:pt>
                <c:pt idx="779">
                  <c:v>0.28081827460789804</c:v>
                </c:pt>
                <c:pt idx="780">
                  <c:v>0.28081827460789804</c:v>
                </c:pt>
                <c:pt idx="781">
                  <c:v>0.28081827460789804</c:v>
                </c:pt>
                <c:pt idx="782">
                  <c:v>0.28693209338370629</c:v>
                </c:pt>
                <c:pt idx="783">
                  <c:v>0.28693209338370629</c:v>
                </c:pt>
                <c:pt idx="784">
                  <c:v>0.28693209338370629</c:v>
                </c:pt>
                <c:pt idx="785">
                  <c:v>0.28693209338370629</c:v>
                </c:pt>
                <c:pt idx="786">
                  <c:v>0.28693209338370629</c:v>
                </c:pt>
                <c:pt idx="787">
                  <c:v>0.28693209338370629</c:v>
                </c:pt>
                <c:pt idx="788">
                  <c:v>0.28693209338370629</c:v>
                </c:pt>
                <c:pt idx="789">
                  <c:v>0.30849051266783456</c:v>
                </c:pt>
                <c:pt idx="790">
                  <c:v>0.30849051266783456</c:v>
                </c:pt>
                <c:pt idx="791">
                  <c:v>0.30849051266783456</c:v>
                </c:pt>
                <c:pt idx="792">
                  <c:v>0.30849051266783456</c:v>
                </c:pt>
                <c:pt idx="793">
                  <c:v>0.30849051266783456</c:v>
                </c:pt>
                <c:pt idx="794">
                  <c:v>0.30849051266783456</c:v>
                </c:pt>
                <c:pt idx="795">
                  <c:v>0.30849051266783456</c:v>
                </c:pt>
                <c:pt idx="796">
                  <c:v>0.30923227583124657</c:v>
                </c:pt>
                <c:pt idx="797">
                  <c:v>0.30923227583124657</c:v>
                </c:pt>
                <c:pt idx="798">
                  <c:v>0.30923227583124657</c:v>
                </c:pt>
                <c:pt idx="799">
                  <c:v>0.30923227583124657</c:v>
                </c:pt>
                <c:pt idx="800">
                  <c:v>0.30923227583124657</c:v>
                </c:pt>
                <c:pt idx="801">
                  <c:v>0.30923227583124657</c:v>
                </c:pt>
                <c:pt idx="802">
                  <c:v>0.30923227583124657</c:v>
                </c:pt>
                <c:pt idx="803">
                  <c:v>0.30940211186823957</c:v>
                </c:pt>
                <c:pt idx="804">
                  <c:v>0.30940211186823957</c:v>
                </c:pt>
                <c:pt idx="805">
                  <c:v>0.30940211186823957</c:v>
                </c:pt>
                <c:pt idx="806">
                  <c:v>0.30940211186823957</c:v>
                </c:pt>
                <c:pt idx="807">
                  <c:v>0.30940211186823957</c:v>
                </c:pt>
                <c:pt idx="808">
                  <c:v>0.30940211186823957</c:v>
                </c:pt>
                <c:pt idx="809">
                  <c:v>0.30940211186823957</c:v>
                </c:pt>
                <c:pt idx="810">
                  <c:v>0.30940211186823957</c:v>
                </c:pt>
                <c:pt idx="811">
                  <c:v>0.30940211186823957</c:v>
                </c:pt>
                <c:pt idx="812">
                  <c:v>0.33379235577067856</c:v>
                </c:pt>
                <c:pt idx="813">
                  <c:v>0.33379235577067856</c:v>
                </c:pt>
                <c:pt idx="814">
                  <c:v>0.33379235577067856</c:v>
                </c:pt>
                <c:pt idx="815">
                  <c:v>0.33896604387119594</c:v>
                </c:pt>
                <c:pt idx="816">
                  <c:v>0.33896604387119594</c:v>
                </c:pt>
                <c:pt idx="817">
                  <c:v>0.35177878585411032</c:v>
                </c:pt>
                <c:pt idx="818">
                  <c:v>0.35177878585411032</c:v>
                </c:pt>
                <c:pt idx="819">
                  <c:v>0.35177878585411032</c:v>
                </c:pt>
                <c:pt idx="820">
                  <c:v>0.35177878585411032</c:v>
                </c:pt>
                <c:pt idx="821">
                  <c:v>0.35177878585411032</c:v>
                </c:pt>
                <c:pt idx="822">
                  <c:v>0.35177878585411032</c:v>
                </c:pt>
                <c:pt idx="823">
                  <c:v>0.35177878585411032</c:v>
                </c:pt>
                <c:pt idx="824">
                  <c:v>0.35481259167535323</c:v>
                </c:pt>
                <c:pt idx="825">
                  <c:v>0.35481259167535323</c:v>
                </c:pt>
                <c:pt idx="826">
                  <c:v>0.35481259167535323</c:v>
                </c:pt>
                <c:pt idx="827">
                  <c:v>0.35481259167535323</c:v>
                </c:pt>
                <c:pt idx="828">
                  <c:v>0.35481259167535323</c:v>
                </c:pt>
                <c:pt idx="829">
                  <c:v>0.35481259167535323</c:v>
                </c:pt>
                <c:pt idx="830">
                  <c:v>0.35481259167535323</c:v>
                </c:pt>
                <c:pt idx="831">
                  <c:v>0.34092147732376432</c:v>
                </c:pt>
                <c:pt idx="832">
                  <c:v>0.34092147732376432</c:v>
                </c:pt>
                <c:pt idx="833">
                  <c:v>0.34092147732376432</c:v>
                </c:pt>
                <c:pt idx="834">
                  <c:v>0.34092147732376432</c:v>
                </c:pt>
                <c:pt idx="835">
                  <c:v>0.34092147732376432</c:v>
                </c:pt>
                <c:pt idx="836">
                  <c:v>0.34092147732376432</c:v>
                </c:pt>
                <c:pt idx="837">
                  <c:v>0.34092147732376432</c:v>
                </c:pt>
                <c:pt idx="838">
                  <c:v>0.33935558518706649</c:v>
                </c:pt>
                <c:pt idx="839">
                  <c:v>0.33935558518706649</c:v>
                </c:pt>
                <c:pt idx="840">
                  <c:v>0.33935558518706649</c:v>
                </c:pt>
                <c:pt idx="841">
                  <c:v>0.33935558518706649</c:v>
                </c:pt>
                <c:pt idx="842">
                  <c:v>0.33935558518706649</c:v>
                </c:pt>
                <c:pt idx="843">
                  <c:v>0.32665717248865384</c:v>
                </c:pt>
                <c:pt idx="844">
                  <c:v>0.32665717248865384</c:v>
                </c:pt>
                <c:pt idx="845">
                  <c:v>0.358558665984334</c:v>
                </c:pt>
                <c:pt idx="846">
                  <c:v>0.358558665984334</c:v>
                </c:pt>
                <c:pt idx="847">
                  <c:v>0.358558665984334</c:v>
                </c:pt>
                <c:pt idx="848">
                  <c:v>0.358558665984334</c:v>
                </c:pt>
                <c:pt idx="849">
                  <c:v>0.358558665984334</c:v>
                </c:pt>
                <c:pt idx="850">
                  <c:v>0.358558665984334</c:v>
                </c:pt>
                <c:pt idx="851">
                  <c:v>0.358558665984334</c:v>
                </c:pt>
                <c:pt idx="852">
                  <c:v>0.35376493918635149</c:v>
                </c:pt>
                <c:pt idx="853">
                  <c:v>0.35376493918635149</c:v>
                </c:pt>
                <c:pt idx="854">
                  <c:v>0.35376493918635149</c:v>
                </c:pt>
                <c:pt idx="855">
                  <c:v>0.35376493918635149</c:v>
                </c:pt>
                <c:pt idx="856">
                  <c:v>0.35376493918635149</c:v>
                </c:pt>
                <c:pt idx="857">
                  <c:v>0.35376493918635149</c:v>
                </c:pt>
                <c:pt idx="858">
                  <c:v>0.35376493918635149</c:v>
                </c:pt>
                <c:pt idx="859">
                  <c:v>0.35730737957909448</c:v>
                </c:pt>
                <c:pt idx="860">
                  <c:v>0.35730737957909448</c:v>
                </c:pt>
                <c:pt idx="861">
                  <c:v>0.35730737957909448</c:v>
                </c:pt>
                <c:pt idx="862">
                  <c:v>0.35730737957909448</c:v>
                </c:pt>
                <c:pt idx="863">
                  <c:v>0.35730737957909448</c:v>
                </c:pt>
                <c:pt idx="864">
                  <c:v>0.35730737957909448</c:v>
                </c:pt>
                <c:pt idx="865">
                  <c:v>0.35730737957909448</c:v>
                </c:pt>
                <c:pt idx="866">
                  <c:v>0.36635965599412912</c:v>
                </c:pt>
                <c:pt idx="867">
                  <c:v>0.36635965599412912</c:v>
                </c:pt>
                <c:pt idx="868">
                  <c:v>0.36635965599412912</c:v>
                </c:pt>
                <c:pt idx="869">
                  <c:v>0.36635965599412912</c:v>
                </c:pt>
                <c:pt idx="870">
                  <c:v>0.36635965599412912</c:v>
                </c:pt>
                <c:pt idx="871">
                  <c:v>0.36635965599412912</c:v>
                </c:pt>
                <c:pt idx="872">
                  <c:v>0.36635965599412912</c:v>
                </c:pt>
                <c:pt idx="873">
                  <c:v>0.3627198083138799</c:v>
                </c:pt>
                <c:pt idx="874">
                  <c:v>0.3627198083138799</c:v>
                </c:pt>
                <c:pt idx="875">
                  <c:v>0.3627198083138799</c:v>
                </c:pt>
                <c:pt idx="876">
                  <c:v>0.3627198083138799</c:v>
                </c:pt>
                <c:pt idx="877">
                  <c:v>0.3627198083138799</c:v>
                </c:pt>
                <c:pt idx="878">
                  <c:v>0.3627198083138799</c:v>
                </c:pt>
                <c:pt idx="879">
                  <c:v>0.3627198083138799</c:v>
                </c:pt>
                <c:pt idx="880">
                  <c:v>0.39905677912493526</c:v>
                </c:pt>
                <c:pt idx="881">
                  <c:v>0.39905677912493526</c:v>
                </c:pt>
                <c:pt idx="882">
                  <c:v>0.39905677912493526</c:v>
                </c:pt>
                <c:pt idx="883">
                  <c:v>0.39905677912493526</c:v>
                </c:pt>
                <c:pt idx="884">
                  <c:v>0.39905677912493526</c:v>
                </c:pt>
                <c:pt idx="885">
                  <c:v>0.39905677912493526</c:v>
                </c:pt>
                <c:pt idx="886">
                  <c:v>0.39905677912493526</c:v>
                </c:pt>
                <c:pt idx="887">
                  <c:v>0.4008397890087716</c:v>
                </c:pt>
                <c:pt idx="888">
                  <c:v>0.4008397890087716</c:v>
                </c:pt>
                <c:pt idx="889">
                  <c:v>0.4008397890087716</c:v>
                </c:pt>
                <c:pt idx="890">
                  <c:v>0.4008397890087716</c:v>
                </c:pt>
                <c:pt idx="891">
                  <c:v>0.4008397890087716</c:v>
                </c:pt>
                <c:pt idx="892">
                  <c:v>0.4008397890087716</c:v>
                </c:pt>
                <c:pt idx="893">
                  <c:v>0.4008397890087716</c:v>
                </c:pt>
                <c:pt idx="894">
                  <c:v>0.40174629232842413</c:v>
                </c:pt>
                <c:pt idx="895">
                  <c:v>0.40174629232842413</c:v>
                </c:pt>
                <c:pt idx="896">
                  <c:v>0.40174629232842413</c:v>
                </c:pt>
                <c:pt idx="897">
                  <c:v>0.40174629232842413</c:v>
                </c:pt>
                <c:pt idx="898">
                  <c:v>0.40174629232842413</c:v>
                </c:pt>
                <c:pt idx="899">
                  <c:v>0.40174629232842413</c:v>
                </c:pt>
                <c:pt idx="900">
                  <c:v>0.40174629232842413</c:v>
                </c:pt>
                <c:pt idx="901">
                  <c:v>0.39533728373222993</c:v>
                </c:pt>
                <c:pt idx="902">
                  <c:v>0.39533728373222993</c:v>
                </c:pt>
                <c:pt idx="903">
                  <c:v>0.39533728373222993</c:v>
                </c:pt>
                <c:pt idx="904">
                  <c:v>0.39533728373222993</c:v>
                </c:pt>
                <c:pt idx="905">
                  <c:v>0.39533728373222993</c:v>
                </c:pt>
                <c:pt idx="906">
                  <c:v>0.4607218991168453</c:v>
                </c:pt>
                <c:pt idx="907">
                  <c:v>0.4607218991168453</c:v>
                </c:pt>
                <c:pt idx="908">
                  <c:v>0.58410879104608815</c:v>
                </c:pt>
                <c:pt idx="909">
                  <c:v>0.58410879104608815</c:v>
                </c:pt>
                <c:pt idx="910">
                  <c:v>0.58410879104608815</c:v>
                </c:pt>
                <c:pt idx="911">
                  <c:v>0.58410879104608815</c:v>
                </c:pt>
                <c:pt idx="912">
                  <c:v>0.58410879104608815</c:v>
                </c:pt>
                <c:pt idx="913">
                  <c:v>0.58410879104608815</c:v>
                </c:pt>
                <c:pt idx="914">
                  <c:v>0.58410879104608815</c:v>
                </c:pt>
                <c:pt idx="915">
                  <c:v>0.58577292855423801</c:v>
                </c:pt>
                <c:pt idx="916">
                  <c:v>0.58577292855423801</c:v>
                </c:pt>
                <c:pt idx="917">
                  <c:v>0.58577292855423801</c:v>
                </c:pt>
                <c:pt idx="918">
                  <c:v>0.58577292855423801</c:v>
                </c:pt>
                <c:pt idx="919">
                  <c:v>0.58577292855423801</c:v>
                </c:pt>
                <c:pt idx="920">
                  <c:v>0.58577292855423801</c:v>
                </c:pt>
                <c:pt idx="921">
                  <c:v>0.58577292855423801</c:v>
                </c:pt>
                <c:pt idx="922">
                  <c:v>0.59216566486596156</c:v>
                </c:pt>
                <c:pt idx="923">
                  <c:v>0.59216566486596156</c:v>
                </c:pt>
                <c:pt idx="924">
                  <c:v>0.59216566486596156</c:v>
                </c:pt>
                <c:pt idx="925">
                  <c:v>0.59216566486596156</c:v>
                </c:pt>
                <c:pt idx="926">
                  <c:v>0.59216566486596156</c:v>
                </c:pt>
                <c:pt idx="927">
                  <c:v>0.59216566486596156</c:v>
                </c:pt>
                <c:pt idx="928">
                  <c:v>0.59216566486596156</c:v>
                </c:pt>
                <c:pt idx="929">
                  <c:v>0.59310343208140304</c:v>
                </c:pt>
                <c:pt idx="930">
                  <c:v>0.59310343208140304</c:v>
                </c:pt>
                <c:pt idx="931">
                  <c:v>0.59310343208140304</c:v>
                </c:pt>
                <c:pt idx="932">
                  <c:v>0.59310343208140304</c:v>
                </c:pt>
                <c:pt idx="933">
                  <c:v>0.59310343208140304</c:v>
                </c:pt>
                <c:pt idx="934">
                  <c:v>0.59310343208140304</c:v>
                </c:pt>
                <c:pt idx="935">
                  <c:v>0.59310343208140304</c:v>
                </c:pt>
                <c:pt idx="936">
                  <c:v>0.63620085839530982</c:v>
                </c:pt>
                <c:pt idx="937">
                  <c:v>0.63620085839530982</c:v>
                </c:pt>
                <c:pt idx="938">
                  <c:v>0.63620085839530982</c:v>
                </c:pt>
                <c:pt idx="939">
                  <c:v>0.63620085839530982</c:v>
                </c:pt>
                <c:pt idx="940">
                  <c:v>0.63620085839530982</c:v>
                </c:pt>
                <c:pt idx="941">
                  <c:v>0.63620085839530982</c:v>
                </c:pt>
                <c:pt idx="942">
                  <c:v>0.63620085839530982</c:v>
                </c:pt>
                <c:pt idx="943">
                  <c:v>0.55192390379222356</c:v>
                </c:pt>
                <c:pt idx="944">
                  <c:v>0.55192390379222356</c:v>
                </c:pt>
                <c:pt idx="945">
                  <c:v>0.55192390379222356</c:v>
                </c:pt>
                <c:pt idx="946">
                  <c:v>0.55192390379222356</c:v>
                </c:pt>
                <c:pt idx="947">
                  <c:v>0.55192390379222356</c:v>
                </c:pt>
                <c:pt idx="948">
                  <c:v>0.55192390379222356</c:v>
                </c:pt>
                <c:pt idx="949">
                  <c:v>0.55192390379222356</c:v>
                </c:pt>
                <c:pt idx="950">
                  <c:v>0.55287476391866508</c:v>
                </c:pt>
                <c:pt idx="951">
                  <c:v>0.55287476391866508</c:v>
                </c:pt>
                <c:pt idx="952">
                  <c:v>0.55287476391866508</c:v>
                </c:pt>
                <c:pt idx="953">
                  <c:v>0.55287476391866508</c:v>
                </c:pt>
                <c:pt idx="954">
                  <c:v>0.55287476391866508</c:v>
                </c:pt>
                <c:pt idx="955">
                  <c:v>0.55287476391866508</c:v>
                </c:pt>
                <c:pt idx="956">
                  <c:v>0.55287476391866508</c:v>
                </c:pt>
                <c:pt idx="957">
                  <c:v>0.55119215771383445</c:v>
                </c:pt>
                <c:pt idx="958">
                  <c:v>0.55119215771383445</c:v>
                </c:pt>
                <c:pt idx="959">
                  <c:v>0.55119215771383445</c:v>
                </c:pt>
                <c:pt idx="960">
                  <c:v>0.55119215771383445</c:v>
                </c:pt>
                <c:pt idx="961">
                  <c:v>0.55119215771383445</c:v>
                </c:pt>
                <c:pt idx="962">
                  <c:v>0.55119215771383445</c:v>
                </c:pt>
                <c:pt idx="963">
                  <c:v>0.55119215771383445</c:v>
                </c:pt>
                <c:pt idx="964">
                  <c:v>0.54887890109942694</c:v>
                </c:pt>
                <c:pt idx="965">
                  <c:v>0.54887890109942694</c:v>
                </c:pt>
                <c:pt idx="966">
                  <c:v>0.54887890109942694</c:v>
                </c:pt>
                <c:pt idx="967">
                  <c:v>0.54887890109942694</c:v>
                </c:pt>
                <c:pt idx="968">
                  <c:v>0.54887890109942694</c:v>
                </c:pt>
                <c:pt idx="969">
                  <c:v>0.54887890109942694</c:v>
                </c:pt>
                <c:pt idx="970">
                  <c:v>0.54887890109942694</c:v>
                </c:pt>
                <c:pt idx="971">
                  <c:v>0.6518757697162072</c:v>
                </c:pt>
                <c:pt idx="972">
                  <c:v>0.6518757697162072</c:v>
                </c:pt>
                <c:pt idx="973">
                  <c:v>0.6518757697162072</c:v>
                </c:pt>
                <c:pt idx="974">
                  <c:v>0.6518757697162072</c:v>
                </c:pt>
                <c:pt idx="975">
                  <c:v>0.6518757697162072</c:v>
                </c:pt>
                <c:pt idx="976">
                  <c:v>0.6518757697162072</c:v>
                </c:pt>
                <c:pt idx="977">
                  <c:v>0.6518757697162072</c:v>
                </c:pt>
                <c:pt idx="978">
                  <c:v>0.65718674987847869</c:v>
                </c:pt>
                <c:pt idx="979">
                  <c:v>0.65718674987847869</c:v>
                </c:pt>
                <c:pt idx="980">
                  <c:v>0.65718674987847869</c:v>
                </c:pt>
                <c:pt idx="981">
                  <c:v>0.65718674987847869</c:v>
                </c:pt>
                <c:pt idx="982">
                  <c:v>0.65718674987847869</c:v>
                </c:pt>
                <c:pt idx="983">
                  <c:v>0.65718674987847869</c:v>
                </c:pt>
                <c:pt idx="984">
                  <c:v>0.65718674987847869</c:v>
                </c:pt>
                <c:pt idx="985">
                  <c:v>0.65568473990524245</c:v>
                </c:pt>
                <c:pt idx="986">
                  <c:v>0.65568473990524245</c:v>
                </c:pt>
                <c:pt idx="987">
                  <c:v>0.65568473990524245</c:v>
                </c:pt>
                <c:pt idx="988">
                  <c:v>0.65568473990524245</c:v>
                </c:pt>
                <c:pt idx="989">
                  <c:v>0.65568473990524245</c:v>
                </c:pt>
                <c:pt idx="990">
                  <c:v>0.65568473990524245</c:v>
                </c:pt>
                <c:pt idx="991">
                  <c:v>0.65568473990524245</c:v>
                </c:pt>
                <c:pt idx="992">
                  <c:v>0.66676724171296875</c:v>
                </c:pt>
                <c:pt idx="993">
                  <c:v>0.66676724171296875</c:v>
                </c:pt>
                <c:pt idx="994">
                  <c:v>0.66676724171296875</c:v>
                </c:pt>
                <c:pt idx="995">
                  <c:v>0.66676724171296875</c:v>
                </c:pt>
                <c:pt idx="996">
                  <c:v>0.66676724171296875</c:v>
                </c:pt>
                <c:pt idx="997">
                  <c:v>0.70878404843565779</c:v>
                </c:pt>
                <c:pt idx="998">
                  <c:v>0.70878404843565779</c:v>
                </c:pt>
                <c:pt idx="999">
                  <c:v>0.63787488161954631</c:v>
                </c:pt>
                <c:pt idx="1000">
                  <c:v>0.63787488161954631</c:v>
                </c:pt>
                <c:pt idx="1001">
                  <c:v>0.63787488161954631</c:v>
                </c:pt>
                <c:pt idx="1002">
                  <c:v>0.63787488161954631</c:v>
                </c:pt>
                <c:pt idx="1003">
                  <c:v>0.63787488161954631</c:v>
                </c:pt>
                <c:pt idx="1004">
                  <c:v>0.63787488161954631</c:v>
                </c:pt>
                <c:pt idx="1005">
                  <c:v>0.63787488161954631</c:v>
                </c:pt>
                <c:pt idx="1006">
                  <c:v>0.63686735011216877</c:v>
                </c:pt>
                <c:pt idx="1007">
                  <c:v>0.63686735011216877</c:v>
                </c:pt>
                <c:pt idx="1008">
                  <c:v>0.63686735011216877</c:v>
                </c:pt>
                <c:pt idx="1009">
                  <c:v>0.63686735011216877</c:v>
                </c:pt>
                <c:pt idx="1010">
                  <c:v>0.63686735011216877</c:v>
                </c:pt>
                <c:pt idx="1011">
                  <c:v>0.63686735011216877</c:v>
                </c:pt>
                <c:pt idx="1012">
                  <c:v>0.63686735011216877</c:v>
                </c:pt>
                <c:pt idx="1013">
                  <c:v>0.64809905678806812</c:v>
                </c:pt>
                <c:pt idx="1014">
                  <c:v>0.64809905678806812</c:v>
                </c:pt>
                <c:pt idx="1015">
                  <c:v>0.64809905678806812</c:v>
                </c:pt>
                <c:pt idx="1016">
                  <c:v>0.64809905678806812</c:v>
                </c:pt>
                <c:pt idx="1017">
                  <c:v>0.64809905678806812</c:v>
                </c:pt>
                <c:pt idx="1018">
                  <c:v>0.64809905678806812</c:v>
                </c:pt>
                <c:pt idx="1019">
                  <c:v>0.64809905678806812</c:v>
                </c:pt>
                <c:pt idx="1020">
                  <c:v>0.67433171456616581</c:v>
                </c:pt>
                <c:pt idx="1021">
                  <c:v>0.67433171456616581</c:v>
                </c:pt>
                <c:pt idx="1022">
                  <c:v>0.67433171456616581</c:v>
                </c:pt>
                <c:pt idx="1023">
                  <c:v>0.67433171456616581</c:v>
                </c:pt>
                <c:pt idx="1024">
                  <c:v>0.67433171456616581</c:v>
                </c:pt>
                <c:pt idx="1025">
                  <c:v>0.67433171456616581</c:v>
                </c:pt>
                <c:pt idx="1026">
                  <c:v>0.64539652938098058</c:v>
                </c:pt>
                <c:pt idx="1027">
                  <c:v>0.63689247149118933</c:v>
                </c:pt>
                <c:pt idx="1028">
                  <c:v>0.63689247149118933</c:v>
                </c:pt>
                <c:pt idx="1029">
                  <c:v>0.63689247149118933</c:v>
                </c:pt>
                <c:pt idx="1030">
                  <c:v>0.63689247149118933</c:v>
                </c:pt>
                <c:pt idx="1031">
                  <c:v>0.63689247149118933</c:v>
                </c:pt>
                <c:pt idx="1032">
                  <c:v>0.63689247149118933</c:v>
                </c:pt>
                <c:pt idx="1033">
                  <c:v>0.63689247149118933</c:v>
                </c:pt>
                <c:pt idx="1034">
                  <c:v>0.64407334064298205</c:v>
                </c:pt>
                <c:pt idx="1035">
                  <c:v>0.64407334064298205</c:v>
                </c:pt>
                <c:pt idx="1036">
                  <c:v>0.64407334064298205</c:v>
                </c:pt>
                <c:pt idx="1037">
                  <c:v>0.64407334064298205</c:v>
                </c:pt>
                <c:pt idx="1038">
                  <c:v>0.64407334064298205</c:v>
                </c:pt>
                <c:pt idx="1039">
                  <c:v>0.64407334064298205</c:v>
                </c:pt>
                <c:pt idx="1040">
                  <c:v>0.64407334064298205</c:v>
                </c:pt>
                <c:pt idx="1041">
                  <c:v>0.64577540595709937</c:v>
                </c:pt>
                <c:pt idx="1042">
                  <c:v>0.64577540595709937</c:v>
                </c:pt>
                <c:pt idx="1043">
                  <c:v>0.64577540595709937</c:v>
                </c:pt>
                <c:pt idx="1044">
                  <c:v>0.64577540595709937</c:v>
                </c:pt>
                <c:pt idx="1045">
                  <c:v>0.64577540595709937</c:v>
                </c:pt>
                <c:pt idx="1046">
                  <c:v>0.64577540595709937</c:v>
                </c:pt>
                <c:pt idx="1047">
                  <c:v>0.64577540595709937</c:v>
                </c:pt>
                <c:pt idx="1048">
                  <c:v>0.64203455902623141</c:v>
                </c:pt>
                <c:pt idx="1049">
                  <c:v>0.64203455902623141</c:v>
                </c:pt>
                <c:pt idx="1050">
                  <c:v>0.64203455902623141</c:v>
                </c:pt>
                <c:pt idx="1051">
                  <c:v>0.64203455902623141</c:v>
                </c:pt>
                <c:pt idx="1052">
                  <c:v>0.64203455902623141</c:v>
                </c:pt>
                <c:pt idx="1053">
                  <c:v>0.64203455902623141</c:v>
                </c:pt>
                <c:pt idx="1054">
                  <c:v>0.64203455902623141</c:v>
                </c:pt>
                <c:pt idx="1055">
                  <c:v>0.65288678116981502</c:v>
                </c:pt>
                <c:pt idx="1056">
                  <c:v>0.65288678116981502</c:v>
                </c:pt>
                <c:pt idx="1057">
                  <c:v>0.65288678116981502</c:v>
                </c:pt>
                <c:pt idx="1058">
                  <c:v>0.65288678116981502</c:v>
                </c:pt>
                <c:pt idx="1059">
                  <c:v>0.65288678116981502</c:v>
                </c:pt>
                <c:pt idx="1060">
                  <c:v>0.65288678116981502</c:v>
                </c:pt>
                <c:pt idx="1061">
                  <c:v>0.65288678116981502</c:v>
                </c:pt>
                <c:pt idx="1062">
                  <c:v>0.65288678116981502</c:v>
                </c:pt>
                <c:pt idx="1063">
                  <c:v>0.61197605775831643</c:v>
                </c:pt>
                <c:pt idx="1064">
                  <c:v>0.61197605775831643</c:v>
                </c:pt>
                <c:pt idx="1065">
                  <c:v>0.61197605775831643</c:v>
                </c:pt>
                <c:pt idx="1066">
                  <c:v>0.61197605775831643</c:v>
                </c:pt>
                <c:pt idx="1067">
                  <c:v>0.61197605775831643</c:v>
                </c:pt>
                <c:pt idx="1068">
                  <c:v>0.61197605775831643</c:v>
                </c:pt>
                <c:pt idx="1069">
                  <c:v>0.61776276354636528</c:v>
                </c:pt>
                <c:pt idx="1070">
                  <c:v>0.61776276354636528</c:v>
                </c:pt>
                <c:pt idx="1071">
                  <c:v>0.61776276354636528</c:v>
                </c:pt>
                <c:pt idx="1072">
                  <c:v>0.61776276354636528</c:v>
                </c:pt>
                <c:pt idx="1073">
                  <c:v>0.61776276354636528</c:v>
                </c:pt>
                <c:pt idx="1074">
                  <c:v>0.61776276354636528</c:v>
                </c:pt>
                <c:pt idx="1075">
                  <c:v>0.61776276354636528</c:v>
                </c:pt>
                <c:pt idx="1076">
                  <c:v>0.61776276354636528</c:v>
                </c:pt>
                <c:pt idx="1077">
                  <c:v>0.61776276354636528</c:v>
                </c:pt>
                <c:pt idx="1078">
                  <c:v>0.61776276354636528</c:v>
                </c:pt>
                <c:pt idx="1079">
                  <c:v>0.61776276354636528</c:v>
                </c:pt>
                <c:pt idx="1080">
                  <c:v>0.61776276354636528</c:v>
                </c:pt>
                <c:pt idx="1081">
                  <c:v>0.61776276354636528</c:v>
                </c:pt>
                <c:pt idx="1082">
                  <c:v>0.61776276354636528</c:v>
                </c:pt>
                <c:pt idx="1083">
                  <c:v>0.60388264112837176</c:v>
                </c:pt>
                <c:pt idx="1084">
                  <c:v>0.60388264112837176</c:v>
                </c:pt>
                <c:pt idx="1085">
                  <c:v>0.60388264112837176</c:v>
                </c:pt>
                <c:pt idx="1086">
                  <c:v>0.60388264112837176</c:v>
                </c:pt>
                <c:pt idx="1087">
                  <c:v>0.60388264112837176</c:v>
                </c:pt>
                <c:pt idx="1088">
                  <c:v>0.60388264112837176</c:v>
                </c:pt>
                <c:pt idx="1089">
                  <c:v>0.60388264112837176</c:v>
                </c:pt>
                <c:pt idx="1090">
                  <c:v>0.60388264112837176</c:v>
                </c:pt>
                <c:pt idx="1091">
                  <c:v>0.62983445650633119</c:v>
                </c:pt>
                <c:pt idx="1092">
                  <c:v>0.62983445650633119</c:v>
                </c:pt>
                <c:pt idx="1093">
                  <c:v>0.62983445650633119</c:v>
                </c:pt>
                <c:pt idx="1094">
                  <c:v>0.62983445650633119</c:v>
                </c:pt>
                <c:pt idx="1095">
                  <c:v>0.62983445650633119</c:v>
                </c:pt>
                <c:pt idx="1096">
                  <c:v>0.62983445650633119</c:v>
                </c:pt>
                <c:pt idx="1097">
                  <c:v>0.62225180561157833</c:v>
                </c:pt>
                <c:pt idx="1098">
                  <c:v>0.62225180561157833</c:v>
                </c:pt>
                <c:pt idx="1099">
                  <c:v>0.62225180561157833</c:v>
                </c:pt>
                <c:pt idx="1100">
                  <c:v>0.62225180561157833</c:v>
                </c:pt>
                <c:pt idx="1101">
                  <c:v>0.62225180561157833</c:v>
                </c:pt>
                <c:pt idx="1102">
                  <c:v>0.62225180561157833</c:v>
                </c:pt>
                <c:pt idx="1103">
                  <c:v>0.62225180561157833</c:v>
                </c:pt>
                <c:pt idx="1104">
                  <c:v>0.63362578195370756</c:v>
                </c:pt>
                <c:pt idx="1105">
                  <c:v>0.63362578195370756</c:v>
                </c:pt>
                <c:pt idx="1106">
                  <c:v>0.63362578195370756</c:v>
                </c:pt>
                <c:pt idx="1107">
                  <c:v>0.63362578195370756</c:v>
                </c:pt>
                <c:pt idx="1108">
                  <c:v>0.63362578195370756</c:v>
                </c:pt>
                <c:pt idx="1109">
                  <c:v>0.63362578195370756</c:v>
                </c:pt>
                <c:pt idx="1110">
                  <c:v>0.63362578195370756</c:v>
                </c:pt>
                <c:pt idx="1111">
                  <c:v>0.63362578195370756</c:v>
                </c:pt>
                <c:pt idx="1112">
                  <c:v>0.63362578195370756</c:v>
                </c:pt>
                <c:pt idx="1113">
                  <c:v>0.63362578195370756</c:v>
                </c:pt>
                <c:pt idx="1114">
                  <c:v>0.63362578195370756</c:v>
                </c:pt>
                <c:pt idx="1115">
                  <c:v>0.63362578195370756</c:v>
                </c:pt>
                <c:pt idx="1116">
                  <c:v>0.63362578195370756</c:v>
                </c:pt>
                <c:pt idx="1117">
                  <c:v>0.63362578195370756</c:v>
                </c:pt>
                <c:pt idx="1118">
                  <c:v>0.6347631795879205</c:v>
                </c:pt>
                <c:pt idx="1119">
                  <c:v>0.6347631795879205</c:v>
                </c:pt>
                <c:pt idx="1120">
                  <c:v>0.6347631795879205</c:v>
                </c:pt>
                <c:pt idx="1121">
                  <c:v>0.6347631795879205</c:v>
                </c:pt>
                <c:pt idx="1122">
                  <c:v>0.6347631795879205</c:v>
                </c:pt>
                <c:pt idx="1123">
                  <c:v>0.6347631795879205</c:v>
                </c:pt>
                <c:pt idx="1124">
                  <c:v>0.6347631795879205</c:v>
                </c:pt>
                <c:pt idx="1125">
                  <c:v>0.63291250471638516</c:v>
                </c:pt>
                <c:pt idx="1126">
                  <c:v>0.63291250471638516</c:v>
                </c:pt>
                <c:pt idx="1127">
                  <c:v>0.63291250471638516</c:v>
                </c:pt>
                <c:pt idx="1128">
                  <c:v>0.63291250471638516</c:v>
                </c:pt>
                <c:pt idx="1129">
                  <c:v>0.63291250471638516</c:v>
                </c:pt>
                <c:pt idx="1130">
                  <c:v>0.63291250471638516</c:v>
                </c:pt>
                <c:pt idx="1131">
                  <c:v>0.63291250471638516</c:v>
                </c:pt>
                <c:pt idx="1132">
                  <c:v>0.64891982234730206</c:v>
                </c:pt>
                <c:pt idx="1133">
                  <c:v>0.64891982234730206</c:v>
                </c:pt>
                <c:pt idx="1134">
                  <c:v>0.64891982234730206</c:v>
                </c:pt>
                <c:pt idx="1135">
                  <c:v>0.64891982234730206</c:v>
                </c:pt>
                <c:pt idx="1136">
                  <c:v>0.64891982234730206</c:v>
                </c:pt>
                <c:pt idx="1137">
                  <c:v>0.64891982234730206</c:v>
                </c:pt>
                <c:pt idx="1138">
                  <c:v>0.64891982234730206</c:v>
                </c:pt>
                <c:pt idx="1139">
                  <c:v>0.6591905373566983</c:v>
                </c:pt>
                <c:pt idx="1140">
                  <c:v>0.6591905373566983</c:v>
                </c:pt>
                <c:pt idx="1141">
                  <c:v>0.6591905373566983</c:v>
                </c:pt>
                <c:pt idx="1142">
                  <c:v>0.6591905373566983</c:v>
                </c:pt>
                <c:pt idx="1143">
                  <c:v>0.6591905373566983</c:v>
                </c:pt>
                <c:pt idx="1144">
                  <c:v>0.6591905373566983</c:v>
                </c:pt>
                <c:pt idx="1145">
                  <c:v>0.6591905373566983</c:v>
                </c:pt>
                <c:pt idx="1146">
                  <c:v>0.65961262370063201</c:v>
                </c:pt>
                <c:pt idx="1147">
                  <c:v>0.65961262370063201</c:v>
                </c:pt>
                <c:pt idx="1148">
                  <c:v>0.65961262370063201</c:v>
                </c:pt>
                <c:pt idx="1149">
                  <c:v>0.65961262370063201</c:v>
                </c:pt>
                <c:pt idx="1150">
                  <c:v>0.65961262370063201</c:v>
                </c:pt>
                <c:pt idx="1151">
                  <c:v>0.65961262370063201</c:v>
                </c:pt>
                <c:pt idx="1152">
                  <c:v>0.65961262370063201</c:v>
                </c:pt>
                <c:pt idx="1153">
                  <c:v>0.65766035299871117</c:v>
                </c:pt>
                <c:pt idx="1154">
                  <c:v>0.64950041827818905</c:v>
                </c:pt>
                <c:pt idx="1155">
                  <c:v>0.64950041827818905</c:v>
                </c:pt>
                <c:pt idx="1156">
                  <c:v>0.64950041827818905</c:v>
                </c:pt>
                <c:pt idx="1157">
                  <c:v>0.64950041827818905</c:v>
                </c:pt>
                <c:pt idx="1158">
                  <c:v>0.64950041827818905</c:v>
                </c:pt>
                <c:pt idx="1159">
                  <c:v>0.64950041827818905</c:v>
                </c:pt>
                <c:pt idx="1160">
                  <c:v>0.64950041827818905</c:v>
                </c:pt>
                <c:pt idx="1161">
                  <c:v>0.64950041827818905</c:v>
                </c:pt>
                <c:pt idx="1162">
                  <c:v>0.64950041827818905</c:v>
                </c:pt>
                <c:pt idx="1163">
                  <c:v>0.64950041827818905</c:v>
                </c:pt>
                <c:pt idx="1164">
                  <c:v>0.64950041827818905</c:v>
                </c:pt>
                <c:pt idx="1165">
                  <c:v>0.64950041827818905</c:v>
                </c:pt>
                <c:pt idx="1166">
                  <c:v>0.64950041827818905</c:v>
                </c:pt>
                <c:pt idx="1167">
                  <c:v>0.61502637999082077</c:v>
                </c:pt>
                <c:pt idx="1168">
                  <c:v>0.61502637999082077</c:v>
                </c:pt>
                <c:pt idx="1169">
                  <c:v>0.61502637999082077</c:v>
                </c:pt>
                <c:pt idx="1170">
                  <c:v>0.61502637999082077</c:v>
                </c:pt>
                <c:pt idx="1171">
                  <c:v>0.61502637999082077</c:v>
                </c:pt>
                <c:pt idx="1172">
                  <c:v>0.61502637999082077</c:v>
                </c:pt>
                <c:pt idx="1173">
                  <c:v>0.61502637999082077</c:v>
                </c:pt>
                <c:pt idx="1174">
                  <c:v>0.61392988296346951</c:v>
                </c:pt>
                <c:pt idx="1175">
                  <c:v>0.61392988296346951</c:v>
                </c:pt>
                <c:pt idx="1176">
                  <c:v>0.61392988296346951</c:v>
                </c:pt>
                <c:pt idx="1177">
                  <c:v>0.61392988296346951</c:v>
                </c:pt>
                <c:pt idx="1178">
                  <c:v>0.61392988296346951</c:v>
                </c:pt>
                <c:pt idx="1179">
                  <c:v>0.61392988296346951</c:v>
                </c:pt>
                <c:pt idx="1180">
                  <c:v>0.61392988296346951</c:v>
                </c:pt>
                <c:pt idx="1181">
                  <c:v>0.61484096102722152</c:v>
                </c:pt>
                <c:pt idx="1182">
                  <c:v>0.61484096102722152</c:v>
                </c:pt>
                <c:pt idx="1183">
                  <c:v>0.61484096102722152</c:v>
                </c:pt>
                <c:pt idx="1184">
                  <c:v>0.61484096102722152</c:v>
                </c:pt>
                <c:pt idx="1185">
                  <c:v>0.61484096102722152</c:v>
                </c:pt>
                <c:pt idx="1186">
                  <c:v>0.62104177418637496</c:v>
                </c:pt>
                <c:pt idx="1187">
                  <c:v>0.62104177418637496</c:v>
                </c:pt>
                <c:pt idx="1188">
                  <c:v>0.62104177418637496</c:v>
                </c:pt>
                <c:pt idx="1189">
                  <c:v>0.62104177418637496</c:v>
                </c:pt>
                <c:pt idx="1190">
                  <c:v>0.62104177418637496</c:v>
                </c:pt>
                <c:pt idx="1191">
                  <c:v>0.62104177418637496</c:v>
                </c:pt>
                <c:pt idx="1192">
                  <c:v>0.62104177418637496</c:v>
                </c:pt>
                <c:pt idx="1193">
                  <c:v>0.62104177418637496</c:v>
                </c:pt>
                <c:pt idx="1194">
                  <c:v>0.62104177418637496</c:v>
                </c:pt>
                <c:pt idx="1195">
                  <c:v>0.6160484839201702</c:v>
                </c:pt>
                <c:pt idx="1196">
                  <c:v>0.6160484839201702</c:v>
                </c:pt>
                <c:pt idx="1197">
                  <c:v>0.6160484839201702</c:v>
                </c:pt>
                <c:pt idx="1198">
                  <c:v>0.6160484839201702</c:v>
                </c:pt>
                <c:pt idx="1199">
                  <c:v>0.6160484839201702</c:v>
                </c:pt>
                <c:pt idx="1200">
                  <c:v>0.6160484839201702</c:v>
                </c:pt>
                <c:pt idx="1201">
                  <c:v>0.6160484839201702</c:v>
                </c:pt>
                <c:pt idx="1202">
                  <c:v>0.60728491143778773</c:v>
                </c:pt>
                <c:pt idx="1203">
                  <c:v>0.60416410502140971</c:v>
                </c:pt>
                <c:pt idx="1204">
                  <c:v>0.60416410502140971</c:v>
                </c:pt>
                <c:pt idx="1205">
                  <c:v>0.60416410502140971</c:v>
                </c:pt>
                <c:pt idx="1206">
                  <c:v>0.60416410502140971</c:v>
                </c:pt>
                <c:pt idx="1207">
                  <c:v>0.60416410502140971</c:v>
                </c:pt>
                <c:pt idx="1208">
                  <c:v>0.60416410502140971</c:v>
                </c:pt>
                <c:pt idx="1209">
                  <c:v>0.57009584466770125</c:v>
                </c:pt>
                <c:pt idx="1210">
                  <c:v>0.57009584466770125</c:v>
                </c:pt>
                <c:pt idx="1211">
                  <c:v>0.57009584466770125</c:v>
                </c:pt>
                <c:pt idx="1212">
                  <c:v>0.57009584466770125</c:v>
                </c:pt>
                <c:pt idx="1213">
                  <c:v>0.57009584466770125</c:v>
                </c:pt>
                <c:pt idx="1214">
                  <c:v>0.57009584466770125</c:v>
                </c:pt>
                <c:pt idx="1215">
                  <c:v>0.57009584466770125</c:v>
                </c:pt>
                <c:pt idx="1216">
                  <c:v>0.58066020300654031</c:v>
                </c:pt>
                <c:pt idx="1217">
                  <c:v>0.58066020300654031</c:v>
                </c:pt>
                <c:pt idx="1218">
                  <c:v>0.58066020300654031</c:v>
                </c:pt>
                <c:pt idx="1219">
                  <c:v>0.58066020300654031</c:v>
                </c:pt>
                <c:pt idx="1220">
                  <c:v>0.58066020300654031</c:v>
                </c:pt>
                <c:pt idx="1221">
                  <c:v>0.58066020300654031</c:v>
                </c:pt>
                <c:pt idx="1222">
                  <c:v>0.58066020300654031</c:v>
                </c:pt>
                <c:pt idx="1223">
                  <c:v>0.58658973519765845</c:v>
                </c:pt>
                <c:pt idx="1224">
                  <c:v>0.58658973519765845</c:v>
                </c:pt>
                <c:pt idx="1225">
                  <c:v>0.58658973519765845</c:v>
                </c:pt>
                <c:pt idx="1226">
                  <c:v>0.58658973519765845</c:v>
                </c:pt>
                <c:pt idx="1227">
                  <c:v>0.58658973519765845</c:v>
                </c:pt>
                <c:pt idx="1228">
                  <c:v>0.58658973519765845</c:v>
                </c:pt>
                <c:pt idx="1229">
                  <c:v>0.58658973519765845</c:v>
                </c:pt>
                <c:pt idx="1230">
                  <c:v>0.58470819655556416</c:v>
                </c:pt>
                <c:pt idx="1231">
                  <c:v>0.58470819655556416</c:v>
                </c:pt>
                <c:pt idx="1232">
                  <c:v>0.58470819655556416</c:v>
                </c:pt>
                <c:pt idx="1233">
                  <c:v>0.58470819655556416</c:v>
                </c:pt>
                <c:pt idx="1234">
                  <c:v>0.58470819655556416</c:v>
                </c:pt>
                <c:pt idx="1235">
                  <c:v>0.58470819655556416</c:v>
                </c:pt>
                <c:pt idx="1236">
                  <c:v>0.58470819655556416</c:v>
                </c:pt>
                <c:pt idx="1237">
                  <c:v>0.58777897246651689</c:v>
                </c:pt>
                <c:pt idx="1238">
                  <c:v>0.58777897246651689</c:v>
                </c:pt>
                <c:pt idx="1239">
                  <c:v>0.58777897246651689</c:v>
                </c:pt>
                <c:pt idx="1240">
                  <c:v>0.58777897246651689</c:v>
                </c:pt>
                <c:pt idx="1241">
                  <c:v>0.58777897246651689</c:v>
                </c:pt>
                <c:pt idx="1242">
                  <c:v>0.58777897246651689</c:v>
                </c:pt>
                <c:pt idx="1243">
                  <c:v>0.58777897246651689</c:v>
                </c:pt>
                <c:pt idx="1244">
                  <c:v>0.6048972903976757</c:v>
                </c:pt>
                <c:pt idx="1245">
                  <c:v>0.6048972903976757</c:v>
                </c:pt>
                <c:pt idx="1246">
                  <c:v>0.6048972903976757</c:v>
                </c:pt>
                <c:pt idx="1247">
                  <c:v>0.6048972903976757</c:v>
                </c:pt>
                <c:pt idx="1248">
                  <c:v>0.6048972903976757</c:v>
                </c:pt>
                <c:pt idx="1249">
                  <c:v>0.6048972903976757</c:v>
                </c:pt>
                <c:pt idx="1250">
                  <c:v>0.6048972903976757</c:v>
                </c:pt>
                <c:pt idx="1251">
                  <c:v>0.60695592471437454</c:v>
                </c:pt>
                <c:pt idx="1252">
                  <c:v>0.60695592471437454</c:v>
                </c:pt>
                <c:pt idx="1253">
                  <c:v>0.60695592471437454</c:v>
                </c:pt>
                <c:pt idx="1254">
                  <c:v>0.60695592471437454</c:v>
                </c:pt>
                <c:pt idx="1255">
                  <c:v>0.60695592471437454</c:v>
                </c:pt>
                <c:pt idx="1256">
                  <c:v>0.60695592471437454</c:v>
                </c:pt>
                <c:pt idx="1257">
                  <c:v>0.60695592471437454</c:v>
                </c:pt>
                <c:pt idx="1258">
                  <c:v>0.60879399106856991</c:v>
                </c:pt>
                <c:pt idx="1259">
                  <c:v>0.60879399106856991</c:v>
                </c:pt>
                <c:pt idx="1260">
                  <c:v>0.60879399106856991</c:v>
                </c:pt>
                <c:pt idx="1261">
                  <c:v>0.60879399106856991</c:v>
                </c:pt>
                <c:pt idx="1262">
                  <c:v>0.60879399106856991</c:v>
                </c:pt>
                <c:pt idx="1263">
                  <c:v>0.60879399106856991</c:v>
                </c:pt>
                <c:pt idx="1264">
                  <c:v>0.60879399106856991</c:v>
                </c:pt>
                <c:pt idx="1265">
                  <c:v>0.61669151565989211</c:v>
                </c:pt>
                <c:pt idx="1266">
                  <c:v>0.61669151565989211</c:v>
                </c:pt>
                <c:pt idx="1267">
                  <c:v>0.61669151565989211</c:v>
                </c:pt>
                <c:pt idx="1268">
                  <c:v>0.61669151565989211</c:v>
                </c:pt>
                <c:pt idx="1269">
                  <c:v>0.61669151565989211</c:v>
                </c:pt>
                <c:pt idx="1270">
                  <c:v>0.61669151565989211</c:v>
                </c:pt>
                <c:pt idx="1271">
                  <c:v>0.61669151565989211</c:v>
                </c:pt>
                <c:pt idx="1272">
                  <c:v>0.60360873172185059</c:v>
                </c:pt>
                <c:pt idx="1273">
                  <c:v>0.60360873172185059</c:v>
                </c:pt>
                <c:pt idx="1274">
                  <c:v>0.60360873172185059</c:v>
                </c:pt>
                <c:pt idx="1275">
                  <c:v>0.60360873172185059</c:v>
                </c:pt>
                <c:pt idx="1276">
                  <c:v>0.60360873172185059</c:v>
                </c:pt>
                <c:pt idx="1277">
                  <c:v>0.60360873172185059</c:v>
                </c:pt>
                <c:pt idx="1278">
                  <c:v>0.60360873172185059</c:v>
                </c:pt>
                <c:pt idx="1279">
                  <c:v>0.60360873172185059</c:v>
                </c:pt>
                <c:pt idx="1280">
                  <c:v>0.60360873172185059</c:v>
                </c:pt>
                <c:pt idx="1281">
                  <c:v>0.60360873172185059</c:v>
                </c:pt>
                <c:pt idx="1282">
                  <c:v>0.60360873172185059</c:v>
                </c:pt>
                <c:pt idx="1283">
                  <c:v>0.60360873172185059</c:v>
                </c:pt>
                <c:pt idx="1284">
                  <c:v>0.60360873172185059</c:v>
                </c:pt>
                <c:pt idx="1285">
                  <c:v>0.60360873172185059</c:v>
                </c:pt>
                <c:pt idx="1286">
                  <c:v>0.60667217564550957</c:v>
                </c:pt>
                <c:pt idx="1287">
                  <c:v>0.60667217564550957</c:v>
                </c:pt>
                <c:pt idx="1288">
                  <c:v>0.60667217564550957</c:v>
                </c:pt>
                <c:pt idx="1289">
                  <c:v>0.60667217564550957</c:v>
                </c:pt>
                <c:pt idx="1290">
                  <c:v>0.60667217564550957</c:v>
                </c:pt>
                <c:pt idx="1291">
                  <c:v>0.60667217564550957</c:v>
                </c:pt>
                <c:pt idx="1292">
                  <c:v>0.60667217564550957</c:v>
                </c:pt>
                <c:pt idx="1293">
                  <c:v>0.60361179516577423</c:v>
                </c:pt>
                <c:pt idx="1294">
                  <c:v>0.60361179516577423</c:v>
                </c:pt>
                <c:pt idx="1295">
                  <c:v>0.60361179516577423</c:v>
                </c:pt>
                <c:pt idx="1296">
                  <c:v>0.60361179516577423</c:v>
                </c:pt>
                <c:pt idx="1297">
                  <c:v>0.60361179516577423</c:v>
                </c:pt>
                <c:pt idx="1298">
                  <c:v>0.60361179516577423</c:v>
                </c:pt>
                <c:pt idx="1299">
                  <c:v>0.60361179516577423</c:v>
                </c:pt>
                <c:pt idx="1300">
                  <c:v>0.60227776322742355</c:v>
                </c:pt>
                <c:pt idx="1301">
                  <c:v>0.60227776322742355</c:v>
                </c:pt>
                <c:pt idx="1302">
                  <c:v>0.60227776322742355</c:v>
                </c:pt>
                <c:pt idx="1303">
                  <c:v>0.60227776322742355</c:v>
                </c:pt>
                <c:pt idx="1304">
                  <c:v>0.60227776322742355</c:v>
                </c:pt>
                <c:pt idx="1305">
                  <c:v>0.60227776322742355</c:v>
                </c:pt>
                <c:pt idx="1306">
                  <c:v>0.60227776322742355</c:v>
                </c:pt>
                <c:pt idx="1307">
                  <c:v>0.59733078861158695</c:v>
                </c:pt>
                <c:pt idx="1308">
                  <c:v>0.59733078861158695</c:v>
                </c:pt>
                <c:pt idx="1309">
                  <c:v>0.59733078861158695</c:v>
                </c:pt>
                <c:pt idx="1310">
                  <c:v>0.59733078861158695</c:v>
                </c:pt>
                <c:pt idx="1311">
                  <c:v>0.59733078861158695</c:v>
                </c:pt>
                <c:pt idx="1312">
                  <c:v>0.59733078861158695</c:v>
                </c:pt>
                <c:pt idx="1313">
                  <c:v>0.59733078861158695</c:v>
                </c:pt>
                <c:pt idx="1314">
                  <c:v>0.59733078861158695</c:v>
                </c:pt>
                <c:pt idx="1315">
                  <c:v>0.59733078861158695</c:v>
                </c:pt>
                <c:pt idx="1316">
                  <c:v>0.59733078861158695</c:v>
                </c:pt>
                <c:pt idx="1317">
                  <c:v>0.59733078861158695</c:v>
                </c:pt>
                <c:pt idx="1318">
                  <c:v>0.59733078861158695</c:v>
                </c:pt>
                <c:pt idx="1319">
                  <c:v>0.59733078861158695</c:v>
                </c:pt>
                <c:pt idx="1320">
                  <c:v>0.59733078861158695</c:v>
                </c:pt>
                <c:pt idx="1321">
                  <c:v>0.59037410555806691</c:v>
                </c:pt>
                <c:pt idx="1322">
                  <c:v>0.59037410555806691</c:v>
                </c:pt>
                <c:pt idx="1323">
                  <c:v>0.59037410555806691</c:v>
                </c:pt>
                <c:pt idx="1324">
                  <c:v>0.59037410555806691</c:v>
                </c:pt>
                <c:pt idx="1325">
                  <c:v>0.59037410555806691</c:v>
                </c:pt>
                <c:pt idx="1326">
                  <c:v>0.59037410555806691</c:v>
                </c:pt>
                <c:pt idx="1327">
                  <c:v>0.59037410555806691</c:v>
                </c:pt>
                <c:pt idx="1328">
                  <c:v>0.58873542021657099</c:v>
                </c:pt>
                <c:pt idx="1329">
                  <c:v>0.58873542021657099</c:v>
                </c:pt>
                <c:pt idx="1330">
                  <c:v>0.58873542021657099</c:v>
                </c:pt>
                <c:pt idx="1331">
                  <c:v>0.58873542021657099</c:v>
                </c:pt>
                <c:pt idx="1332">
                  <c:v>0.58873542021657099</c:v>
                </c:pt>
                <c:pt idx="1333">
                  <c:v>0.58873542021657099</c:v>
                </c:pt>
                <c:pt idx="1334">
                  <c:v>0.62973368355185</c:v>
                </c:pt>
                <c:pt idx="1335">
                  <c:v>0.63404055167445683</c:v>
                </c:pt>
                <c:pt idx="1336">
                  <c:v>0.63404055167445683</c:v>
                </c:pt>
                <c:pt idx="1337">
                  <c:v>0.63404055167445683</c:v>
                </c:pt>
                <c:pt idx="1338">
                  <c:v>0.63404055167445683</c:v>
                </c:pt>
                <c:pt idx="1339">
                  <c:v>0.63404055167445683</c:v>
                </c:pt>
                <c:pt idx="1340">
                  <c:v>0.63404055167445683</c:v>
                </c:pt>
                <c:pt idx="1341">
                  <c:v>0.63404055167445683</c:v>
                </c:pt>
                <c:pt idx="1342">
                  <c:v>0.63352895653920582</c:v>
                </c:pt>
                <c:pt idx="1343">
                  <c:v>0.63352895653920582</c:v>
                </c:pt>
                <c:pt idx="1344">
                  <c:v>0.63352895653920582</c:v>
                </c:pt>
                <c:pt idx="1345">
                  <c:v>0.63352895653920582</c:v>
                </c:pt>
                <c:pt idx="1346">
                  <c:v>0.63352895653920582</c:v>
                </c:pt>
                <c:pt idx="1347">
                  <c:v>0.63352895653920582</c:v>
                </c:pt>
                <c:pt idx="1348">
                  <c:v>0.63352895653920582</c:v>
                </c:pt>
                <c:pt idx="1349">
                  <c:v>0.63153771798882752</c:v>
                </c:pt>
                <c:pt idx="1350">
                  <c:v>0.63153771798882752</c:v>
                </c:pt>
                <c:pt idx="1351">
                  <c:v>0.63153771798882752</c:v>
                </c:pt>
                <c:pt idx="1352">
                  <c:v>0.63153771798882752</c:v>
                </c:pt>
                <c:pt idx="1353">
                  <c:v>0.63153771798882752</c:v>
                </c:pt>
                <c:pt idx="1354">
                  <c:v>0.63153771798882752</c:v>
                </c:pt>
                <c:pt idx="1355">
                  <c:v>0.63153771798882752</c:v>
                </c:pt>
                <c:pt idx="1356">
                  <c:v>0.6250784381003428</c:v>
                </c:pt>
                <c:pt idx="1357">
                  <c:v>0.6250784381003428</c:v>
                </c:pt>
                <c:pt idx="1358">
                  <c:v>0.6250784381003428</c:v>
                </c:pt>
                <c:pt idx="1359">
                  <c:v>0.6250784381003428</c:v>
                </c:pt>
                <c:pt idx="1360">
                  <c:v>0.6250784381003428</c:v>
                </c:pt>
                <c:pt idx="1361">
                  <c:v>0.6250784381003428</c:v>
                </c:pt>
                <c:pt idx="1362">
                  <c:v>0.6250784381003428</c:v>
                </c:pt>
                <c:pt idx="1363">
                  <c:v>0.61480419891663074</c:v>
                </c:pt>
                <c:pt idx="1364">
                  <c:v>0.61480419891663074</c:v>
                </c:pt>
                <c:pt idx="1365">
                  <c:v>0.61480419891663074</c:v>
                </c:pt>
                <c:pt idx="1366">
                  <c:v>0.61480419891663074</c:v>
                </c:pt>
                <c:pt idx="1367">
                  <c:v>0.61480419891663074</c:v>
                </c:pt>
                <c:pt idx="1368">
                  <c:v>0.61480419891663074</c:v>
                </c:pt>
                <c:pt idx="1369">
                  <c:v>0.61480419891663074</c:v>
                </c:pt>
                <c:pt idx="1370">
                  <c:v>0.62876707587636604</c:v>
                </c:pt>
                <c:pt idx="1371">
                  <c:v>0.62876707587636604</c:v>
                </c:pt>
                <c:pt idx="1372">
                  <c:v>0.62876707587636604</c:v>
                </c:pt>
                <c:pt idx="1373">
                  <c:v>0.62876707587636604</c:v>
                </c:pt>
                <c:pt idx="1374">
                  <c:v>0.62876707587636604</c:v>
                </c:pt>
                <c:pt idx="1375">
                  <c:v>0.62876707587636604</c:v>
                </c:pt>
                <c:pt idx="1376">
                  <c:v>0.62876707587636604</c:v>
                </c:pt>
                <c:pt idx="1377">
                  <c:v>0.62799403333858395</c:v>
                </c:pt>
                <c:pt idx="1378">
                  <c:v>0.62799403333858395</c:v>
                </c:pt>
                <c:pt idx="1379">
                  <c:v>0.62799403333858395</c:v>
                </c:pt>
                <c:pt idx="1380">
                  <c:v>0.62799403333858395</c:v>
                </c:pt>
                <c:pt idx="1381">
                  <c:v>0.62799403333858395</c:v>
                </c:pt>
                <c:pt idx="1382">
                  <c:v>0.62799403333858395</c:v>
                </c:pt>
                <c:pt idx="1383">
                  <c:v>0.62799403333858395</c:v>
                </c:pt>
                <c:pt idx="1384">
                  <c:v>0.6338326503161873</c:v>
                </c:pt>
                <c:pt idx="1385">
                  <c:v>0.6338326503161873</c:v>
                </c:pt>
                <c:pt idx="1386">
                  <c:v>0.6338326503161873</c:v>
                </c:pt>
                <c:pt idx="1387">
                  <c:v>0.6338326503161873</c:v>
                </c:pt>
                <c:pt idx="1388">
                  <c:v>0.6338326503161873</c:v>
                </c:pt>
                <c:pt idx="1389">
                  <c:v>0.6338326503161873</c:v>
                </c:pt>
                <c:pt idx="1390">
                  <c:v>0.6338326503161873</c:v>
                </c:pt>
                <c:pt idx="1391">
                  <c:v>0.63590353477543105</c:v>
                </c:pt>
                <c:pt idx="1392">
                  <c:v>0.63590353477543105</c:v>
                </c:pt>
                <c:pt idx="1393">
                  <c:v>0.63590353477543105</c:v>
                </c:pt>
                <c:pt idx="1394">
                  <c:v>0.63590353477543105</c:v>
                </c:pt>
                <c:pt idx="1395">
                  <c:v>0.63903627497530791</c:v>
                </c:pt>
                <c:pt idx="1396">
                  <c:v>0.63903627497530791</c:v>
                </c:pt>
                <c:pt idx="1397">
                  <c:v>0.63903627497530791</c:v>
                </c:pt>
                <c:pt idx="1398">
                  <c:v>0.63689146088778248</c:v>
                </c:pt>
                <c:pt idx="1399">
                  <c:v>0.63689146088778248</c:v>
                </c:pt>
                <c:pt idx="1400">
                  <c:v>0.63689146088778248</c:v>
                </c:pt>
                <c:pt idx="1401">
                  <c:v>0.64704320189607667</c:v>
                </c:pt>
                <c:pt idx="1402">
                  <c:v>0.64704320189607667</c:v>
                </c:pt>
                <c:pt idx="1403">
                  <c:v>0.63969847843164207</c:v>
                </c:pt>
                <c:pt idx="1404">
                  <c:v>0.63969847843164207</c:v>
                </c:pt>
                <c:pt idx="1405">
                  <c:v>0.64762058814044765</c:v>
                </c:pt>
                <c:pt idx="1406">
                  <c:v>0.64762058814044765</c:v>
                </c:pt>
                <c:pt idx="1407">
                  <c:v>0.64762058814044765</c:v>
                </c:pt>
                <c:pt idx="1408">
                  <c:v>0.64762058814044765</c:v>
                </c:pt>
                <c:pt idx="1409">
                  <c:v>0.64762058814044765</c:v>
                </c:pt>
                <c:pt idx="1410">
                  <c:v>0.64762058814044765</c:v>
                </c:pt>
                <c:pt idx="1411">
                  <c:v>0.64762058814044765</c:v>
                </c:pt>
                <c:pt idx="1412">
                  <c:v>0.6462091214552883</c:v>
                </c:pt>
                <c:pt idx="1413">
                  <c:v>0.6462091214552883</c:v>
                </c:pt>
                <c:pt idx="1414">
                  <c:v>0.6462091214552883</c:v>
                </c:pt>
                <c:pt idx="1415">
                  <c:v>0.6462091214552883</c:v>
                </c:pt>
                <c:pt idx="1416">
                  <c:v>0.6462091214552883</c:v>
                </c:pt>
                <c:pt idx="1417">
                  <c:v>0.6462091214552883</c:v>
                </c:pt>
                <c:pt idx="1418">
                  <c:v>0.6462091214552883</c:v>
                </c:pt>
                <c:pt idx="1419">
                  <c:v>0.64844074009358155</c:v>
                </c:pt>
                <c:pt idx="1420">
                  <c:v>0.64844074009358155</c:v>
                </c:pt>
                <c:pt idx="1421">
                  <c:v>0.64844074009358155</c:v>
                </c:pt>
                <c:pt idx="1422">
                  <c:v>0.64844074009358155</c:v>
                </c:pt>
                <c:pt idx="1423">
                  <c:v>0.64844074009358155</c:v>
                </c:pt>
                <c:pt idx="1424">
                  <c:v>0.64844074009358155</c:v>
                </c:pt>
                <c:pt idx="1425">
                  <c:v>0.64844074009358155</c:v>
                </c:pt>
                <c:pt idx="1426">
                  <c:v>0.65903015564000278</c:v>
                </c:pt>
                <c:pt idx="1427">
                  <c:v>0.65903015564000278</c:v>
                </c:pt>
                <c:pt idx="1428">
                  <c:v>0.65903015564000278</c:v>
                </c:pt>
                <c:pt idx="1429">
                  <c:v>0.65903015564000278</c:v>
                </c:pt>
                <c:pt idx="1430">
                  <c:v>0.65903015564000278</c:v>
                </c:pt>
                <c:pt idx="1431">
                  <c:v>0.65903015564000278</c:v>
                </c:pt>
                <c:pt idx="1432">
                  <c:v>0.65903015564000278</c:v>
                </c:pt>
                <c:pt idx="1433">
                  <c:v>0.65848685461471346</c:v>
                </c:pt>
                <c:pt idx="1434">
                  <c:v>0.65848685461471346</c:v>
                </c:pt>
                <c:pt idx="1435">
                  <c:v>0.65848685461471346</c:v>
                </c:pt>
                <c:pt idx="1436">
                  <c:v>0.65848685461471346</c:v>
                </c:pt>
                <c:pt idx="1437">
                  <c:v>0.65848685461471346</c:v>
                </c:pt>
                <c:pt idx="1438">
                  <c:v>0.65848685461471346</c:v>
                </c:pt>
                <c:pt idx="1439">
                  <c:v>0.65848685461471346</c:v>
                </c:pt>
                <c:pt idx="1440">
                  <c:v>0.67090120637778716</c:v>
                </c:pt>
                <c:pt idx="1441">
                  <c:v>0.67090120637778716</c:v>
                </c:pt>
                <c:pt idx="1442">
                  <c:v>0.67090120637778716</c:v>
                </c:pt>
                <c:pt idx="1443">
                  <c:v>0.67090120637778716</c:v>
                </c:pt>
                <c:pt idx="1444">
                  <c:v>0.67090120637778716</c:v>
                </c:pt>
                <c:pt idx="1445">
                  <c:v>0.67090120637778716</c:v>
                </c:pt>
                <c:pt idx="1446">
                  <c:v>0.67090120637778716</c:v>
                </c:pt>
                <c:pt idx="1447">
                  <c:v>0.66646612431879049</c:v>
                </c:pt>
                <c:pt idx="1448">
                  <c:v>0.66646612431879049</c:v>
                </c:pt>
                <c:pt idx="1449">
                  <c:v>0.66646612431879049</c:v>
                </c:pt>
                <c:pt idx="1450">
                  <c:v>0.66646612431879049</c:v>
                </c:pt>
                <c:pt idx="1451">
                  <c:v>0.66646612431879049</c:v>
                </c:pt>
                <c:pt idx="1452">
                  <c:v>0.66646612431879049</c:v>
                </c:pt>
                <c:pt idx="1453">
                  <c:v>0.66646612431879049</c:v>
                </c:pt>
                <c:pt idx="1454">
                  <c:v>0.67432508023411419</c:v>
                </c:pt>
                <c:pt idx="1455">
                  <c:v>0.66442519974841252</c:v>
                </c:pt>
                <c:pt idx="1456">
                  <c:v>0.66442519974841252</c:v>
                </c:pt>
                <c:pt idx="1457">
                  <c:v>0.66442519974841252</c:v>
                </c:pt>
                <c:pt idx="1458">
                  <c:v>0.66442519974841252</c:v>
                </c:pt>
                <c:pt idx="1459">
                  <c:v>0.66442519974841252</c:v>
                </c:pt>
                <c:pt idx="1460">
                  <c:v>0.67266089319779165</c:v>
                </c:pt>
                <c:pt idx="1461">
                  <c:v>0.67266089319779165</c:v>
                </c:pt>
                <c:pt idx="1462">
                  <c:v>0.67266089319779165</c:v>
                </c:pt>
                <c:pt idx="1463">
                  <c:v>0.67266089319779165</c:v>
                </c:pt>
                <c:pt idx="1464">
                  <c:v>0.67266089319779165</c:v>
                </c:pt>
                <c:pt idx="1465">
                  <c:v>0.67266089319779165</c:v>
                </c:pt>
                <c:pt idx="1466">
                  <c:v>0.67266089319779165</c:v>
                </c:pt>
                <c:pt idx="1467">
                  <c:v>0.67266089319779165</c:v>
                </c:pt>
                <c:pt idx="1468">
                  <c:v>0.67411093933343125</c:v>
                </c:pt>
                <c:pt idx="1469">
                  <c:v>0.67411093933343125</c:v>
                </c:pt>
                <c:pt idx="1470">
                  <c:v>0.67411093933343125</c:v>
                </c:pt>
                <c:pt idx="1471">
                  <c:v>0.67411093933343125</c:v>
                </c:pt>
                <c:pt idx="1472">
                  <c:v>0.67411093933343125</c:v>
                </c:pt>
                <c:pt idx="1473">
                  <c:v>0.67411093933343125</c:v>
                </c:pt>
                <c:pt idx="1474">
                  <c:v>0.67411093933343125</c:v>
                </c:pt>
                <c:pt idx="1475">
                  <c:v>0.67466858717251466</c:v>
                </c:pt>
                <c:pt idx="1476">
                  <c:v>0.67466858717251466</c:v>
                </c:pt>
                <c:pt idx="1477">
                  <c:v>0.67466858717251466</c:v>
                </c:pt>
                <c:pt idx="1478">
                  <c:v>0.67466858717251466</c:v>
                </c:pt>
                <c:pt idx="1479">
                  <c:v>0.67466858717251466</c:v>
                </c:pt>
                <c:pt idx="1480">
                  <c:v>0.67466858717251466</c:v>
                </c:pt>
                <c:pt idx="1481">
                  <c:v>0.67466858717251466</c:v>
                </c:pt>
                <c:pt idx="1482">
                  <c:v>0.67610237900054992</c:v>
                </c:pt>
                <c:pt idx="1483">
                  <c:v>0.67610237900054992</c:v>
                </c:pt>
                <c:pt idx="1484">
                  <c:v>0.67610237900054992</c:v>
                </c:pt>
                <c:pt idx="1485">
                  <c:v>0.67610237900054992</c:v>
                </c:pt>
                <c:pt idx="1486">
                  <c:v>0.67610237900054992</c:v>
                </c:pt>
                <c:pt idx="1487">
                  <c:v>0.67610237900054992</c:v>
                </c:pt>
                <c:pt idx="1488">
                  <c:v>0.67610237900054992</c:v>
                </c:pt>
                <c:pt idx="1489">
                  <c:v>0.7300730690719216</c:v>
                </c:pt>
                <c:pt idx="1490">
                  <c:v>0.7300730690719216</c:v>
                </c:pt>
                <c:pt idx="1491">
                  <c:v>0.7300730690719216</c:v>
                </c:pt>
                <c:pt idx="1492">
                  <c:v>0.7300730690719216</c:v>
                </c:pt>
                <c:pt idx="1493">
                  <c:v>0.7300730690719216</c:v>
                </c:pt>
                <c:pt idx="1494">
                  <c:v>0.7300730690719216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69-4882-946F-7481CF690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312575"/>
        <c:axId val="1299309695"/>
      </c:lineChart>
      <c:dateAx>
        <c:axId val="12993125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9309695"/>
        <c:crosses val="autoZero"/>
        <c:auto val="1"/>
        <c:lblOffset val="100"/>
        <c:baseTimeUnit val="days"/>
      </c:dateAx>
      <c:valAx>
        <c:axId val="129930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93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97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941985397090184E-2"/>
          <c:y val="8.1419753086419758E-2"/>
          <c:w val="0.9583819421687414"/>
          <c:h val="0.85797375328083991"/>
        </c:manualLayout>
      </c:layout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BASE!$A$2:$A$1499</c:f>
              <c:numCache>
                <c:formatCode>m/d/yyyy</c:formatCode>
                <c:ptCount val="1498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  <c:pt idx="365">
                  <c:v>44927</c:v>
                </c:pt>
                <c:pt idx="366">
                  <c:v>44928</c:v>
                </c:pt>
                <c:pt idx="367">
                  <c:v>44929</c:v>
                </c:pt>
                <c:pt idx="368">
                  <c:v>44930</c:v>
                </c:pt>
                <c:pt idx="369">
                  <c:v>44931</c:v>
                </c:pt>
                <c:pt idx="370">
                  <c:v>44932</c:v>
                </c:pt>
                <c:pt idx="371">
                  <c:v>44933</c:v>
                </c:pt>
                <c:pt idx="372">
                  <c:v>44934</c:v>
                </c:pt>
                <c:pt idx="373">
                  <c:v>44935</c:v>
                </c:pt>
                <c:pt idx="374">
                  <c:v>44936</c:v>
                </c:pt>
                <c:pt idx="375">
                  <c:v>44937</c:v>
                </c:pt>
                <c:pt idx="376">
                  <c:v>44938</c:v>
                </c:pt>
                <c:pt idx="377">
                  <c:v>44939</c:v>
                </c:pt>
                <c:pt idx="378">
                  <c:v>44940</c:v>
                </c:pt>
                <c:pt idx="379">
                  <c:v>44941</c:v>
                </c:pt>
                <c:pt idx="380">
                  <c:v>44942</c:v>
                </c:pt>
                <c:pt idx="381">
                  <c:v>44943</c:v>
                </c:pt>
                <c:pt idx="382">
                  <c:v>44944</c:v>
                </c:pt>
                <c:pt idx="383">
                  <c:v>44945</c:v>
                </c:pt>
                <c:pt idx="384">
                  <c:v>44946</c:v>
                </c:pt>
                <c:pt idx="385">
                  <c:v>44947</c:v>
                </c:pt>
                <c:pt idx="386">
                  <c:v>44948</c:v>
                </c:pt>
                <c:pt idx="387">
                  <c:v>44949</c:v>
                </c:pt>
                <c:pt idx="388">
                  <c:v>44950</c:v>
                </c:pt>
                <c:pt idx="389">
                  <c:v>44951</c:v>
                </c:pt>
                <c:pt idx="390">
                  <c:v>44952</c:v>
                </c:pt>
                <c:pt idx="391">
                  <c:v>44953</c:v>
                </c:pt>
                <c:pt idx="392">
                  <c:v>44954</c:v>
                </c:pt>
                <c:pt idx="393">
                  <c:v>44955</c:v>
                </c:pt>
                <c:pt idx="394">
                  <c:v>44956</c:v>
                </c:pt>
                <c:pt idx="395">
                  <c:v>44957</c:v>
                </c:pt>
                <c:pt idx="396">
                  <c:v>44958</c:v>
                </c:pt>
                <c:pt idx="397">
                  <c:v>44959</c:v>
                </c:pt>
                <c:pt idx="398">
                  <c:v>44960</c:v>
                </c:pt>
                <c:pt idx="399">
                  <c:v>44961</c:v>
                </c:pt>
                <c:pt idx="400">
                  <c:v>44962</c:v>
                </c:pt>
                <c:pt idx="401">
                  <c:v>44963</c:v>
                </c:pt>
                <c:pt idx="402">
                  <c:v>44964</c:v>
                </c:pt>
                <c:pt idx="403">
                  <c:v>44965</c:v>
                </c:pt>
                <c:pt idx="404">
                  <c:v>44966</c:v>
                </c:pt>
                <c:pt idx="405">
                  <c:v>44967</c:v>
                </c:pt>
                <c:pt idx="406">
                  <c:v>44968</c:v>
                </c:pt>
                <c:pt idx="407">
                  <c:v>44969</c:v>
                </c:pt>
                <c:pt idx="408">
                  <c:v>44970</c:v>
                </c:pt>
                <c:pt idx="409">
                  <c:v>44971</c:v>
                </c:pt>
                <c:pt idx="410">
                  <c:v>44972</c:v>
                </c:pt>
                <c:pt idx="411">
                  <c:v>44973</c:v>
                </c:pt>
                <c:pt idx="412">
                  <c:v>44974</c:v>
                </c:pt>
                <c:pt idx="413">
                  <c:v>44975</c:v>
                </c:pt>
                <c:pt idx="414">
                  <c:v>44976</c:v>
                </c:pt>
                <c:pt idx="415">
                  <c:v>44977</c:v>
                </c:pt>
                <c:pt idx="416">
                  <c:v>44978</c:v>
                </c:pt>
                <c:pt idx="417">
                  <c:v>44979</c:v>
                </c:pt>
                <c:pt idx="418">
                  <c:v>44980</c:v>
                </c:pt>
                <c:pt idx="419">
                  <c:v>44981</c:v>
                </c:pt>
                <c:pt idx="420">
                  <c:v>44982</c:v>
                </c:pt>
                <c:pt idx="421">
                  <c:v>44983</c:v>
                </c:pt>
                <c:pt idx="422">
                  <c:v>44984</c:v>
                </c:pt>
                <c:pt idx="423">
                  <c:v>44985</c:v>
                </c:pt>
                <c:pt idx="424">
                  <c:v>44986</c:v>
                </c:pt>
                <c:pt idx="425">
                  <c:v>44987</c:v>
                </c:pt>
                <c:pt idx="426">
                  <c:v>44988</c:v>
                </c:pt>
                <c:pt idx="427">
                  <c:v>44989</c:v>
                </c:pt>
                <c:pt idx="428">
                  <c:v>44990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44996</c:v>
                </c:pt>
                <c:pt idx="435">
                  <c:v>44997</c:v>
                </c:pt>
                <c:pt idx="436">
                  <c:v>44998</c:v>
                </c:pt>
                <c:pt idx="437">
                  <c:v>44999</c:v>
                </c:pt>
                <c:pt idx="438">
                  <c:v>45000</c:v>
                </c:pt>
                <c:pt idx="439">
                  <c:v>45001</c:v>
                </c:pt>
                <c:pt idx="440">
                  <c:v>45002</c:v>
                </c:pt>
                <c:pt idx="441">
                  <c:v>45003</c:v>
                </c:pt>
                <c:pt idx="442">
                  <c:v>45004</c:v>
                </c:pt>
                <c:pt idx="443">
                  <c:v>45005</c:v>
                </c:pt>
                <c:pt idx="444">
                  <c:v>45006</c:v>
                </c:pt>
                <c:pt idx="445">
                  <c:v>45007</c:v>
                </c:pt>
                <c:pt idx="446">
                  <c:v>45008</c:v>
                </c:pt>
                <c:pt idx="447">
                  <c:v>45009</c:v>
                </c:pt>
                <c:pt idx="448">
                  <c:v>45010</c:v>
                </c:pt>
                <c:pt idx="449">
                  <c:v>45011</c:v>
                </c:pt>
                <c:pt idx="450">
                  <c:v>45012</c:v>
                </c:pt>
                <c:pt idx="451">
                  <c:v>45013</c:v>
                </c:pt>
                <c:pt idx="452">
                  <c:v>45014</c:v>
                </c:pt>
                <c:pt idx="453">
                  <c:v>45015</c:v>
                </c:pt>
                <c:pt idx="454">
                  <c:v>45016</c:v>
                </c:pt>
                <c:pt idx="455">
                  <c:v>45017</c:v>
                </c:pt>
                <c:pt idx="456">
                  <c:v>45018</c:v>
                </c:pt>
                <c:pt idx="457">
                  <c:v>45019</c:v>
                </c:pt>
                <c:pt idx="458">
                  <c:v>45020</c:v>
                </c:pt>
                <c:pt idx="459">
                  <c:v>45021</c:v>
                </c:pt>
                <c:pt idx="460">
                  <c:v>45022</c:v>
                </c:pt>
                <c:pt idx="461">
                  <c:v>45023</c:v>
                </c:pt>
                <c:pt idx="462">
                  <c:v>45024</c:v>
                </c:pt>
                <c:pt idx="463">
                  <c:v>45025</c:v>
                </c:pt>
                <c:pt idx="464">
                  <c:v>45026</c:v>
                </c:pt>
                <c:pt idx="465">
                  <c:v>45027</c:v>
                </c:pt>
                <c:pt idx="466">
                  <c:v>45028</c:v>
                </c:pt>
                <c:pt idx="467">
                  <c:v>45029</c:v>
                </c:pt>
                <c:pt idx="468">
                  <c:v>45030</c:v>
                </c:pt>
                <c:pt idx="469">
                  <c:v>45031</c:v>
                </c:pt>
                <c:pt idx="470">
                  <c:v>45032</c:v>
                </c:pt>
                <c:pt idx="471">
                  <c:v>45033</c:v>
                </c:pt>
                <c:pt idx="472">
                  <c:v>45034</c:v>
                </c:pt>
                <c:pt idx="473">
                  <c:v>45035</c:v>
                </c:pt>
                <c:pt idx="474">
                  <c:v>45036</c:v>
                </c:pt>
                <c:pt idx="475">
                  <c:v>45037</c:v>
                </c:pt>
                <c:pt idx="476">
                  <c:v>45038</c:v>
                </c:pt>
                <c:pt idx="477">
                  <c:v>45039</c:v>
                </c:pt>
                <c:pt idx="478">
                  <c:v>45040</c:v>
                </c:pt>
                <c:pt idx="479">
                  <c:v>45041</c:v>
                </c:pt>
                <c:pt idx="480">
                  <c:v>45042</c:v>
                </c:pt>
                <c:pt idx="481">
                  <c:v>45043</c:v>
                </c:pt>
                <c:pt idx="482">
                  <c:v>45044</c:v>
                </c:pt>
                <c:pt idx="483">
                  <c:v>45045</c:v>
                </c:pt>
                <c:pt idx="484">
                  <c:v>45046</c:v>
                </c:pt>
                <c:pt idx="485">
                  <c:v>45047</c:v>
                </c:pt>
                <c:pt idx="486">
                  <c:v>45048</c:v>
                </c:pt>
                <c:pt idx="487">
                  <c:v>45049</c:v>
                </c:pt>
                <c:pt idx="488">
                  <c:v>45050</c:v>
                </c:pt>
                <c:pt idx="489">
                  <c:v>45051</c:v>
                </c:pt>
                <c:pt idx="490">
                  <c:v>45052</c:v>
                </c:pt>
                <c:pt idx="491">
                  <c:v>45053</c:v>
                </c:pt>
                <c:pt idx="492">
                  <c:v>45054</c:v>
                </c:pt>
                <c:pt idx="493">
                  <c:v>45055</c:v>
                </c:pt>
                <c:pt idx="494">
                  <c:v>45056</c:v>
                </c:pt>
                <c:pt idx="495">
                  <c:v>45057</c:v>
                </c:pt>
                <c:pt idx="496">
                  <c:v>45058</c:v>
                </c:pt>
                <c:pt idx="497">
                  <c:v>45059</c:v>
                </c:pt>
                <c:pt idx="498">
                  <c:v>45060</c:v>
                </c:pt>
                <c:pt idx="499">
                  <c:v>45061</c:v>
                </c:pt>
                <c:pt idx="500">
                  <c:v>45062</c:v>
                </c:pt>
                <c:pt idx="501">
                  <c:v>45063</c:v>
                </c:pt>
                <c:pt idx="502">
                  <c:v>45064</c:v>
                </c:pt>
                <c:pt idx="503">
                  <c:v>45065</c:v>
                </c:pt>
                <c:pt idx="504">
                  <c:v>45066</c:v>
                </c:pt>
                <c:pt idx="505">
                  <c:v>45067</c:v>
                </c:pt>
                <c:pt idx="506">
                  <c:v>45068</c:v>
                </c:pt>
                <c:pt idx="507">
                  <c:v>45069</c:v>
                </c:pt>
                <c:pt idx="508">
                  <c:v>45070</c:v>
                </c:pt>
                <c:pt idx="509">
                  <c:v>45071</c:v>
                </c:pt>
                <c:pt idx="510">
                  <c:v>45072</c:v>
                </c:pt>
                <c:pt idx="511">
                  <c:v>45073</c:v>
                </c:pt>
                <c:pt idx="512">
                  <c:v>45074</c:v>
                </c:pt>
                <c:pt idx="513">
                  <c:v>45075</c:v>
                </c:pt>
                <c:pt idx="514">
                  <c:v>45076</c:v>
                </c:pt>
                <c:pt idx="515">
                  <c:v>45077</c:v>
                </c:pt>
                <c:pt idx="516">
                  <c:v>45078</c:v>
                </c:pt>
                <c:pt idx="517">
                  <c:v>45079</c:v>
                </c:pt>
                <c:pt idx="518">
                  <c:v>45080</c:v>
                </c:pt>
                <c:pt idx="519">
                  <c:v>45081</c:v>
                </c:pt>
                <c:pt idx="520">
                  <c:v>45082</c:v>
                </c:pt>
                <c:pt idx="521">
                  <c:v>45083</c:v>
                </c:pt>
                <c:pt idx="522">
                  <c:v>45084</c:v>
                </c:pt>
                <c:pt idx="523">
                  <c:v>45085</c:v>
                </c:pt>
                <c:pt idx="524">
                  <c:v>45086</c:v>
                </c:pt>
                <c:pt idx="525">
                  <c:v>45087</c:v>
                </c:pt>
                <c:pt idx="526">
                  <c:v>45088</c:v>
                </c:pt>
                <c:pt idx="527">
                  <c:v>45089</c:v>
                </c:pt>
                <c:pt idx="528">
                  <c:v>45090</c:v>
                </c:pt>
                <c:pt idx="529">
                  <c:v>45091</c:v>
                </c:pt>
                <c:pt idx="530">
                  <c:v>45092</c:v>
                </c:pt>
                <c:pt idx="531">
                  <c:v>45093</c:v>
                </c:pt>
                <c:pt idx="532">
                  <c:v>45094</c:v>
                </c:pt>
                <c:pt idx="533">
                  <c:v>45095</c:v>
                </c:pt>
                <c:pt idx="534">
                  <c:v>45096</c:v>
                </c:pt>
                <c:pt idx="535">
                  <c:v>45097</c:v>
                </c:pt>
                <c:pt idx="536">
                  <c:v>45098</c:v>
                </c:pt>
                <c:pt idx="537">
                  <c:v>45099</c:v>
                </c:pt>
                <c:pt idx="538">
                  <c:v>45100</c:v>
                </c:pt>
                <c:pt idx="539">
                  <c:v>45101</c:v>
                </c:pt>
                <c:pt idx="540">
                  <c:v>45102</c:v>
                </c:pt>
                <c:pt idx="541">
                  <c:v>45103</c:v>
                </c:pt>
                <c:pt idx="542">
                  <c:v>45104</c:v>
                </c:pt>
                <c:pt idx="543">
                  <c:v>45105</c:v>
                </c:pt>
                <c:pt idx="544">
                  <c:v>45106</c:v>
                </c:pt>
                <c:pt idx="545">
                  <c:v>45107</c:v>
                </c:pt>
                <c:pt idx="546">
                  <c:v>45108</c:v>
                </c:pt>
                <c:pt idx="547">
                  <c:v>45109</c:v>
                </c:pt>
                <c:pt idx="548">
                  <c:v>45110</c:v>
                </c:pt>
                <c:pt idx="549">
                  <c:v>45111</c:v>
                </c:pt>
                <c:pt idx="550">
                  <c:v>45112</c:v>
                </c:pt>
                <c:pt idx="551">
                  <c:v>45113</c:v>
                </c:pt>
                <c:pt idx="552">
                  <c:v>45114</c:v>
                </c:pt>
                <c:pt idx="553">
                  <c:v>45115</c:v>
                </c:pt>
                <c:pt idx="554">
                  <c:v>45116</c:v>
                </c:pt>
                <c:pt idx="555">
                  <c:v>45117</c:v>
                </c:pt>
                <c:pt idx="556">
                  <c:v>45118</c:v>
                </c:pt>
                <c:pt idx="557">
                  <c:v>45119</c:v>
                </c:pt>
                <c:pt idx="558">
                  <c:v>45120</c:v>
                </c:pt>
                <c:pt idx="559">
                  <c:v>45121</c:v>
                </c:pt>
                <c:pt idx="560">
                  <c:v>45122</c:v>
                </c:pt>
                <c:pt idx="561">
                  <c:v>45123</c:v>
                </c:pt>
                <c:pt idx="562">
                  <c:v>45124</c:v>
                </c:pt>
                <c:pt idx="563">
                  <c:v>45125</c:v>
                </c:pt>
                <c:pt idx="564">
                  <c:v>45126</c:v>
                </c:pt>
                <c:pt idx="565">
                  <c:v>45127</c:v>
                </c:pt>
                <c:pt idx="566">
                  <c:v>45128</c:v>
                </c:pt>
                <c:pt idx="567">
                  <c:v>45129</c:v>
                </c:pt>
                <c:pt idx="568">
                  <c:v>45130</c:v>
                </c:pt>
                <c:pt idx="569">
                  <c:v>45131</c:v>
                </c:pt>
                <c:pt idx="570">
                  <c:v>45132</c:v>
                </c:pt>
                <c:pt idx="571">
                  <c:v>45133</c:v>
                </c:pt>
                <c:pt idx="572">
                  <c:v>45134</c:v>
                </c:pt>
                <c:pt idx="573">
                  <c:v>45135</c:v>
                </c:pt>
                <c:pt idx="574">
                  <c:v>45136</c:v>
                </c:pt>
                <c:pt idx="575">
                  <c:v>45137</c:v>
                </c:pt>
                <c:pt idx="576">
                  <c:v>45138</c:v>
                </c:pt>
                <c:pt idx="577">
                  <c:v>45139</c:v>
                </c:pt>
                <c:pt idx="578">
                  <c:v>45140</c:v>
                </c:pt>
                <c:pt idx="579">
                  <c:v>45141</c:v>
                </c:pt>
                <c:pt idx="580">
                  <c:v>45142</c:v>
                </c:pt>
                <c:pt idx="581">
                  <c:v>45143</c:v>
                </c:pt>
                <c:pt idx="582">
                  <c:v>45144</c:v>
                </c:pt>
                <c:pt idx="583">
                  <c:v>45145</c:v>
                </c:pt>
                <c:pt idx="584">
                  <c:v>45146</c:v>
                </c:pt>
                <c:pt idx="585">
                  <c:v>45147</c:v>
                </c:pt>
                <c:pt idx="586">
                  <c:v>45148</c:v>
                </c:pt>
                <c:pt idx="587">
                  <c:v>45149</c:v>
                </c:pt>
                <c:pt idx="588">
                  <c:v>45150</c:v>
                </c:pt>
                <c:pt idx="589">
                  <c:v>45151</c:v>
                </c:pt>
                <c:pt idx="590">
                  <c:v>45152</c:v>
                </c:pt>
                <c:pt idx="591">
                  <c:v>45153</c:v>
                </c:pt>
                <c:pt idx="592">
                  <c:v>45154</c:v>
                </c:pt>
                <c:pt idx="593">
                  <c:v>45155</c:v>
                </c:pt>
                <c:pt idx="594">
                  <c:v>45156</c:v>
                </c:pt>
                <c:pt idx="595">
                  <c:v>45157</c:v>
                </c:pt>
                <c:pt idx="596">
                  <c:v>45158</c:v>
                </c:pt>
                <c:pt idx="597">
                  <c:v>45159</c:v>
                </c:pt>
                <c:pt idx="598">
                  <c:v>45160</c:v>
                </c:pt>
                <c:pt idx="599">
                  <c:v>45161</c:v>
                </c:pt>
                <c:pt idx="600">
                  <c:v>45162</c:v>
                </c:pt>
                <c:pt idx="601">
                  <c:v>45163</c:v>
                </c:pt>
                <c:pt idx="602">
                  <c:v>45164</c:v>
                </c:pt>
                <c:pt idx="603">
                  <c:v>45165</c:v>
                </c:pt>
                <c:pt idx="604">
                  <c:v>45166</c:v>
                </c:pt>
                <c:pt idx="605">
                  <c:v>45167</c:v>
                </c:pt>
                <c:pt idx="606">
                  <c:v>45168</c:v>
                </c:pt>
                <c:pt idx="607">
                  <c:v>45169</c:v>
                </c:pt>
                <c:pt idx="608">
                  <c:v>45170</c:v>
                </c:pt>
                <c:pt idx="609">
                  <c:v>45171</c:v>
                </c:pt>
                <c:pt idx="610">
                  <c:v>45172</c:v>
                </c:pt>
                <c:pt idx="611">
                  <c:v>45173</c:v>
                </c:pt>
                <c:pt idx="612">
                  <c:v>45174</c:v>
                </c:pt>
                <c:pt idx="613">
                  <c:v>45175</c:v>
                </c:pt>
                <c:pt idx="614">
                  <c:v>45176</c:v>
                </c:pt>
                <c:pt idx="615">
                  <c:v>45177</c:v>
                </c:pt>
                <c:pt idx="616">
                  <c:v>45178</c:v>
                </c:pt>
                <c:pt idx="617">
                  <c:v>45179</c:v>
                </c:pt>
                <c:pt idx="618">
                  <c:v>45180</c:v>
                </c:pt>
                <c:pt idx="619">
                  <c:v>45181</c:v>
                </c:pt>
                <c:pt idx="620">
                  <c:v>45182</c:v>
                </c:pt>
                <c:pt idx="621">
                  <c:v>45183</c:v>
                </c:pt>
                <c:pt idx="622">
                  <c:v>45184</c:v>
                </c:pt>
                <c:pt idx="623">
                  <c:v>45185</c:v>
                </c:pt>
                <c:pt idx="624">
                  <c:v>45186</c:v>
                </c:pt>
                <c:pt idx="625">
                  <c:v>45187</c:v>
                </c:pt>
                <c:pt idx="626">
                  <c:v>45188</c:v>
                </c:pt>
                <c:pt idx="627">
                  <c:v>45189</c:v>
                </c:pt>
                <c:pt idx="628">
                  <c:v>45190</c:v>
                </c:pt>
                <c:pt idx="629">
                  <c:v>45191</c:v>
                </c:pt>
                <c:pt idx="630">
                  <c:v>45192</c:v>
                </c:pt>
                <c:pt idx="631">
                  <c:v>45193</c:v>
                </c:pt>
                <c:pt idx="632">
                  <c:v>45194</c:v>
                </c:pt>
                <c:pt idx="633">
                  <c:v>45195</c:v>
                </c:pt>
                <c:pt idx="634">
                  <c:v>45196</c:v>
                </c:pt>
                <c:pt idx="635">
                  <c:v>45197</c:v>
                </c:pt>
                <c:pt idx="636">
                  <c:v>45198</c:v>
                </c:pt>
                <c:pt idx="637">
                  <c:v>45199</c:v>
                </c:pt>
                <c:pt idx="638">
                  <c:v>45200</c:v>
                </c:pt>
                <c:pt idx="639">
                  <c:v>45201</c:v>
                </c:pt>
                <c:pt idx="640">
                  <c:v>45202</c:v>
                </c:pt>
                <c:pt idx="641">
                  <c:v>45203</c:v>
                </c:pt>
                <c:pt idx="642">
                  <c:v>45204</c:v>
                </c:pt>
                <c:pt idx="643">
                  <c:v>45205</c:v>
                </c:pt>
                <c:pt idx="644">
                  <c:v>45206</c:v>
                </c:pt>
                <c:pt idx="645">
                  <c:v>45207</c:v>
                </c:pt>
                <c:pt idx="646">
                  <c:v>45208</c:v>
                </c:pt>
                <c:pt idx="647">
                  <c:v>45209</c:v>
                </c:pt>
                <c:pt idx="648">
                  <c:v>45210</c:v>
                </c:pt>
                <c:pt idx="649">
                  <c:v>45211</c:v>
                </c:pt>
                <c:pt idx="650">
                  <c:v>45212</c:v>
                </c:pt>
                <c:pt idx="651">
                  <c:v>45213</c:v>
                </c:pt>
                <c:pt idx="652">
                  <c:v>45214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45220</c:v>
                </c:pt>
                <c:pt idx="659">
                  <c:v>45221</c:v>
                </c:pt>
                <c:pt idx="660">
                  <c:v>45222</c:v>
                </c:pt>
                <c:pt idx="661">
                  <c:v>45223</c:v>
                </c:pt>
                <c:pt idx="662">
                  <c:v>45224</c:v>
                </c:pt>
                <c:pt idx="663">
                  <c:v>45225</c:v>
                </c:pt>
                <c:pt idx="664">
                  <c:v>45226</c:v>
                </c:pt>
                <c:pt idx="665">
                  <c:v>45227</c:v>
                </c:pt>
                <c:pt idx="666">
                  <c:v>45228</c:v>
                </c:pt>
                <c:pt idx="667">
                  <c:v>45229</c:v>
                </c:pt>
                <c:pt idx="668">
                  <c:v>45230</c:v>
                </c:pt>
                <c:pt idx="669">
                  <c:v>45231</c:v>
                </c:pt>
                <c:pt idx="670">
                  <c:v>45232</c:v>
                </c:pt>
                <c:pt idx="671">
                  <c:v>45233</c:v>
                </c:pt>
                <c:pt idx="672">
                  <c:v>45234</c:v>
                </c:pt>
                <c:pt idx="673">
                  <c:v>45235</c:v>
                </c:pt>
                <c:pt idx="674">
                  <c:v>45236</c:v>
                </c:pt>
                <c:pt idx="675">
                  <c:v>45237</c:v>
                </c:pt>
                <c:pt idx="676">
                  <c:v>45238</c:v>
                </c:pt>
                <c:pt idx="677">
                  <c:v>45239</c:v>
                </c:pt>
                <c:pt idx="678">
                  <c:v>45240</c:v>
                </c:pt>
                <c:pt idx="679">
                  <c:v>45241</c:v>
                </c:pt>
                <c:pt idx="680">
                  <c:v>45242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45248</c:v>
                </c:pt>
                <c:pt idx="687">
                  <c:v>45249</c:v>
                </c:pt>
                <c:pt idx="688">
                  <c:v>45250</c:v>
                </c:pt>
                <c:pt idx="689">
                  <c:v>45251</c:v>
                </c:pt>
                <c:pt idx="690">
                  <c:v>45252</c:v>
                </c:pt>
                <c:pt idx="691">
                  <c:v>45253</c:v>
                </c:pt>
                <c:pt idx="692">
                  <c:v>45254</c:v>
                </c:pt>
                <c:pt idx="693">
                  <c:v>45255</c:v>
                </c:pt>
                <c:pt idx="694">
                  <c:v>45256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45262</c:v>
                </c:pt>
                <c:pt idx="701">
                  <c:v>45263</c:v>
                </c:pt>
                <c:pt idx="702">
                  <c:v>45264</c:v>
                </c:pt>
                <c:pt idx="703">
                  <c:v>45265</c:v>
                </c:pt>
                <c:pt idx="704">
                  <c:v>45266</c:v>
                </c:pt>
                <c:pt idx="705">
                  <c:v>45267</c:v>
                </c:pt>
                <c:pt idx="706">
                  <c:v>45268</c:v>
                </c:pt>
                <c:pt idx="707">
                  <c:v>45269</c:v>
                </c:pt>
                <c:pt idx="708">
                  <c:v>45270</c:v>
                </c:pt>
                <c:pt idx="709">
                  <c:v>45271</c:v>
                </c:pt>
                <c:pt idx="710">
                  <c:v>45272</c:v>
                </c:pt>
                <c:pt idx="711">
                  <c:v>45273</c:v>
                </c:pt>
                <c:pt idx="712">
                  <c:v>45274</c:v>
                </c:pt>
                <c:pt idx="713">
                  <c:v>45275</c:v>
                </c:pt>
                <c:pt idx="714">
                  <c:v>45276</c:v>
                </c:pt>
                <c:pt idx="715">
                  <c:v>45277</c:v>
                </c:pt>
                <c:pt idx="716">
                  <c:v>45278</c:v>
                </c:pt>
                <c:pt idx="717">
                  <c:v>45279</c:v>
                </c:pt>
                <c:pt idx="718">
                  <c:v>45280</c:v>
                </c:pt>
                <c:pt idx="719">
                  <c:v>45281</c:v>
                </c:pt>
                <c:pt idx="720">
                  <c:v>45282</c:v>
                </c:pt>
                <c:pt idx="721">
                  <c:v>45283</c:v>
                </c:pt>
                <c:pt idx="722">
                  <c:v>45284</c:v>
                </c:pt>
                <c:pt idx="723">
                  <c:v>45285</c:v>
                </c:pt>
                <c:pt idx="724">
                  <c:v>45286</c:v>
                </c:pt>
                <c:pt idx="725">
                  <c:v>45287</c:v>
                </c:pt>
                <c:pt idx="726">
                  <c:v>45288</c:v>
                </c:pt>
                <c:pt idx="727">
                  <c:v>45289</c:v>
                </c:pt>
                <c:pt idx="728">
                  <c:v>45290</c:v>
                </c:pt>
                <c:pt idx="729">
                  <c:v>45291</c:v>
                </c:pt>
                <c:pt idx="730">
                  <c:v>45292</c:v>
                </c:pt>
                <c:pt idx="731">
                  <c:v>45293</c:v>
                </c:pt>
                <c:pt idx="732">
                  <c:v>45294</c:v>
                </c:pt>
                <c:pt idx="733">
                  <c:v>45295</c:v>
                </c:pt>
                <c:pt idx="734">
                  <c:v>45296</c:v>
                </c:pt>
                <c:pt idx="735">
                  <c:v>45297</c:v>
                </c:pt>
                <c:pt idx="736">
                  <c:v>45298</c:v>
                </c:pt>
                <c:pt idx="737">
                  <c:v>45299</c:v>
                </c:pt>
                <c:pt idx="738">
                  <c:v>45300</c:v>
                </c:pt>
                <c:pt idx="739">
                  <c:v>45301</c:v>
                </c:pt>
                <c:pt idx="740">
                  <c:v>45302</c:v>
                </c:pt>
                <c:pt idx="741">
                  <c:v>45303</c:v>
                </c:pt>
                <c:pt idx="742">
                  <c:v>45304</c:v>
                </c:pt>
                <c:pt idx="743">
                  <c:v>45305</c:v>
                </c:pt>
                <c:pt idx="744">
                  <c:v>45306</c:v>
                </c:pt>
                <c:pt idx="745">
                  <c:v>45307</c:v>
                </c:pt>
                <c:pt idx="746">
                  <c:v>45308</c:v>
                </c:pt>
                <c:pt idx="747">
                  <c:v>45309</c:v>
                </c:pt>
                <c:pt idx="748">
                  <c:v>45310</c:v>
                </c:pt>
                <c:pt idx="749">
                  <c:v>45311</c:v>
                </c:pt>
                <c:pt idx="750">
                  <c:v>45312</c:v>
                </c:pt>
                <c:pt idx="751">
                  <c:v>45313</c:v>
                </c:pt>
                <c:pt idx="752">
                  <c:v>45314</c:v>
                </c:pt>
                <c:pt idx="753">
                  <c:v>45315</c:v>
                </c:pt>
                <c:pt idx="754">
                  <c:v>45316</c:v>
                </c:pt>
                <c:pt idx="755">
                  <c:v>45317</c:v>
                </c:pt>
                <c:pt idx="756">
                  <c:v>45318</c:v>
                </c:pt>
                <c:pt idx="757">
                  <c:v>45319</c:v>
                </c:pt>
                <c:pt idx="758">
                  <c:v>45320</c:v>
                </c:pt>
                <c:pt idx="759">
                  <c:v>45321</c:v>
                </c:pt>
                <c:pt idx="760">
                  <c:v>45322</c:v>
                </c:pt>
                <c:pt idx="761">
                  <c:v>45323</c:v>
                </c:pt>
                <c:pt idx="762">
                  <c:v>45324</c:v>
                </c:pt>
                <c:pt idx="763">
                  <c:v>45325</c:v>
                </c:pt>
                <c:pt idx="764">
                  <c:v>45326</c:v>
                </c:pt>
                <c:pt idx="765">
                  <c:v>45327</c:v>
                </c:pt>
                <c:pt idx="766">
                  <c:v>45328</c:v>
                </c:pt>
                <c:pt idx="767">
                  <c:v>45329</c:v>
                </c:pt>
                <c:pt idx="768">
                  <c:v>45330</c:v>
                </c:pt>
                <c:pt idx="769">
                  <c:v>45331</c:v>
                </c:pt>
                <c:pt idx="770">
                  <c:v>45332</c:v>
                </c:pt>
                <c:pt idx="771">
                  <c:v>45333</c:v>
                </c:pt>
                <c:pt idx="772">
                  <c:v>45334</c:v>
                </c:pt>
                <c:pt idx="773">
                  <c:v>45335</c:v>
                </c:pt>
                <c:pt idx="774">
                  <c:v>45336</c:v>
                </c:pt>
                <c:pt idx="775">
                  <c:v>45337</c:v>
                </c:pt>
                <c:pt idx="776">
                  <c:v>45338</c:v>
                </c:pt>
                <c:pt idx="777">
                  <c:v>45339</c:v>
                </c:pt>
                <c:pt idx="778">
                  <c:v>45340</c:v>
                </c:pt>
                <c:pt idx="779">
                  <c:v>45341</c:v>
                </c:pt>
                <c:pt idx="780">
                  <c:v>45342</c:v>
                </c:pt>
                <c:pt idx="781">
                  <c:v>45343</c:v>
                </c:pt>
                <c:pt idx="782">
                  <c:v>45344</c:v>
                </c:pt>
                <c:pt idx="783">
                  <c:v>45345</c:v>
                </c:pt>
                <c:pt idx="784">
                  <c:v>45346</c:v>
                </c:pt>
                <c:pt idx="785">
                  <c:v>45347</c:v>
                </c:pt>
                <c:pt idx="786">
                  <c:v>45348</c:v>
                </c:pt>
                <c:pt idx="787">
                  <c:v>45349</c:v>
                </c:pt>
                <c:pt idx="788">
                  <c:v>45350</c:v>
                </c:pt>
                <c:pt idx="789">
                  <c:v>45351</c:v>
                </c:pt>
                <c:pt idx="790">
                  <c:v>45352</c:v>
                </c:pt>
                <c:pt idx="791">
                  <c:v>45353</c:v>
                </c:pt>
                <c:pt idx="792">
                  <c:v>45354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45360</c:v>
                </c:pt>
                <c:pt idx="799">
                  <c:v>45361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45367</c:v>
                </c:pt>
                <c:pt idx="806">
                  <c:v>45368</c:v>
                </c:pt>
                <c:pt idx="807">
                  <c:v>45369</c:v>
                </c:pt>
                <c:pt idx="808">
                  <c:v>45370</c:v>
                </c:pt>
                <c:pt idx="809">
                  <c:v>45371</c:v>
                </c:pt>
                <c:pt idx="810">
                  <c:v>45372</c:v>
                </c:pt>
                <c:pt idx="811">
                  <c:v>45373</c:v>
                </c:pt>
                <c:pt idx="812">
                  <c:v>45374</c:v>
                </c:pt>
                <c:pt idx="813">
                  <c:v>45375</c:v>
                </c:pt>
                <c:pt idx="814">
                  <c:v>45376</c:v>
                </c:pt>
                <c:pt idx="815">
                  <c:v>45377</c:v>
                </c:pt>
                <c:pt idx="816">
                  <c:v>45378</c:v>
                </c:pt>
                <c:pt idx="817">
                  <c:v>45379</c:v>
                </c:pt>
                <c:pt idx="818">
                  <c:v>45380</c:v>
                </c:pt>
                <c:pt idx="819">
                  <c:v>45381</c:v>
                </c:pt>
                <c:pt idx="820">
                  <c:v>45382</c:v>
                </c:pt>
                <c:pt idx="821">
                  <c:v>45383</c:v>
                </c:pt>
                <c:pt idx="822">
                  <c:v>45384</c:v>
                </c:pt>
                <c:pt idx="823">
                  <c:v>45385</c:v>
                </c:pt>
                <c:pt idx="824">
                  <c:v>45386</c:v>
                </c:pt>
                <c:pt idx="825">
                  <c:v>45387</c:v>
                </c:pt>
                <c:pt idx="826">
                  <c:v>45388</c:v>
                </c:pt>
                <c:pt idx="827">
                  <c:v>45389</c:v>
                </c:pt>
                <c:pt idx="828">
                  <c:v>45390</c:v>
                </c:pt>
                <c:pt idx="829">
                  <c:v>45391</c:v>
                </c:pt>
                <c:pt idx="830">
                  <c:v>45392</c:v>
                </c:pt>
                <c:pt idx="831">
                  <c:v>45393</c:v>
                </c:pt>
                <c:pt idx="832">
                  <c:v>45394</c:v>
                </c:pt>
                <c:pt idx="833">
                  <c:v>45395</c:v>
                </c:pt>
                <c:pt idx="834">
                  <c:v>45396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45402</c:v>
                </c:pt>
                <c:pt idx="841">
                  <c:v>45403</c:v>
                </c:pt>
                <c:pt idx="842">
                  <c:v>45404</c:v>
                </c:pt>
                <c:pt idx="843">
                  <c:v>45405</c:v>
                </c:pt>
                <c:pt idx="844">
                  <c:v>45406</c:v>
                </c:pt>
                <c:pt idx="845">
                  <c:v>45407</c:v>
                </c:pt>
                <c:pt idx="846">
                  <c:v>45408</c:v>
                </c:pt>
                <c:pt idx="847">
                  <c:v>45409</c:v>
                </c:pt>
                <c:pt idx="848">
                  <c:v>45410</c:v>
                </c:pt>
                <c:pt idx="849">
                  <c:v>45411</c:v>
                </c:pt>
                <c:pt idx="850">
                  <c:v>45412</c:v>
                </c:pt>
                <c:pt idx="851">
                  <c:v>45413</c:v>
                </c:pt>
                <c:pt idx="852">
                  <c:v>45414</c:v>
                </c:pt>
                <c:pt idx="853">
                  <c:v>45415</c:v>
                </c:pt>
                <c:pt idx="854">
                  <c:v>45416</c:v>
                </c:pt>
                <c:pt idx="855">
                  <c:v>45417</c:v>
                </c:pt>
                <c:pt idx="856">
                  <c:v>45418</c:v>
                </c:pt>
                <c:pt idx="857">
                  <c:v>45419</c:v>
                </c:pt>
                <c:pt idx="858">
                  <c:v>45420</c:v>
                </c:pt>
                <c:pt idx="859">
                  <c:v>45421</c:v>
                </c:pt>
                <c:pt idx="860">
                  <c:v>45422</c:v>
                </c:pt>
                <c:pt idx="861">
                  <c:v>45423</c:v>
                </c:pt>
                <c:pt idx="862">
                  <c:v>45424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45430</c:v>
                </c:pt>
                <c:pt idx="869">
                  <c:v>45431</c:v>
                </c:pt>
                <c:pt idx="870">
                  <c:v>45432</c:v>
                </c:pt>
                <c:pt idx="871">
                  <c:v>45433</c:v>
                </c:pt>
                <c:pt idx="872">
                  <c:v>45434</c:v>
                </c:pt>
                <c:pt idx="873">
                  <c:v>45435</c:v>
                </c:pt>
                <c:pt idx="874">
                  <c:v>45436</c:v>
                </c:pt>
                <c:pt idx="875">
                  <c:v>45437</c:v>
                </c:pt>
                <c:pt idx="876">
                  <c:v>45438</c:v>
                </c:pt>
                <c:pt idx="877">
                  <c:v>45439</c:v>
                </c:pt>
                <c:pt idx="878">
                  <c:v>45440</c:v>
                </c:pt>
                <c:pt idx="879">
                  <c:v>45441</c:v>
                </c:pt>
                <c:pt idx="880">
                  <c:v>45442</c:v>
                </c:pt>
                <c:pt idx="881">
                  <c:v>45443</c:v>
                </c:pt>
                <c:pt idx="882">
                  <c:v>45444</c:v>
                </c:pt>
                <c:pt idx="883">
                  <c:v>45445</c:v>
                </c:pt>
                <c:pt idx="884">
                  <c:v>45446</c:v>
                </c:pt>
                <c:pt idx="885">
                  <c:v>45447</c:v>
                </c:pt>
                <c:pt idx="886">
                  <c:v>45448</c:v>
                </c:pt>
                <c:pt idx="887">
                  <c:v>45449</c:v>
                </c:pt>
                <c:pt idx="888">
                  <c:v>45450</c:v>
                </c:pt>
                <c:pt idx="889">
                  <c:v>45451</c:v>
                </c:pt>
                <c:pt idx="890">
                  <c:v>45452</c:v>
                </c:pt>
                <c:pt idx="891">
                  <c:v>45453</c:v>
                </c:pt>
                <c:pt idx="892">
                  <c:v>45454</c:v>
                </c:pt>
                <c:pt idx="893">
                  <c:v>45455</c:v>
                </c:pt>
                <c:pt idx="894">
                  <c:v>45456</c:v>
                </c:pt>
                <c:pt idx="895">
                  <c:v>45457</c:v>
                </c:pt>
                <c:pt idx="896">
                  <c:v>45458</c:v>
                </c:pt>
                <c:pt idx="897">
                  <c:v>45459</c:v>
                </c:pt>
                <c:pt idx="898">
                  <c:v>45460</c:v>
                </c:pt>
                <c:pt idx="899">
                  <c:v>45461</c:v>
                </c:pt>
                <c:pt idx="900">
                  <c:v>45462</c:v>
                </c:pt>
                <c:pt idx="901">
                  <c:v>45463</c:v>
                </c:pt>
                <c:pt idx="902">
                  <c:v>45464</c:v>
                </c:pt>
                <c:pt idx="903">
                  <c:v>45465</c:v>
                </c:pt>
                <c:pt idx="904">
                  <c:v>45466</c:v>
                </c:pt>
                <c:pt idx="905">
                  <c:v>45467</c:v>
                </c:pt>
                <c:pt idx="906">
                  <c:v>45468</c:v>
                </c:pt>
                <c:pt idx="907">
                  <c:v>45469</c:v>
                </c:pt>
                <c:pt idx="908">
                  <c:v>45470</c:v>
                </c:pt>
                <c:pt idx="909">
                  <c:v>45471</c:v>
                </c:pt>
                <c:pt idx="910">
                  <c:v>45472</c:v>
                </c:pt>
                <c:pt idx="911">
                  <c:v>45473</c:v>
                </c:pt>
                <c:pt idx="912">
                  <c:v>45474</c:v>
                </c:pt>
                <c:pt idx="913">
                  <c:v>45475</c:v>
                </c:pt>
                <c:pt idx="914">
                  <c:v>45476</c:v>
                </c:pt>
                <c:pt idx="915">
                  <c:v>45477</c:v>
                </c:pt>
                <c:pt idx="916">
                  <c:v>45478</c:v>
                </c:pt>
                <c:pt idx="917">
                  <c:v>45479</c:v>
                </c:pt>
                <c:pt idx="918">
                  <c:v>45480</c:v>
                </c:pt>
                <c:pt idx="919">
                  <c:v>45481</c:v>
                </c:pt>
                <c:pt idx="920">
                  <c:v>45482</c:v>
                </c:pt>
                <c:pt idx="921">
                  <c:v>45483</c:v>
                </c:pt>
                <c:pt idx="922">
                  <c:v>45484</c:v>
                </c:pt>
                <c:pt idx="923">
                  <c:v>45485</c:v>
                </c:pt>
                <c:pt idx="924">
                  <c:v>45486</c:v>
                </c:pt>
                <c:pt idx="925">
                  <c:v>45487</c:v>
                </c:pt>
                <c:pt idx="926">
                  <c:v>45488</c:v>
                </c:pt>
                <c:pt idx="927">
                  <c:v>45489</c:v>
                </c:pt>
                <c:pt idx="928">
                  <c:v>45490</c:v>
                </c:pt>
                <c:pt idx="929">
                  <c:v>45491</c:v>
                </c:pt>
                <c:pt idx="930">
                  <c:v>45492</c:v>
                </c:pt>
                <c:pt idx="931">
                  <c:v>45493</c:v>
                </c:pt>
                <c:pt idx="932">
                  <c:v>45494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45500</c:v>
                </c:pt>
                <c:pt idx="939">
                  <c:v>45501</c:v>
                </c:pt>
                <c:pt idx="940">
                  <c:v>45502</c:v>
                </c:pt>
                <c:pt idx="941">
                  <c:v>45503</c:v>
                </c:pt>
                <c:pt idx="942">
                  <c:v>45504</c:v>
                </c:pt>
                <c:pt idx="943">
                  <c:v>45505</c:v>
                </c:pt>
                <c:pt idx="944">
                  <c:v>45506</c:v>
                </c:pt>
                <c:pt idx="945">
                  <c:v>45507</c:v>
                </c:pt>
                <c:pt idx="946">
                  <c:v>45508</c:v>
                </c:pt>
                <c:pt idx="947">
                  <c:v>45509</c:v>
                </c:pt>
                <c:pt idx="948">
                  <c:v>45510</c:v>
                </c:pt>
                <c:pt idx="949">
                  <c:v>45511</c:v>
                </c:pt>
                <c:pt idx="950">
                  <c:v>45512</c:v>
                </c:pt>
                <c:pt idx="951">
                  <c:v>45513</c:v>
                </c:pt>
                <c:pt idx="952">
                  <c:v>45514</c:v>
                </c:pt>
                <c:pt idx="953">
                  <c:v>45515</c:v>
                </c:pt>
                <c:pt idx="954">
                  <c:v>45516</c:v>
                </c:pt>
                <c:pt idx="955">
                  <c:v>45517</c:v>
                </c:pt>
                <c:pt idx="956">
                  <c:v>45518</c:v>
                </c:pt>
                <c:pt idx="957">
                  <c:v>45519</c:v>
                </c:pt>
                <c:pt idx="958">
                  <c:v>45520</c:v>
                </c:pt>
                <c:pt idx="959">
                  <c:v>45521</c:v>
                </c:pt>
                <c:pt idx="960">
                  <c:v>45522</c:v>
                </c:pt>
                <c:pt idx="961">
                  <c:v>45523</c:v>
                </c:pt>
                <c:pt idx="962">
                  <c:v>45524</c:v>
                </c:pt>
                <c:pt idx="963">
                  <c:v>45525</c:v>
                </c:pt>
                <c:pt idx="964">
                  <c:v>45526</c:v>
                </c:pt>
                <c:pt idx="965">
                  <c:v>45527</c:v>
                </c:pt>
                <c:pt idx="966">
                  <c:v>45528</c:v>
                </c:pt>
                <c:pt idx="967">
                  <c:v>45529</c:v>
                </c:pt>
                <c:pt idx="968">
                  <c:v>45530</c:v>
                </c:pt>
                <c:pt idx="969">
                  <c:v>45531</c:v>
                </c:pt>
                <c:pt idx="970">
                  <c:v>45532</c:v>
                </c:pt>
                <c:pt idx="971">
                  <c:v>45533</c:v>
                </c:pt>
                <c:pt idx="972">
                  <c:v>45534</c:v>
                </c:pt>
                <c:pt idx="973">
                  <c:v>45535</c:v>
                </c:pt>
                <c:pt idx="974">
                  <c:v>45536</c:v>
                </c:pt>
                <c:pt idx="975">
                  <c:v>45537</c:v>
                </c:pt>
                <c:pt idx="976">
                  <c:v>45538</c:v>
                </c:pt>
                <c:pt idx="977">
                  <c:v>45539</c:v>
                </c:pt>
                <c:pt idx="978">
                  <c:v>45540</c:v>
                </c:pt>
                <c:pt idx="979">
                  <c:v>45541</c:v>
                </c:pt>
                <c:pt idx="980">
                  <c:v>45542</c:v>
                </c:pt>
                <c:pt idx="981">
                  <c:v>45543</c:v>
                </c:pt>
                <c:pt idx="982">
                  <c:v>45544</c:v>
                </c:pt>
                <c:pt idx="983">
                  <c:v>45545</c:v>
                </c:pt>
                <c:pt idx="984">
                  <c:v>45546</c:v>
                </c:pt>
                <c:pt idx="985">
                  <c:v>45547</c:v>
                </c:pt>
                <c:pt idx="986">
                  <c:v>45548</c:v>
                </c:pt>
                <c:pt idx="987">
                  <c:v>45549</c:v>
                </c:pt>
                <c:pt idx="988">
                  <c:v>45550</c:v>
                </c:pt>
                <c:pt idx="989">
                  <c:v>45551</c:v>
                </c:pt>
                <c:pt idx="990">
                  <c:v>45552</c:v>
                </c:pt>
                <c:pt idx="991">
                  <c:v>45553</c:v>
                </c:pt>
                <c:pt idx="992">
                  <c:v>45554</c:v>
                </c:pt>
                <c:pt idx="993">
                  <c:v>45555</c:v>
                </c:pt>
                <c:pt idx="994">
                  <c:v>45556</c:v>
                </c:pt>
                <c:pt idx="995">
                  <c:v>45557</c:v>
                </c:pt>
                <c:pt idx="996">
                  <c:v>45558</c:v>
                </c:pt>
                <c:pt idx="997">
                  <c:v>45559</c:v>
                </c:pt>
                <c:pt idx="998">
                  <c:v>45560</c:v>
                </c:pt>
                <c:pt idx="999">
                  <c:v>45561</c:v>
                </c:pt>
                <c:pt idx="1000">
                  <c:v>45562</c:v>
                </c:pt>
                <c:pt idx="1001">
                  <c:v>45563</c:v>
                </c:pt>
                <c:pt idx="1002">
                  <c:v>45564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45570</c:v>
                </c:pt>
                <c:pt idx="1009">
                  <c:v>45571</c:v>
                </c:pt>
                <c:pt idx="1010">
                  <c:v>45572</c:v>
                </c:pt>
                <c:pt idx="1011">
                  <c:v>45573</c:v>
                </c:pt>
                <c:pt idx="1012">
                  <c:v>45574</c:v>
                </c:pt>
                <c:pt idx="1013">
                  <c:v>45575</c:v>
                </c:pt>
                <c:pt idx="1014">
                  <c:v>45576</c:v>
                </c:pt>
                <c:pt idx="1015">
                  <c:v>45577</c:v>
                </c:pt>
                <c:pt idx="1016">
                  <c:v>45578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45584</c:v>
                </c:pt>
                <c:pt idx="1023">
                  <c:v>45585</c:v>
                </c:pt>
                <c:pt idx="1024">
                  <c:v>45586</c:v>
                </c:pt>
                <c:pt idx="1025">
                  <c:v>45587</c:v>
                </c:pt>
                <c:pt idx="1026">
                  <c:v>45588</c:v>
                </c:pt>
                <c:pt idx="1027">
                  <c:v>45589</c:v>
                </c:pt>
                <c:pt idx="1028">
                  <c:v>45590</c:v>
                </c:pt>
                <c:pt idx="1029">
                  <c:v>45591</c:v>
                </c:pt>
                <c:pt idx="1030">
                  <c:v>45592</c:v>
                </c:pt>
                <c:pt idx="1031">
                  <c:v>45593</c:v>
                </c:pt>
                <c:pt idx="1032">
                  <c:v>45594</c:v>
                </c:pt>
                <c:pt idx="1033">
                  <c:v>45595</c:v>
                </c:pt>
                <c:pt idx="1034">
                  <c:v>45596</c:v>
                </c:pt>
                <c:pt idx="1035">
                  <c:v>45597</c:v>
                </c:pt>
                <c:pt idx="1036">
                  <c:v>45598</c:v>
                </c:pt>
                <c:pt idx="1037">
                  <c:v>45599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45605</c:v>
                </c:pt>
                <c:pt idx="1044">
                  <c:v>45606</c:v>
                </c:pt>
                <c:pt idx="1045">
                  <c:v>45607</c:v>
                </c:pt>
                <c:pt idx="1046">
                  <c:v>45608</c:v>
                </c:pt>
                <c:pt idx="1047">
                  <c:v>45609</c:v>
                </c:pt>
                <c:pt idx="1048">
                  <c:v>45610</c:v>
                </c:pt>
                <c:pt idx="1049">
                  <c:v>45611</c:v>
                </c:pt>
                <c:pt idx="1050">
                  <c:v>45612</c:v>
                </c:pt>
                <c:pt idx="1051">
                  <c:v>45613</c:v>
                </c:pt>
                <c:pt idx="1052">
                  <c:v>45614</c:v>
                </c:pt>
                <c:pt idx="1053">
                  <c:v>45615</c:v>
                </c:pt>
                <c:pt idx="1054">
                  <c:v>45616</c:v>
                </c:pt>
                <c:pt idx="1055">
                  <c:v>45617</c:v>
                </c:pt>
                <c:pt idx="1056">
                  <c:v>45618</c:v>
                </c:pt>
                <c:pt idx="1057">
                  <c:v>45619</c:v>
                </c:pt>
                <c:pt idx="1058">
                  <c:v>45620</c:v>
                </c:pt>
                <c:pt idx="1059">
                  <c:v>45621</c:v>
                </c:pt>
                <c:pt idx="1060">
                  <c:v>45622</c:v>
                </c:pt>
                <c:pt idx="1061">
                  <c:v>45623</c:v>
                </c:pt>
                <c:pt idx="1062">
                  <c:v>45624</c:v>
                </c:pt>
                <c:pt idx="1063">
                  <c:v>45625</c:v>
                </c:pt>
                <c:pt idx="1064">
                  <c:v>45626</c:v>
                </c:pt>
                <c:pt idx="1065">
                  <c:v>45627</c:v>
                </c:pt>
                <c:pt idx="1066">
                  <c:v>45628</c:v>
                </c:pt>
                <c:pt idx="1067">
                  <c:v>45629</c:v>
                </c:pt>
                <c:pt idx="1068">
                  <c:v>45630</c:v>
                </c:pt>
                <c:pt idx="1069">
                  <c:v>45631</c:v>
                </c:pt>
                <c:pt idx="1070">
                  <c:v>45632</c:v>
                </c:pt>
                <c:pt idx="1071">
                  <c:v>45633</c:v>
                </c:pt>
                <c:pt idx="1072">
                  <c:v>45634</c:v>
                </c:pt>
                <c:pt idx="1073">
                  <c:v>45635</c:v>
                </c:pt>
                <c:pt idx="1074">
                  <c:v>45636</c:v>
                </c:pt>
                <c:pt idx="1075">
                  <c:v>45637</c:v>
                </c:pt>
                <c:pt idx="1076">
                  <c:v>45638</c:v>
                </c:pt>
                <c:pt idx="1077">
                  <c:v>45639</c:v>
                </c:pt>
                <c:pt idx="1078">
                  <c:v>45640</c:v>
                </c:pt>
                <c:pt idx="1079">
                  <c:v>45641</c:v>
                </c:pt>
                <c:pt idx="1080">
                  <c:v>45642</c:v>
                </c:pt>
                <c:pt idx="1081">
                  <c:v>45643</c:v>
                </c:pt>
                <c:pt idx="1082">
                  <c:v>45644</c:v>
                </c:pt>
                <c:pt idx="1083">
                  <c:v>45645</c:v>
                </c:pt>
                <c:pt idx="1084">
                  <c:v>45646</c:v>
                </c:pt>
                <c:pt idx="1085">
                  <c:v>45647</c:v>
                </c:pt>
                <c:pt idx="1086">
                  <c:v>45648</c:v>
                </c:pt>
                <c:pt idx="1087">
                  <c:v>45649</c:v>
                </c:pt>
                <c:pt idx="1088">
                  <c:v>45650</c:v>
                </c:pt>
                <c:pt idx="1089">
                  <c:v>45651</c:v>
                </c:pt>
                <c:pt idx="1090">
                  <c:v>45652</c:v>
                </c:pt>
                <c:pt idx="1091">
                  <c:v>45653</c:v>
                </c:pt>
                <c:pt idx="1092">
                  <c:v>45654</c:v>
                </c:pt>
                <c:pt idx="1093">
                  <c:v>45655</c:v>
                </c:pt>
                <c:pt idx="1094">
                  <c:v>45656</c:v>
                </c:pt>
                <c:pt idx="1095">
                  <c:v>45657</c:v>
                </c:pt>
                <c:pt idx="1096">
                  <c:v>45658</c:v>
                </c:pt>
                <c:pt idx="1097">
                  <c:v>45659</c:v>
                </c:pt>
                <c:pt idx="1098">
                  <c:v>45660</c:v>
                </c:pt>
                <c:pt idx="1099">
                  <c:v>45661</c:v>
                </c:pt>
                <c:pt idx="1100">
                  <c:v>45662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45668</c:v>
                </c:pt>
                <c:pt idx="1107">
                  <c:v>45669</c:v>
                </c:pt>
                <c:pt idx="1108">
                  <c:v>45670</c:v>
                </c:pt>
                <c:pt idx="1109">
                  <c:v>45671</c:v>
                </c:pt>
                <c:pt idx="1110">
                  <c:v>45672</c:v>
                </c:pt>
                <c:pt idx="1111">
                  <c:v>45673</c:v>
                </c:pt>
                <c:pt idx="1112">
                  <c:v>45674</c:v>
                </c:pt>
                <c:pt idx="1113">
                  <c:v>45675</c:v>
                </c:pt>
                <c:pt idx="1114">
                  <c:v>45676</c:v>
                </c:pt>
                <c:pt idx="1115">
                  <c:v>45677</c:v>
                </c:pt>
                <c:pt idx="1116">
                  <c:v>45678</c:v>
                </c:pt>
                <c:pt idx="1117">
                  <c:v>45679</c:v>
                </c:pt>
                <c:pt idx="1118">
                  <c:v>45680</c:v>
                </c:pt>
                <c:pt idx="1119">
                  <c:v>45681</c:v>
                </c:pt>
                <c:pt idx="1120">
                  <c:v>45682</c:v>
                </c:pt>
                <c:pt idx="1121">
                  <c:v>45683</c:v>
                </c:pt>
                <c:pt idx="1122">
                  <c:v>45684</c:v>
                </c:pt>
                <c:pt idx="1123">
                  <c:v>45685</c:v>
                </c:pt>
                <c:pt idx="1124">
                  <c:v>45686</c:v>
                </c:pt>
                <c:pt idx="1125">
                  <c:v>45687</c:v>
                </c:pt>
                <c:pt idx="1126">
                  <c:v>45688</c:v>
                </c:pt>
                <c:pt idx="1127">
                  <c:v>45689</c:v>
                </c:pt>
                <c:pt idx="1128">
                  <c:v>45690</c:v>
                </c:pt>
                <c:pt idx="1129">
                  <c:v>45691</c:v>
                </c:pt>
                <c:pt idx="1130">
                  <c:v>45692</c:v>
                </c:pt>
                <c:pt idx="1131">
                  <c:v>45693</c:v>
                </c:pt>
                <c:pt idx="1132">
                  <c:v>45694</c:v>
                </c:pt>
                <c:pt idx="1133">
                  <c:v>45695</c:v>
                </c:pt>
                <c:pt idx="1134">
                  <c:v>45696</c:v>
                </c:pt>
                <c:pt idx="1135">
                  <c:v>45697</c:v>
                </c:pt>
                <c:pt idx="1136">
                  <c:v>45698</c:v>
                </c:pt>
                <c:pt idx="1137">
                  <c:v>45699</c:v>
                </c:pt>
                <c:pt idx="1138">
                  <c:v>45700</c:v>
                </c:pt>
                <c:pt idx="1139">
                  <c:v>45701</c:v>
                </c:pt>
                <c:pt idx="1140">
                  <c:v>45702</c:v>
                </c:pt>
                <c:pt idx="1141">
                  <c:v>45703</c:v>
                </c:pt>
                <c:pt idx="1142">
                  <c:v>45704</c:v>
                </c:pt>
                <c:pt idx="1143">
                  <c:v>45705</c:v>
                </c:pt>
                <c:pt idx="1144">
                  <c:v>45706</c:v>
                </c:pt>
                <c:pt idx="1145">
                  <c:v>45707</c:v>
                </c:pt>
                <c:pt idx="1146">
                  <c:v>45708</c:v>
                </c:pt>
                <c:pt idx="1147">
                  <c:v>45709</c:v>
                </c:pt>
                <c:pt idx="1148">
                  <c:v>45710</c:v>
                </c:pt>
                <c:pt idx="1149">
                  <c:v>45711</c:v>
                </c:pt>
                <c:pt idx="1150">
                  <c:v>45712</c:v>
                </c:pt>
                <c:pt idx="1151">
                  <c:v>45713</c:v>
                </c:pt>
                <c:pt idx="1152">
                  <c:v>45714</c:v>
                </c:pt>
                <c:pt idx="1153">
                  <c:v>45715</c:v>
                </c:pt>
                <c:pt idx="1154">
                  <c:v>45716</c:v>
                </c:pt>
                <c:pt idx="1155">
                  <c:v>45717</c:v>
                </c:pt>
                <c:pt idx="1156">
                  <c:v>45718</c:v>
                </c:pt>
                <c:pt idx="1157">
                  <c:v>45719</c:v>
                </c:pt>
                <c:pt idx="1158">
                  <c:v>45720</c:v>
                </c:pt>
                <c:pt idx="1159">
                  <c:v>45721</c:v>
                </c:pt>
                <c:pt idx="1160">
                  <c:v>45722</c:v>
                </c:pt>
                <c:pt idx="1161">
                  <c:v>45723</c:v>
                </c:pt>
                <c:pt idx="1162">
                  <c:v>45724</c:v>
                </c:pt>
                <c:pt idx="1163">
                  <c:v>45725</c:v>
                </c:pt>
                <c:pt idx="1164">
                  <c:v>45726</c:v>
                </c:pt>
                <c:pt idx="1165">
                  <c:v>45727</c:v>
                </c:pt>
                <c:pt idx="1166">
                  <c:v>45728</c:v>
                </c:pt>
                <c:pt idx="1167">
                  <c:v>45729</c:v>
                </c:pt>
                <c:pt idx="1168">
                  <c:v>45730</c:v>
                </c:pt>
                <c:pt idx="1169">
                  <c:v>45731</c:v>
                </c:pt>
                <c:pt idx="1170">
                  <c:v>45732</c:v>
                </c:pt>
                <c:pt idx="1171">
                  <c:v>45733</c:v>
                </c:pt>
                <c:pt idx="1172">
                  <c:v>45734</c:v>
                </c:pt>
                <c:pt idx="1173">
                  <c:v>45735</c:v>
                </c:pt>
                <c:pt idx="1174">
                  <c:v>45736</c:v>
                </c:pt>
                <c:pt idx="1175">
                  <c:v>45737</c:v>
                </c:pt>
                <c:pt idx="1176">
                  <c:v>45738</c:v>
                </c:pt>
                <c:pt idx="1177">
                  <c:v>45739</c:v>
                </c:pt>
                <c:pt idx="1178">
                  <c:v>45740</c:v>
                </c:pt>
                <c:pt idx="1179">
                  <c:v>45741</c:v>
                </c:pt>
                <c:pt idx="1180">
                  <c:v>45742</c:v>
                </c:pt>
                <c:pt idx="1181">
                  <c:v>45743</c:v>
                </c:pt>
                <c:pt idx="1182">
                  <c:v>45744</c:v>
                </c:pt>
                <c:pt idx="1183">
                  <c:v>45745</c:v>
                </c:pt>
                <c:pt idx="1184">
                  <c:v>45746</c:v>
                </c:pt>
                <c:pt idx="1185">
                  <c:v>45747</c:v>
                </c:pt>
                <c:pt idx="1186">
                  <c:v>45748</c:v>
                </c:pt>
                <c:pt idx="1187">
                  <c:v>45749</c:v>
                </c:pt>
                <c:pt idx="1188">
                  <c:v>45750</c:v>
                </c:pt>
                <c:pt idx="1189">
                  <c:v>45751</c:v>
                </c:pt>
                <c:pt idx="1190">
                  <c:v>45752</c:v>
                </c:pt>
                <c:pt idx="1191">
                  <c:v>45753</c:v>
                </c:pt>
                <c:pt idx="1192">
                  <c:v>45754</c:v>
                </c:pt>
                <c:pt idx="1193">
                  <c:v>45755</c:v>
                </c:pt>
                <c:pt idx="1194">
                  <c:v>45756</c:v>
                </c:pt>
                <c:pt idx="1195">
                  <c:v>45757</c:v>
                </c:pt>
                <c:pt idx="1196">
                  <c:v>45758</c:v>
                </c:pt>
                <c:pt idx="1197">
                  <c:v>45759</c:v>
                </c:pt>
                <c:pt idx="1198">
                  <c:v>45760</c:v>
                </c:pt>
                <c:pt idx="1199">
                  <c:v>45761</c:v>
                </c:pt>
                <c:pt idx="1200">
                  <c:v>45762</c:v>
                </c:pt>
                <c:pt idx="1201">
                  <c:v>45763</c:v>
                </c:pt>
                <c:pt idx="1202">
                  <c:v>45764</c:v>
                </c:pt>
                <c:pt idx="1203">
                  <c:v>45765</c:v>
                </c:pt>
                <c:pt idx="1204">
                  <c:v>45766</c:v>
                </c:pt>
                <c:pt idx="1205">
                  <c:v>45767</c:v>
                </c:pt>
                <c:pt idx="1206">
                  <c:v>45768</c:v>
                </c:pt>
                <c:pt idx="1207">
                  <c:v>45769</c:v>
                </c:pt>
                <c:pt idx="1208">
                  <c:v>45770</c:v>
                </c:pt>
                <c:pt idx="1209">
                  <c:v>45771</c:v>
                </c:pt>
                <c:pt idx="1210">
                  <c:v>45772</c:v>
                </c:pt>
                <c:pt idx="1211">
                  <c:v>45773</c:v>
                </c:pt>
                <c:pt idx="1212">
                  <c:v>45774</c:v>
                </c:pt>
                <c:pt idx="1213">
                  <c:v>45775</c:v>
                </c:pt>
                <c:pt idx="1214">
                  <c:v>45776</c:v>
                </c:pt>
                <c:pt idx="1215">
                  <c:v>45777</c:v>
                </c:pt>
                <c:pt idx="1216">
                  <c:v>45778</c:v>
                </c:pt>
                <c:pt idx="1217">
                  <c:v>45779</c:v>
                </c:pt>
                <c:pt idx="1218">
                  <c:v>45780</c:v>
                </c:pt>
                <c:pt idx="1219">
                  <c:v>45781</c:v>
                </c:pt>
                <c:pt idx="1220">
                  <c:v>45782</c:v>
                </c:pt>
                <c:pt idx="1221">
                  <c:v>45783</c:v>
                </c:pt>
                <c:pt idx="1222">
                  <c:v>45784</c:v>
                </c:pt>
                <c:pt idx="1223">
                  <c:v>45785</c:v>
                </c:pt>
                <c:pt idx="1224">
                  <c:v>45786</c:v>
                </c:pt>
                <c:pt idx="1225">
                  <c:v>45787</c:v>
                </c:pt>
                <c:pt idx="1226">
                  <c:v>45788</c:v>
                </c:pt>
                <c:pt idx="1227">
                  <c:v>45789</c:v>
                </c:pt>
                <c:pt idx="1228">
                  <c:v>45790</c:v>
                </c:pt>
                <c:pt idx="1229">
                  <c:v>45791</c:v>
                </c:pt>
                <c:pt idx="1230">
                  <c:v>45792</c:v>
                </c:pt>
                <c:pt idx="1231">
                  <c:v>45793</c:v>
                </c:pt>
                <c:pt idx="1232">
                  <c:v>45794</c:v>
                </c:pt>
                <c:pt idx="1233">
                  <c:v>45795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45801</c:v>
                </c:pt>
                <c:pt idx="1240">
                  <c:v>45802</c:v>
                </c:pt>
                <c:pt idx="1241">
                  <c:v>45803</c:v>
                </c:pt>
                <c:pt idx="1242">
                  <c:v>45804</c:v>
                </c:pt>
                <c:pt idx="1243">
                  <c:v>45805</c:v>
                </c:pt>
                <c:pt idx="1244">
                  <c:v>45806</c:v>
                </c:pt>
                <c:pt idx="1245">
                  <c:v>45807</c:v>
                </c:pt>
                <c:pt idx="1246">
                  <c:v>45808</c:v>
                </c:pt>
                <c:pt idx="1247">
                  <c:v>45809</c:v>
                </c:pt>
                <c:pt idx="1248">
                  <c:v>45810</c:v>
                </c:pt>
                <c:pt idx="1249">
                  <c:v>45811</c:v>
                </c:pt>
                <c:pt idx="1250">
                  <c:v>45812</c:v>
                </c:pt>
                <c:pt idx="1251">
                  <c:v>45813</c:v>
                </c:pt>
                <c:pt idx="1252">
                  <c:v>45814</c:v>
                </c:pt>
                <c:pt idx="1253">
                  <c:v>45815</c:v>
                </c:pt>
                <c:pt idx="1254">
                  <c:v>45816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45822</c:v>
                </c:pt>
                <c:pt idx="1261">
                  <c:v>45823</c:v>
                </c:pt>
                <c:pt idx="1262">
                  <c:v>45824</c:v>
                </c:pt>
                <c:pt idx="1263">
                  <c:v>45825</c:v>
                </c:pt>
                <c:pt idx="1264">
                  <c:v>45826</c:v>
                </c:pt>
                <c:pt idx="1265">
                  <c:v>45827</c:v>
                </c:pt>
                <c:pt idx="1266">
                  <c:v>45828</c:v>
                </c:pt>
                <c:pt idx="1267">
                  <c:v>45829</c:v>
                </c:pt>
                <c:pt idx="1268">
                  <c:v>45830</c:v>
                </c:pt>
                <c:pt idx="1269">
                  <c:v>45831</c:v>
                </c:pt>
                <c:pt idx="1270">
                  <c:v>45832</c:v>
                </c:pt>
                <c:pt idx="1271">
                  <c:v>45833</c:v>
                </c:pt>
                <c:pt idx="1272">
                  <c:v>45834</c:v>
                </c:pt>
                <c:pt idx="1273">
                  <c:v>45835</c:v>
                </c:pt>
                <c:pt idx="1274">
                  <c:v>45836</c:v>
                </c:pt>
                <c:pt idx="1275">
                  <c:v>45837</c:v>
                </c:pt>
                <c:pt idx="1276">
                  <c:v>45838</c:v>
                </c:pt>
                <c:pt idx="1277">
                  <c:v>45839</c:v>
                </c:pt>
                <c:pt idx="1278">
                  <c:v>45840</c:v>
                </c:pt>
                <c:pt idx="1279">
                  <c:v>45841</c:v>
                </c:pt>
                <c:pt idx="1280">
                  <c:v>45842</c:v>
                </c:pt>
                <c:pt idx="1281">
                  <c:v>45843</c:v>
                </c:pt>
                <c:pt idx="1282">
                  <c:v>45844</c:v>
                </c:pt>
                <c:pt idx="1283">
                  <c:v>45845</c:v>
                </c:pt>
                <c:pt idx="1284">
                  <c:v>45846</c:v>
                </c:pt>
                <c:pt idx="1285">
                  <c:v>45847</c:v>
                </c:pt>
                <c:pt idx="1286">
                  <c:v>45848</c:v>
                </c:pt>
                <c:pt idx="1287">
                  <c:v>45849</c:v>
                </c:pt>
                <c:pt idx="1288">
                  <c:v>45850</c:v>
                </c:pt>
                <c:pt idx="1289">
                  <c:v>45851</c:v>
                </c:pt>
                <c:pt idx="1290">
                  <c:v>45852</c:v>
                </c:pt>
                <c:pt idx="1291">
                  <c:v>45853</c:v>
                </c:pt>
                <c:pt idx="1292">
                  <c:v>45854</c:v>
                </c:pt>
                <c:pt idx="1293">
                  <c:v>45855</c:v>
                </c:pt>
                <c:pt idx="1294">
                  <c:v>45856</c:v>
                </c:pt>
                <c:pt idx="1295">
                  <c:v>45857</c:v>
                </c:pt>
                <c:pt idx="1296">
                  <c:v>45858</c:v>
                </c:pt>
                <c:pt idx="1297">
                  <c:v>45859</c:v>
                </c:pt>
                <c:pt idx="1298">
                  <c:v>45860</c:v>
                </c:pt>
                <c:pt idx="1299">
                  <c:v>45861</c:v>
                </c:pt>
                <c:pt idx="1300">
                  <c:v>45862</c:v>
                </c:pt>
                <c:pt idx="1301">
                  <c:v>45863</c:v>
                </c:pt>
                <c:pt idx="1302">
                  <c:v>45864</c:v>
                </c:pt>
                <c:pt idx="1303">
                  <c:v>45865</c:v>
                </c:pt>
                <c:pt idx="1304">
                  <c:v>45866</c:v>
                </c:pt>
                <c:pt idx="1305">
                  <c:v>45867</c:v>
                </c:pt>
                <c:pt idx="1306">
                  <c:v>45868</c:v>
                </c:pt>
                <c:pt idx="1307">
                  <c:v>45869</c:v>
                </c:pt>
                <c:pt idx="1308">
                  <c:v>45870</c:v>
                </c:pt>
                <c:pt idx="1309">
                  <c:v>45871</c:v>
                </c:pt>
                <c:pt idx="1310">
                  <c:v>45872</c:v>
                </c:pt>
                <c:pt idx="1311">
                  <c:v>45873</c:v>
                </c:pt>
                <c:pt idx="1312">
                  <c:v>45874</c:v>
                </c:pt>
                <c:pt idx="1313">
                  <c:v>45875</c:v>
                </c:pt>
                <c:pt idx="1314">
                  <c:v>45876</c:v>
                </c:pt>
                <c:pt idx="1315">
                  <c:v>45877</c:v>
                </c:pt>
                <c:pt idx="1316">
                  <c:v>45878</c:v>
                </c:pt>
                <c:pt idx="1317">
                  <c:v>45879</c:v>
                </c:pt>
                <c:pt idx="1318">
                  <c:v>45880</c:v>
                </c:pt>
                <c:pt idx="1319">
                  <c:v>45881</c:v>
                </c:pt>
                <c:pt idx="1320">
                  <c:v>45882</c:v>
                </c:pt>
                <c:pt idx="1321">
                  <c:v>45883</c:v>
                </c:pt>
                <c:pt idx="1322">
                  <c:v>45884</c:v>
                </c:pt>
                <c:pt idx="1323">
                  <c:v>45885</c:v>
                </c:pt>
                <c:pt idx="1324">
                  <c:v>45886</c:v>
                </c:pt>
                <c:pt idx="1325">
                  <c:v>45887</c:v>
                </c:pt>
                <c:pt idx="1326">
                  <c:v>45888</c:v>
                </c:pt>
                <c:pt idx="1327">
                  <c:v>45889</c:v>
                </c:pt>
                <c:pt idx="1328">
                  <c:v>45890</c:v>
                </c:pt>
                <c:pt idx="1329">
                  <c:v>45891</c:v>
                </c:pt>
                <c:pt idx="1330">
                  <c:v>45892</c:v>
                </c:pt>
                <c:pt idx="1331">
                  <c:v>45893</c:v>
                </c:pt>
                <c:pt idx="1332">
                  <c:v>45894</c:v>
                </c:pt>
                <c:pt idx="1333">
                  <c:v>45895</c:v>
                </c:pt>
                <c:pt idx="1334">
                  <c:v>45896</c:v>
                </c:pt>
                <c:pt idx="1335">
                  <c:v>45897</c:v>
                </c:pt>
                <c:pt idx="1336">
                  <c:v>45898</c:v>
                </c:pt>
                <c:pt idx="1337">
                  <c:v>45899</c:v>
                </c:pt>
                <c:pt idx="1338">
                  <c:v>45900</c:v>
                </c:pt>
                <c:pt idx="1339">
                  <c:v>45901</c:v>
                </c:pt>
                <c:pt idx="1340">
                  <c:v>45902</c:v>
                </c:pt>
                <c:pt idx="1341">
                  <c:v>45903</c:v>
                </c:pt>
                <c:pt idx="1342">
                  <c:v>45904</c:v>
                </c:pt>
                <c:pt idx="1343">
                  <c:v>45905</c:v>
                </c:pt>
                <c:pt idx="1344">
                  <c:v>45906</c:v>
                </c:pt>
                <c:pt idx="1345">
                  <c:v>45907</c:v>
                </c:pt>
                <c:pt idx="1346">
                  <c:v>45908</c:v>
                </c:pt>
                <c:pt idx="1347">
                  <c:v>45909</c:v>
                </c:pt>
                <c:pt idx="1348">
                  <c:v>45910</c:v>
                </c:pt>
                <c:pt idx="1349">
                  <c:v>45911</c:v>
                </c:pt>
                <c:pt idx="1350">
                  <c:v>45912</c:v>
                </c:pt>
                <c:pt idx="1351">
                  <c:v>45913</c:v>
                </c:pt>
                <c:pt idx="1352">
                  <c:v>45914</c:v>
                </c:pt>
                <c:pt idx="1353">
                  <c:v>45915</c:v>
                </c:pt>
                <c:pt idx="1354">
                  <c:v>45916</c:v>
                </c:pt>
                <c:pt idx="1355">
                  <c:v>45917</c:v>
                </c:pt>
                <c:pt idx="1356">
                  <c:v>45918</c:v>
                </c:pt>
                <c:pt idx="1357">
                  <c:v>45919</c:v>
                </c:pt>
                <c:pt idx="1358">
                  <c:v>45920</c:v>
                </c:pt>
                <c:pt idx="1359">
                  <c:v>45921</c:v>
                </c:pt>
                <c:pt idx="1360">
                  <c:v>45922</c:v>
                </c:pt>
                <c:pt idx="1361">
                  <c:v>45923</c:v>
                </c:pt>
                <c:pt idx="1362">
                  <c:v>45924</c:v>
                </c:pt>
                <c:pt idx="1363">
                  <c:v>45925</c:v>
                </c:pt>
                <c:pt idx="1364">
                  <c:v>45926</c:v>
                </c:pt>
                <c:pt idx="1365">
                  <c:v>45927</c:v>
                </c:pt>
                <c:pt idx="1366">
                  <c:v>45928</c:v>
                </c:pt>
                <c:pt idx="1367">
                  <c:v>45929</c:v>
                </c:pt>
                <c:pt idx="1368">
                  <c:v>45930</c:v>
                </c:pt>
                <c:pt idx="1369">
                  <c:v>45931</c:v>
                </c:pt>
                <c:pt idx="1370">
                  <c:v>45932</c:v>
                </c:pt>
                <c:pt idx="1371">
                  <c:v>45933</c:v>
                </c:pt>
                <c:pt idx="1372">
                  <c:v>45934</c:v>
                </c:pt>
                <c:pt idx="1373">
                  <c:v>45935</c:v>
                </c:pt>
                <c:pt idx="1374">
                  <c:v>45936</c:v>
                </c:pt>
                <c:pt idx="1375">
                  <c:v>45937</c:v>
                </c:pt>
                <c:pt idx="1376">
                  <c:v>45938</c:v>
                </c:pt>
                <c:pt idx="1377">
                  <c:v>45939</c:v>
                </c:pt>
                <c:pt idx="1378">
                  <c:v>45940</c:v>
                </c:pt>
                <c:pt idx="1379">
                  <c:v>45941</c:v>
                </c:pt>
                <c:pt idx="1380">
                  <c:v>45942</c:v>
                </c:pt>
                <c:pt idx="1381">
                  <c:v>45943</c:v>
                </c:pt>
                <c:pt idx="1382">
                  <c:v>45944</c:v>
                </c:pt>
                <c:pt idx="1383">
                  <c:v>45945</c:v>
                </c:pt>
                <c:pt idx="1384">
                  <c:v>45946</c:v>
                </c:pt>
                <c:pt idx="1385">
                  <c:v>45947</c:v>
                </c:pt>
                <c:pt idx="1386">
                  <c:v>45948</c:v>
                </c:pt>
                <c:pt idx="1387">
                  <c:v>45949</c:v>
                </c:pt>
                <c:pt idx="1388">
                  <c:v>45950</c:v>
                </c:pt>
                <c:pt idx="1389">
                  <c:v>45951</c:v>
                </c:pt>
                <c:pt idx="1390">
                  <c:v>45952</c:v>
                </c:pt>
                <c:pt idx="1391">
                  <c:v>45953</c:v>
                </c:pt>
                <c:pt idx="1392">
                  <c:v>45954</c:v>
                </c:pt>
                <c:pt idx="1393">
                  <c:v>45955</c:v>
                </c:pt>
                <c:pt idx="1394">
                  <c:v>45956</c:v>
                </c:pt>
                <c:pt idx="1395">
                  <c:v>45957</c:v>
                </c:pt>
                <c:pt idx="1396">
                  <c:v>45958</c:v>
                </c:pt>
                <c:pt idx="1397">
                  <c:v>45959</c:v>
                </c:pt>
                <c:pt idx="1398">
                  <c:v>45960</c:v>
                </c:pt>
                <c:pt idx="1399">
                  <c:v>45961</c:v>
                </c:pt>
                <c:pt idx="1400">
                  <c:v>45962</c:v>
                </c:pt>
                <c:pt idx="1401">
                  <c:v>45963</c:v>
                </c:pt>
                <c:pt idx="1402">
                  <c:v>45964</c:v>
                </c:pt>
                <c:pt idx="1403">
                  <c:v>45965</c:v>
                </c:pt>
                <c:pt idx="1404">
                  <c:v>45966</c:v>
                </c:pt>
                <c:pt idx="1405">
                  <c:v>45967</c:v>
                </c:pt>
                <c:pt idx="1406">
                  <c:v>45968</c:v>
                </c:pt>
                <c:pt idx="1407">
                  <c:v>45969</c:v>
                </c:pt>
                <c:pt idx="1408">
                  <c:v>45970</c:v>
                </c:pt>
                <c:pt idx="1409">
                  <c:v>45971</c:v>
                </c:pt>
                <c:pt idx="1410">
                  <c:v>45972</c:v>
                </c:pt>
                <c:pt idx="1411">
                  <c:v>45973</c:v>
                </c:pt>
                <c:pt idx="1412">
                  <c:v>45974</c:v>
                </c:pt>
                <c:pt idx="1413">
                  <c:v>45975</c:v>
                </c:pt>
                <c:pt idx="1414">
                  <c:v>45976</c:v>
                </c:pt>
                <c:pt idx="1415">
                  <c:v>45977</c:v>
                </c:pt>
                <c:pt idx="1416">
                  <c:v>45978</c:v>
                </c:pt>
                <c:pt idx="1417">
                  <c:v>45979</c:v>
                </c:pt>
                <c:pt idx="1418">
                  <c:v>45980</c:v>
                </c:pt>
                <c:pt idx="1419">
                  <c:v>45981</c:v>
                </c:pt>
                <c:pt idx="1420">
                  <c:v>45982</c:v>
                </c:pt>
                <c:pt idx="1421">
                  <c:v>45983</c:v>
                </c:pt>
                <c:pt idx="1422">
                  <c:v>45984</c:v>
                </c:pt>
                <c:pt idx="1423">
                  <c:v>45985</c:v>
                </c:pt>
                <c:pt idx="1424">
                  <c:v>45986</c:v>
                </c:pt>
                <c:pt idx="1425">
                  <c:v>45987</c:v>
                </c:pt>
                <c:pt idx="1426">
                  <c:v>45988</c:v>
                </c:pt>
                <c:pt idx="1427">
                  <c:v>45989</c:v>
                </c:pt>
                <c:pt idx="1428">
                  <c:v>45990</c:v>
                </c:pt>
                <c:pt idx="1429">
                  <c:v>45991</c:v>
                </c:pt>
                <c:pt idx="1430">
                  <c:v>45992</c:v>
                </c:pt>
                <c:pt idx="1431">
                  <c:v>45993</c:v>
                </c:pt>
                <c:pt idx="1432">
                  <c:v>45994</c:v>
                </c:pt>
                <c:pt idx="1433">
                  <c:v>45995</c:v>
                </c:pt>
                <c:pt idx="1434">
                  <c:v>45996</c:v>
                </c:pt>
                <c:pt idx="1435">
                  <c:v>45997</c:v>
                </c:pt>
                <c:pt idx="1436">
                  <c:v>45998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46004</c:v>
                </c:pt>
                <c:pt idx="1443">
                  <c:v>46005</c:v>
                </c:pt>
                <c:pt idx="1444">
                  <c:v>46006</c:v>
                </c:pt>
                <c:pt idx="1445">
                  <c:v>46007</c:v>
                </c:pt>
                <c:pt idx="1446">
                  <c:v>46008</c:v>
                </c:pt>
                <c:pt idx="1447">
                  <c:v>46009</c:v>
                </c:pt>
                <c:pt idx="1448">
                  <c:v>46010</c:v>
                </c:pt>
                <c:pt idx="1449">
                  <c:v>46011</c:v>
                </c:pt>
                <c:pt idx="1450">
                  <c:v>46012</c:v>
                </c:pt>
                <c:pt idx="1451">
                  <c:v>46013</c:v>
                </c:pt>
                <c:pt idx="1452">
                  <c:v>46014</c:v>
                </c:pt>
                <c:pt idx="1453">
                  <c:v>46015</c:v>
                </c:pt>
                <c:pt idx="1454">
                  <c:v>46016</c:v>
                </c:pt>
                <c:pt idx="1455">
                  <c:v>46017</c:v>
                </c:pt>
                <c:pt idx="1456">
                  <c:v>46018</c:v>
                </c:pt>
                <c:pt idx="1457">
                  <c:v>46019</c:v>
                </c:pt>
                <c:pt idx="1458">
                  <c:v>46020</c:v>
                </c:pt>
                <c:pt idx="1459">
                  <c:v>46021</c:v>
                </c:pt>
                <c:pt idx="1460">
                  <c:v>46022</c:v>
                </c:pt>
                <c:pt idx="1461">
                  <c:v>46023</c:v>
                </c:pt>
                <c:pt idx="1462">
                  <c:v>46024</c:v>
                </c:pt>
                <c:pt idx="1463">
                  <c:v>46025</c:v>
                </c:pt>
                <c:pt idx="1464">
                  <c:v>46026</c:v>
                </c:pt>
                <c:pt idx="1465">
                  <c:v>46027</c:v>
                </c:pt>
                <c:pt idx="1466">
                  <c:v>46028</c:v>
                </c:pt>
                <c:pt idx="1467">
                  <c:v>46029</c:v>
                </c:pt>
                <c:pt idx="1468">
                  <c:v>46030</c:v>
                </c:pt>
                <c:pt idx="1469">
                  <c:v>46031</c:v>
                </c:pt>
                <c:pt idx="1470">
                  <c:v>46032</c:v>
                </c:pt>
                <c:pt idx="1471">
                  <c:v>46033</c:v>
                </c:pt>
                <c:pt idx="1472">
                  <c:v>46034</c:v>
                </c:pt>
                <c:pt idx="1473">
                  <c:v>46035</c:v>
                </c:pt>
                <c:pt idx="1474">
                  <c:v>46036</c:v>
                </c:pt>
                <c:pt idx="1475">
                  <c:v>46037</c:v>
                </c:pt>
                <c:pt idx="1476">
                  <c:v>46038</c:v>
                </c:pt>
                <c:pt idx="1477">
                  <c:v>46039</c:v>
                </c:pt>
                <c:pt idx="1478">
                  <c:v>46040</c:v>
                </c:pt>
                <c:pt idx="1479">
                  <c:v>46041</c:v>
                </c:pt>
                <c:pt idx="1480">
                  <c:v>46042</c:v>
                </c:pt>
                <c:pt idx="1481">
                  <c:v>46043</c:v>
                </c:pt>
                <c:pt idx="1482">
                  <c:v>46044</c:v>
                </c:pt>
                <c:pt idx="1483">
                  <c:v>46045</c:v>
                </c:pt>
                <c:pt idx="1484">
                  <c:v>46046</c:v>
                </c:pt>
                <c:pt idx="1485">
                  <c:v>46047</c:v>
                </c:pt>
                <c:pt idx="1486">
                  <c:v>46048</c:v>
                </c:pt>
                <c:pt idx="1487">
                  <c:v>46049</c:v>
                </c:pt>
                <c:pt idx="1488">
                  <c:v>46050</c:v>
                </c:pt>
                <c:pt idx="1489">
                  <c:v>46051</c:v>
                </c:pt>
                <c:pt idx="1490">
                  <c:v>46052</c:v>
                </c:pt>
                <c:pt idx="1491">
                  <c:v>46053</c:v>
                </c:pt>
                <c:pt idx="1492">
                  <c:v>46054</c:v>
                </c:pt>
                <c:pt idx="1493">
                  <c:v>46055</c:v>
                </c:pt>
                <c:pt idx="1494">
                  <c:v>46056</c:v>
                </c:pt>
                <c:pt idx="1495">
                  <c:v>46057</c:v>
                </c:pt>
                <c:pt idx="1496">
                  <c:v>46058</c:v>
                </c:pt>
                <c:pt idx="1497">
                  <c:v>46059</c:v>
                </c:pt>
              </c:numCache>
            </c:numRef>
          </c:cat>
          <c:val>
            <c:numRef>
              <c:f>BASE!$U$2:$U$1499</c:f>
              <c:numCache>
                <c:formatCode>0%</c:formatCode>
                <c:ptCount val="1498"/>
                <c:pt idx="0">
                  <c:v>9.9522679735784728E-2</c:v>
                </c:pt>
                <c:pt idx="1">
                  <c:v>9.9522679735784728E-2</c:v>
                </c:pt>
                <c:pt idx="2">
                  <c:v>9.9522679735784728E-2</c:v>
                </c:pt>
                <c:pt idx="3">
                  <c:v>9.9522679735784728E-2</c:v>
                </c:pt>
                <c:pt idx="4">
                  <c:v>0.1002680116167799</c:v>
                </c:pt>
                <c:pt idx="5">
                  <c:v>0.1002680116167799</c:v>
                </c:pt>
                <c:pt idx="6">
                  <c:v>0.1002680116167799</c:v>
                </c:pt>
                <c:pt idx="7">
                  <c:v>0.1002680116167799</c:v>
                </c:pt>
                <c:pt idx="8">
                  <c:v>0.1002680116167799</c:v>
                </c:pt>
                <c:pt idx="9">
                  <c:v>0.1002680116167799</c:v>
                </c:pt>
                <c:pt idx="10">
                  <c:v>0.1002680116167799</c:v>
                </c:pt>
                <c:pt idx="11">
                  <c:v>9.8793172310861654E-2</c:v>
                </c:pt>
                <c:pt idx="12">
                  <c:v>9.8793172310861654E-2</c:v>
                </c:pt>
                <c:pt idx="13">
                  <c:v>9.8793172310861654E-2</c:v>
                </c:pt>
                <c:pt idx="14">
                  <c:v>9.8793172310861654E-2</c:v>
                </c:pt>
                <c:pt idx="15">
                  <c:v>9.8793172310861654E-2</c:v>
                </c:pt>
                <c:pt idx="16">
                  <c:v>9.8793172310861654E-2</c:v>
                </c:pt>
                <c:pt idx="17">
                  <c:v>9.8793172310861654E-2</c:v>
                </c:pt>
                <c:pt idx="18">
                  <c:v>9.7407350968041886E-2</c:v>
                </c:pt>
                <c:pt idx="19">
                  <c:v>0.1007351379896725</c:v>
                </c:pt>
                <c:pt idx="20">
                  <c:v>0.1007351379896725</c:v>
                </c:pt>
                <c:pt idx="21">
                  <c:v>0.1007351379896725</c:v>
                </c:pt>
                <c:pt idx="22">
                  <c:v>0.1007351379896725</c:v>
                </c:pt>
                <c:pt idx="23">
                  <c:v>0.1007351379896725</c:v>
                </c:pt>
                <c:pt idx="24">
                  <c:v>0.10818342380186029</c:v>
                </c:pt>
                <c:pt idx="25">
                  <c:v>0.11911556365108278</c:v>
                </c:pt>
                <c:pt idx="26">
                  <c:v>0.10237017133568858</c:v>
                </c:pt>
                <c:pt idx="27">
                  <c:v>0.10237017133568858</c:v>
                </c:pt>
                <c:pt idx="28">
                  <c:v>0.10237017133568858</c:v>
                </c:pt>
                <c:pt idx="29">
                  <c:v>0.10237017133568858</c:v>
                </c:pt>
                <c:pt idx="30">
                  <c:v>0.10237017133568858</c:v>
                </c:pt>
                <c:pt idx="31">
                  <c:v>0.10475049119116915</c:v>
                </c:pt>
                <c:pt idx="32">
                  <c:v>0.10473291194781449</c:v>
                </c:pt>
                <c:pt idx="33">
                  <c:v>0.10481305941916176</c:v>
                </c:pt>
                <c:pt idx="34">
                  <c:v>0.10481305941916176</c:v>
                </c:pt>
                <c:pt idx="35">
                  <c:v>0.10481305941916176</c:v>
                </c:pt>
                <c:pt idx="36">
                  <c:v>0.10481305941916176</c:v>
                </c:pt>
                <c:pt idx="37">
                  <c:v>0.10481305941916176</c:v>
                </c:pt>
                <c:pt idx="38">
                  <c:v>0.10481305941916176</c:v>
                </c:pt>
                <c:pt idx="39">
                  <c:v>0.10177746701510282</c:v>
                </c:pt>
                <c:pt idx="40">
                  <c:v>0.10177746701510282</c:v>
                </c:pt>
                <c:pt idx="41">
                  <c:v>0.10177746701510282</c:v>
                </c:pt>
                <c:pt idx="42">
                  <c:v>0.10177746701510282</c:v>
                </c:pt>
                <c:pt idx="43">
                  <c:v>0.10177746701510282</c:v>
                </c:pt>
                <c:pt idx="44">
                  <c:v>0.10177746701510282</c:v>
                </c:pt>
                <c:pt idx="45">
                  <c:v>0.10177746701510282</c:v>
                </c:pt>
                <c:pt idx="46">
                  <c:v>9.7241637163668862E-2</c:v>
                </c:pt>
                <c:pt idx="47">
                  <c:v>9.7241637163668862E-2</c:v>
                </c:pt>
                <c:pt idx="48">
                  <c:v>9.7241637163668862E-2</c:v>
                </c:pt>
                <c:pt idx="49">
                  <c:v>9.7241637163668862E-2</c:v>
                </c:pt>
                <c:pt idx="50">
                  <c:v>9.7241637163668862E-2</c:v>
                </c:pt>
                <c:pt idx="51">
                  <c:v>9.7241637163668862E-2</c:v>
                </c:pt>
                <c:pt idx="52">
                  <c:v>9.7241637163668862E-2</c:v>
                </c:pt>
                <c:pt idx="53">
                  <c:v>9.7241637163668862E-2</c:v>
                </c:pt>
                <c:pt idx="54">
                  <c:v>9.7241637163668862E-2</c:v>
                </c:pt>
                <c:pt idx="55">
                  <c:v>9.7241637163668862E-2</c:v>
                </c:pt>
                <c:pt idx="56">
                  <c:v>9.7241637163668862E-2</c:v>
                </c:pt>
                <c:pt idx="57">
                  <c:v>9.7241637163668862E-2</c:v>
                </c:pt>
                <c:pt idx="58">
                  <c:v>9.7241637163668862E-2</c:v>
                </c:pt>
                <c:pt idx="59">
                  <c:v>9.7241637163668862E-2</c:v>
                </c:pt>
                <c:pt idx="60">
                  <c:v>9.5587426974522258E-2</c:v>
                </c:pt>
                <c:pt idx="61">
                  <c:v>0.10399255410207005</c:v>
                </c:pt>
                <c:pt idx="62">
                  <c:v>0.10399255410207005</c:v>
                </c:pt>
                <c:pt idx="63">
                  <c:v>0.10399255410207005</c:v>
                </c:pt>
                <c:pt idx="64">
                  <c:v>0.10399255410207005</c:v>
                </c:pt>
                <c:pt idx="65">
                  <c:v>0.10399255410207005</c:v>
                </c:pt>
                <c:pt idx="66">
                  <c:v>0.10399255410207005</c:v>
                </c:pt>
                <c:pt idx="67">
                  <c:v>0.10399255410207005</c:v>
                </c:pt>
                <c:pt idx="68">
                  <c:v>0.10399255410207005</c:v>
                </c:pt>
                <c:pt idx="69">
                  <c:v>0.10399255410207005</c:v>
                </c:pt>
                <c:pt idx="70">
                  <c:v>0.10399255410207005</c:v>
                </c:pt>
                <c:pt idx="71">
                  <c:v>0.10399255410207005</c:v>
                </c:pt>
                <c:pt idx="72">
                  <c:v>0.10399255410207005</c:v>
                </c:pt>
                <c:pt idx="73">
                  <c:v>0.10399255410207005</c:v>
                </c:pt>
                <c:pt idx="74">
                  <c:v>0.10399255410207005</c:v>
                </c:pt>
                <c:pt idx="75">
                  <c:v>0.10399255410207005</c:v>
                </c:pt>
                <c:pt idx="76">
                  <c:v>0.10399255410207005</c:v>
                </c:pt>
                <c:pt idx="77">
                  <c:v>0.10399255410207005</c:v>
                </c:pt>
                <c:pt idx="78">
                  <c:v>0.10399255410207005</c:v>
                </c:pt>
                <c:pt idx="79">
                  <c:v>0.10399255410207005</c:v>
                </c:pt>
                <c:pt idx="80">
                  <c:v>0.10399255410207005</c:v>
                </c:pt>
                <c:pt idx="81">
                  <c:v>0.10400776094024218</c:v>
                </c:pt>
                <c:pt idx="82">
                  <c:v>0.10393770349313557</c:v>
                </c:pt>
                <c:pt idx="83">
                  <c:v>0.10393770349313557</c:v>
                </c:pt>
                <c:pt idx="84">
                  <c:v>0.10393770349313557</c:v>
                </c:pt>
                <c:pt idx="85">
                  <c:v>0.10393770349313557</c:v>
                </c:pt>
                <c:pt idx="86">
                  <c:v>0.10393770349313557</c:v>
                </c:pt>
                <c:pt idx="87">
                  <c:v>0.1103945235092776</c:v>
                </c:pt>
                <c:pt idx="88">
                  <c:v>0.10890627144229449</c:v>
                </c:pt>
                <c:pt idx="89">
                  <c:v>0.1093109856652083</c:v>
                </c:pt>
                <c:pt idx="90">
                  <c:v>0.1093109856652083</c:v>
                </c:pt>
                <c:pt idx="91">
                  <c:v>0.1093109856652083</c:v>
                </c:pt>
                <c:pt idx="92">
                  <c:v>0.1093109856652083</c:v>
                </c:pt>
                <c:pt idx="93">
                  <c:v>0.1093109856652083</c:v>
                </c:pt>
                <c:pt idx="94">
                  <c:v>0.1093109856652083</c:v>
                </c:pt>
                <c:pt idx="95">
                  <c:v>0.1093109856652083</c:v>
                </c:pt>
                <c:pt idx="96">
                  <c:v>0.1093109856652083</c:v>
                </c:pt>
                <c:pt idx="97">
                  <c:v>0.1093109856652083</c:v>
                </c:pt>
                <c:pt idx="98">
                  <c:v>0.1093109856652083</c:v>
                </c:pt>
                <c:pt idx="99">
                  <c:v>0.1093109856652083</c:v>
                </c:pt>
                <c:pt idx="100">
                  <c:v>0.1093109856652083</c:v>
                </c:pt>
                <c:pt idx="101">
                  <c:v>0.1093109856652083</c:v>
                </c:pt>
                <c:pt idx="102">
                  <c:v>0.1093109856652083</c:v>
                </c:pt>
                <c:pt idx="103">
                  <c:v>0.1093109856652083</c:v>
                </c:pt>
                <c:pt idx="104">
                  <c:v>0.1093109856652083</c:v>
                </c:pt>
                <c:pt idx="105">
                  <c:v>0.1093109856652083</c:v>
                </c:pt>
                <c:pt idx="106">
                  <c:v>0.1093109856652083</c:v>
                </c:pt>
                <c:pt idx="107">
                  <c:v>0.1093109856652083</c:v>
                </c:pt>
                <c:pt idx="108">
                  <c:v>0.1093109856652083</c:v>
                </c:pt>
                <c:pt idx="109">
                  <c:v>0.1093109856652083</c:v>
                </c:pt>
                <c:pt idx="110">
                  <c:v>0.1093109856652083</c:v>
                </c:pt>
                <c:pt idx="111">
                  <c:v>0.1093109856652083</c:v>
                </c:pt>
                <c:pt idx="112">
                  <c:v>0.1093109856652083</c:v>
                </c:pt>
                <c:pt idx="113">
                  <c:v>0.1093109856652083</c:v>
                </c:pt>
                <c:pt idx="114">
                  <c:v>0.1093109856652083</c:v>
                </c:pt>
                <c:pt idx="115">
                  <c:v>0.1093109856652083</c:v>
                </c:pt>
                <c:pt idx="116">
                  <c:v>0.1093109856652083</c:v>
                </c:pt>
                <c:pt idx="117">
                  <c:v>0.1093109856652083</c:v>
                </c:pt>
                <c:pt idx="118">
                  <c:v>0.1093109856652083</c:v>
                </c:pt>
                <c:pt idx="119">
                  <c:v>0.1093109856652083</c:v>
                </c:pt>
                <c:pt idx="120">
                  <c:v>0.1093109856652083</c:v>
                </c:pt>
                <c:pt idx="121">
                  <c:v>0.1093109856652083</c:v>
                </c:pt>
                <c:pt idx="122">
                  <c:v>0.1093109856652083</c:v>
                </c:pt>
                <c:pt idx="123">
                  <c:v>0.1093109856652083</c:v>
                </c:pt>
                <c:pt idx="124">
                  <c:v>0.1093109856652083</c:v>
                </c:pt>
                <c:pt idx="125">
                  <c:v>0.1093109856652083</c:v>
                </c:pt>
                <c:pt idx="126">
                  <c:v>0.1093109856652083</c:v>
                </c:pt>
                <c:pt idx="127">
                  <c:v>0.1093109856652083</c:v>
                </c:pt>
                <c:pt idx="128">
                  <c:v>0.1093109856652083</c:v>
                </c:pt>
                <c:pt idx="129">
                  <c:v>0.1093109856652083</c:v>
                </c:pt>
                <c:pt idx="130">
                  <c:v>0.1093109856652083</c:v>
                </c:pt>
                <c:pt idx="131">
                  <c:v>0.1093109856652083</c:v>
                </c:pt>
                <c:pt idx="132">
                  <c:v>0.1093109856652083</c:v>
                </c:pt>
                <c:pt idx="133">
                  <c:v>0.1093109856652083</c:v>
                </c:pt>
                <c:pt idx="134">
                  <c:v>0.1093109856652083</c:v>
                </c:pt>
                <c:pt idx="135">
                  <c:v>0.1093109856652083</c:v>
                </c:pt>
                <c:pt idx="136">
                  <c:v>0.1093109856652083</c:v>
                </c:pt>
                <c:pt idx="137">
                  <c:v>0.116470552371662</c:v>
                </c:pt>
                <c:pt idx="138">
                  <c:v>0.116470552371662</c:v>
                </c:pt>
                <c:pt idx="139">
                  <c:v>0.116470552371662</c:v>
                </c:pt>
                <c:pt idx="140">
                  <c:v>0.116470552371662</c:v>
                </c:pt>
                <c:pt idx="141">
                  <c:v>0.116470552371662</c:v>
                </c:pt>
                <c:pt idx="142">
                  <c:v>0.116470552371662</c:v>
                </c:pt>
                <c:pt idx="143">
                  <c:v>0.12388373819772636</c:v>
                </c:pt>
                <c:pt idx="144">
                  <c:v>0.1258347992440135</c:v>
                </c:pt>
                <c:pt idx="145">
                  <c:v>0.11842161341794916</c:v>
                </c:pt>
                <c:pt idx="146">
                  <c:v>0.11842161341794916</c:v>
                </c:pt>
                <c:pt idx="147">
                  <c:v>0.11842161341794916</c:v>
                </c:pt>
                <c:pt idx="148">
                  <c:v>0.11842161341794916</c:v>
                </c:pt>
                <c:pt idx="149">
                  <c:v>0.11842161341794916</c:v>
                </c:pt>
                <c:pt idx="150">
                  <c:v>0.11842161341794916</c:v>
                </c:pt>
                <c:pt idx="151">
                  <c:v>0.11842161341794916</c:v>
                </c:pt>
                <c:pt idx="152">
                  <c:v>0.11842161341794916</c:v>
                </c:pt>
                <c:pt idx="153">
                  <c:v>0.11842161341794916</c:v>
                </c:pt>
                <c:pt idx="154">
                  <c:v>0.11842161341794916</c:v>
                </c:pt>
                <c:pt idx="155">
                  <c:v>0.11842161341794916</c:v>
                </c:pt>
                <c:pt idx="156">
                  <c:v>0.11842161341794916</c:v>
                </c:pt>
                <c:pt idx="157">
                  <c:v>0.11842161341794916</c:v>
                </c:pt>
                <c:pt idx="158">
                  <c:v>0.11735703083087555</c:v>
                </c:pt>
                <c:pt idx="159">
                  <c:v>0.10221239960264594</c:v>
                </c:pt>
                <c:pt idx="160">
                  <c:v>0.10221239960264594</c:v>
                </c:pt>
                <c:pt idx="161">
                  <c:v>0.10221239960264594</c:v>
                </c:pt>
                <c:pt idx="162">
                  <c:v>0.10221239960264594</c:v>
                </c:pt>
                <c:pt idx="163">
                  <c:v>0.10221239960264594</c:v>
                </c:pt>
                <c:pt idx="164">
                  <c:v>0.10221239960264594</c:v>
                </c:pt>
                <c:pt idx="165">
                  <c:v>0.10221239960264594</c:v>
                </c:pt>
                <c:pt idx="166">
                  <c:v>0.10221239960264594</c:v>
                </c:pt>
                <c:pt idx="167">
                  <c:v>0.10221239960264594</c:v>
                </c:pt>
                <c:pt idx="168">
                  <c:v>0.10221239960264594</c:v>
                </c:pt>
                <c:pt idx="169">
                  <c:v>0.10221239960264594</c:v>
                </c:pt>
                <c:pt idx="170">
                  <c:v>0.10221239960264594</c:v>
                </c:pt>
                <c:pt idx="171">
                  <c:v>0.10221239960264594</c:v>
                </c:pt>
                <c:pt idx="172">
                  <c:v>0.10221239960264594</c:v>
                </c:pt>
                <c:pt idx="173">
                  <c:v>8.7067768374416363E-2</c:v>
                </c:pt>
                <c:pt idx="174">
                  <c:v>8.7067768374416363E-2</c:v>
                </c:pt>
                <c:pt idx="175">
                  <c:v>8.7067768374416363E-2</c:v>
                </c:pt>
                <c:pt idx="176">
                  <c:v>8.7067768374416363E-2</c:v>
                </c:pt>
                <c:pt idx="177">
                  <c:v>8.7067768374416363E-2</c:v>
                </c:pt>
                <c:pt idx="178">
                  <c:v>9.7661627821715488E-2</c:v>
                </c:pt>
                <c:pt idx="179">
                  <c:v>8.7724621344916612E-2</c:v>
                </c:pt>
                <c:pt idx="180">
                  <c:v>0.10286925257314622</c:v>
                </c:pt>
                <c:pt idx="181">
                  <c:v>0.10286925257314622</c:v>
                </c:pt>
                <c:pt idx="182">
                  <c:v>0.10286925257314622</c:v>
                </c:pt>
                <c:pt idx="183">
                  <c:v>0.10286925257314622</c:v>
                </c:pt>
                <c:pt idx="184">
                  <c:v>0.10286925257314622</c:v>
                </c:pt>
                <c:pt idx="185">
                  <c:v>0.10286925257314622</c:v>
                </c:pt>
                <c:pt idx="186">
                  <c:v>0.10286925257314622</c:v>
                </c:pt>
                <c:pt idx="187">
                  <c:v>0.10294497572928736</c:v>
                </c:pt>
                <c:pt idx="188">
                  <c:v>0.10294497572928736</c:v>
                </c:pt>
                <c:pt idx="189">
                  <c:v>0.10294497572928736</c:v>
                </c:pt>
                <c:pt idx="190">
                  <c:v>0.10294497572928736</c:v>
                </c:pt>
                <c:pt idx="191">
                  <c:v>0.10294497572928736</c:v>
                </c:pt>
                <c:pt idx="192">
                  <c:v>0.10294497572928736</c:v>
                </c:pt>
                <c:pt idx="193">
                  <c:v>0.10294497572928736</c:v>
                </c:pt>
                <c:pt idx="194">
                  <c:v>0.10302069888542852</c:v>
                </c:pt>
                <c:pt idx="195">
                  <c:v>0.10302069888542852</c:v>
                </c:pt>
                <c:pt idx="196">
                  <c:v>0.10302069888542852</c:v>
                </c:pt>
                <c:pt idx="197">
                  <c:v>0.10302069888542852</c:v>
                </c:pt>
                <c:pt idx="198">
                  <c:v>0.10302069888542852</c:v>
                </c:pt>
                <c:pt idx="199">
                  <c:v>0.10302069888542852</c:v>
                </c:pt>
                <c:pt idx="200">
                  <c:v>0.10302069888542852</c:v>
                </c:pt>
                <c:pt idx="201">
                  <c:v>8.7724621344916612E-2</c:v>
                </c:pt>
                <c:pt idx="202">
                  <c:v>8.7724621344916612E-2</c:v>
                </c:pt>
                <c:pt idx="203">
                  <c:v>8.7724621344916612E-2</c:v>
                </c:pt>
                <c:pt idx="204">
                  <c:v>8.7724621344916612E-2</c:v>
                </c:pt>
                <c:pt idx="205">
                  <c:v>8.7724621344916612E-2</c:v>
                </c:pt>
                <c:pt idx="206">
                  <c:v>9.9043057460429337E-2</c:v>
                </c:pt>
                <c:pt idx="207">
                  <c:v>0.12466249301196985</c:v>
                </c:pt>
                <c:pt idx="208">
                  <c:v>6.0836501901140684E-2</c:v>
                </c:pt>
                <c:pt idx="209">
                  <c:v>6.0836501901140684E-2</c:v>
                </c:pt>
                <c:pt idx="210">
                  <c:v>6.0836501901140684E-2</c:v>
                </c:pt>
                <c:pt idx="211">
                  <c:v>6.0836501901140684E-2</c:v>
                </c:pt>
                <c:pt idx="212">
                  <c:v>6.0836501901140684E-2</c:v>
                </c:pt>
                <c:pt idx="213">
                  <c:v>6.0836501901140684E-2</c:v>
                </c:pt>
                <c:pt idx="214">
                  <c:v>6.1285909712722297E-2</c:v>
                </c:pt>
                <c:pt idx="215">
                  <c:v>5.1983584131326949E-2</c:v>
                </c:pt>
                <c:pt idx="216">
                  <c:v>5.1983584131326949E-2</c:v>
                </c:pt>
                <c:pt idx="217">
                  <c:v>5.1983584131326949E-2</c:v>
                </c:pt>
                <c:pt idx="218">
                  <c:v>5.1983584131326949E-2</c:v>
                </c:pt>
                <c:pt idx="219">
                  <c:v>5.1983584131326949E-2</c:v>
                </c:pt>
                <c:pt idx="220">
                  <c:v>5.1983584131326949E-2</c:v>
                </c:pt>
                <c:pt idx="221">
                  <c:v>5.1983584131326949E-2</c:v>
                </c:pt>
                <c:pt idx="222">
                  <c:v>5.1983584131326949E-2</c:v>
                </c:pt>
                <c:pt idx="223">
                  <c:v>5.1983584131326949E-2</c:v>
                </c:pt>
                <c:pt idx="224">
                  <c:v>5.1983584131326949E-2</c:v>
                </c:pt>
                <c:pt idx="225">
                  <c:v>5.1983584131326949E-2</c:v>
                </c:pt>
                <c:pt idx="226">
                  <c:v>5.1983584131326949E-2</c:v>
                </c:pt>
                <c:pt idx="227">
                  <c:v>5.1983584131326949E-2</c:v>
                </c:pt>
                <c:pt idx="228">
                  <c:v>5.1983584131326949E-2</c:v>
                </c:pt>
                <c:pt idx="229">
                  <c:v>5.1983584131326949E-2</c:v>
                </c:pt>
                <c:pt idx="230">
                  <c:v>5.1983584131326949E-2</c:v>
                </c:pt>
                <c:pt idx="231">
                  <c:v>5.1983584131326949E-2</c:v>
                </c:pt>
                <c:pt idx="232">
                  <c:v>5.1983584131326949E-2</c:v>
                </c:pt>
                <c:pt idx="233">
                  <c:v>5.1983584131326949E-2</c:v>
                </c:pt>
                <c:pt idx="234">
                  <c:v>5.1983584131326949E-2</c:v>
                </c:pt>
                <c:pt idx="235">
                  <c:v>5.1983584131326949E-2</c:v>
                </c:pt>
                <c:pt idx="236">
                  <c:v>5.1983584131326949E-2</c:v>
                </c:pt>
                <c:pt idx="237">
                  <c:v>5.1983584131326949E-2</c:v>
                </c:pt>
                <c:pt idx="238">
                  <c:v>5.1983584131326949E-2</c:v>
                </c:pt>
                <c:pt idx="239">
                  <c:v>5.1983584131326949E-2</c:v>
                </c:pt>
                <c:pt idx="240">
                  <c:v>5.1983584131326949E-2</c:v>
                </c:pt>
                <c:pt idx="241">
                  <c:v>5.1983584131326949E-2</c:v>
                </c:pt>
                <c:pt idx="242">
                  <c:v>5.3748231966053744E-2</c:v>
                </c:pt>
                <c:pt idx="243">
                  <c:v>5.3748231966053744E-2</c:v>
                </c:pt>
                <c:pt idx="244">
                  <c:v>5.3748231966053744E-2</c:v>
                </c:pt>
                <c:pt idx="245">
                  <c:v>5.3748231966053744E-2</c:v>
                </c:pt>
                <c:pt idx="246">
                  <c:v>5.3748231966053744E-2</c:v>
                </c:pt>
                <c:pt idx="247">
                  <c:v>5.3748231966053744E-2</c:v>
                </c:pt>
                <c:pt idx="248">
                  <c:v>5.3748231966053744E-2</c:v>
                </c:pt>
                <c:pt idx="249">
                  <c:v>5.3748231966053744E-2</c:v>
                </c:pt>
                <c:pt idx="250">
                  <c:v>4.2432814710042434E-2</c:v>
                </c:pt>
                <c:pt idx="251">
                  <c:v>4.2432814710042434E-2</c:v>
                </c:pt>
                <c:pt idx="252">
                  <c:v>4.2432814710042434E-2</c:v>
                </c:pt>
                <c:pt idx="253">
                  <c:v>4.2432814710042434E-2</c:v>
                </c:pt>
                <c:pt idx="254">
                  <c:v>4.2432814710042434E-2</c:v>
                </c:pt>
                <c:pt idx="255">
                  <c:v>4.2432814710042434E-2</c:v>
                </c:pt>
                <c:pt idx="256">
                  <c:v>4.3668122270742356E-2</c:v>
                </c:pt>
                <c:pt idx="257">
                  <c:v>3.3964095099466275E-2</c:v>
                </c:pt>
                <c:pt idx="258">
                  <c:v>3.3964095099466275E-2</c:v>
                </c:pt>
                <c:pt idx="259">
                  <c:v>3.3964095099466275E-2</c:v>
                </c:pt>
                <c:pt idx="260">
                  <c:v>3.3964095099466275E-2</c:v>
                </c:pt>
                <c:pt idx="261">
                  <c:v>3.3964095099466275E-2</c:v>
                </c:pt>
                <c:pt idx="262">
                  <c:v>3.3964095099466275E-2</c:v>
                </c:pt>
                <c:pt idx="263">
                  <c:v>3.4982508745627187E-2</c:v>
                </c:pt>
                <c:pt idx="264">
                  <c:v>2.4987506246876564E-2</c:v>
                </c:pt>
                <c:pt idx="265">
                  <c:v>2.4987506246876564E-2</c:v>
                </c:pt>
                <c:pt idx="266">
                  <c:v>2.4987506246876564E-2</c:v>
                </c:pt>
                <c:pt idx="267">
                  <c:v>2.4987506246876564E-2</c:v>
                </c:pt>
                <c:pt idx="268">
                  <c:v>2.4987506246876564E-2</c:v>
                </c:pt>
                <c:pt idx="269">
                  <c:v>2.4987506246876564E-2</c:v>
                </c:pt>
                <c:pt idx="270">
                  <c:v>2.4987506246876564E-2</c:v>
                </c:pt>
                <c:pt idx="271">
                  <c:v>2.4987506246876564E-2</c:v>
                </c:pt>
                <c:pt idx="272">
                  <c:v>2.4987506246876564E-2</c:v>
                </c:pt>
                <c:pt idx="273">
                  <c:v>2.4987506246876564E-2</c:v>
                </c:pt>
                <c:pt idx="274">
                  <c:v>2.4987506246876564E-2</c:v>
                </c:pt>
                <c:pt idx="275">
                  <c:v>2.4987506246876564E-2</c:v>
                </c:pt>
                <c:pt idx="276">
                  <c:v>2.4987506246876564E-2</c:v>
                </c:pt>
                <c:pt idx="277">
                  <c:v>2.2925263640531865E-2</c:v>
                </c:pt>
                <c:pt idx="278">
                  <c:v>9.170105456212746E-3</c:v>
                </c:pt>
                <c:pt idx="279">
                  <c:v>9.170105456212746E-3</c:v>
                </c:pt>
                <c:pt idx="280">
                  <c:v>9.170105456212746E-3</c:v>
                </c:pt>
                <c:pt idx="281">
                  <c:v>9.170105456212746E-3</c:v>
                </c:pt>
                <c:pt idx="282">
                  <c:v>9.170105456212746E-3</c:v>
                </c:pt>
                <c:pt idx="283">
                  <c:v>9.170105456212746E-3</c:v>
                </c:pt>
                <c:pt idx="284">
                  <c:v>8.9245872378402504E-3</c:v>
                </c:pt>
                <c:pt idx="285">
                  <c:v>3.1236055332440876E-2</c:v>
                </c:pt>
                <c:pt idx="286">
                  <c:v>3.1236055332440876E-2</c:v>
                </c:pt>
                <c:pt idx="287">
                  <c:v>3.1236055332440876E-2</c:v>
                </c:pt>
                <c:pt idx="288">
                  <c:v>3.1236055332440876E-2</c:v>
                </c:pt>
                <c:pt idx="289">
                  <c:v>3.1236055332440876E-2</c:v>
                </c:pt>
                <c:pt idx="290">
                  <c:v>3.1236055332440876E-2</c:v>
                </c:pt>
                <c:pt idx="291">
                  <c:v>3.1236055332440876E-2</c:v>
                </c:pt>
                <c:pt idx="292">
                  <c:v>3.1236055332440876E-2</c:v>
                </c:pt>
                <c:pt idx="293">
                  <c:v>3.1236055332440876E-2</c:v>
                </c:pt>
                <c:pt idx="294">
                  <c:v>3.1236055332440876E-2</c:v>
                </c:pt>
                <c:pt idx="295">
                  <c:v>3.1236055332440876E-2</c:v>
                </c:pt>
                <c:pt idx="296">
                  <c:v>3.1236055332440876E-2</c:v>
                </c:pt>
                <c:pt idx="297">
                  <c:v>3.1236055332440876E-2</c:v>
                </c:pt>
                <c:pt idx="298">
                  <c:v>3.1236055332440876E-2</c:v>
                </c:pt>
                <c:pt idx="299">
                  <c:v>3.1236055332440876E-2</c:v>
                </c:pt>
                <c:pt idx="300">
                  <c:v>3.1236055332440876E-2</c:v>
                </c:pt>
                <c:pt idx="301">
                  <c:v>3.1236055332440876E-2</c:v>
                </c:pt>
                <c:pt idx="302">
                  <c:v>3.1236055332440876E-2</c:v>
                </c:pt>
                <c:pt idx="303">
                  <c:v>3.1236055332440876E-2</c:v>
                </c:pt>
                <c:pt idx="304">
                  <c:v>3.1236055332440876E-2</c:v>
                </c:pt>
                <c:pt idx="305">
                  <c:v>3.1236055332440876E-2</c:v>
                </c:pt>
                <c:pt idx="306">
                  <c:v>3.1236055332440876E-2</c:v>
                </c:pt>
                <c:pt idx="307">
                  <c:v>3.1236055332440876E-2</c:v>
                </c:pt>
                <c:pt idx="308">
                  <c:v>3.1236055332440876E-2</c:v>
                </c:pt>
                <c:pt idx="309">
                  <c:v>3.1236055332440876E-2</c:v>
                </c:pt>
                <c:pt idx="310">
                  <c:v>3.1236055332440876E-2</c:v>
                </c:pt>
                <c:pt idx="311">
                  <c:v>3.1236055332440876E-2</c:v>
                </c:pt>
                <c:pt idx="312">
                  <c:v>3.2095369096744611E-2</c:v>
                </c:pt>
                <c:pt idx="313">
                  <c:v>2.2925263640531865E-2</c:v>
                </c:pt>
                <c:pt idx="314">
                  <c:v>2.2925263640531865E-2</c:v>
                </c:pt>
                <c:pt idx="315">
                  <c:v>2.2925263640531865E-2</c:v>
                </c:pt>
                <c:pt idx="316">
                  <c:v>2.2925263640531865E-2</c:v>
                </c:pt>
                <c:pt idx="317">
                  <c:v>2.2925263640531865E-2</c:v>
                </c:pt>
                <c:pt idx="318">
                  <c:v>2.2925263640531865E-2</c:v>
                </c:pt>
                <c:pt idx="319">
                  <c:v>2.2311468094600623E-2</c:v>
                </c:pt>
                <c:pt idx="320">
                  <c:v>3.1236055332440876E-2</c:v>
                </c:pt>
                <c:pt idx="321">
                  <c:v>3.1236055332440876E-2</c:v>
                </c:pt>
                <c:pt idx="322">
                  <c:v>3.1236055332440876E-2</c:v>
                </c:pt>
                <c:pt idx="323">
                  <c:v>3.1236055332440876E-2</c:v>
                </c:pt>
                <c:pt idx="324">
                  <c:v>3.1236055332440876E-2</c:v>
                </c:pt>
                <c:pt idx="325">
                  <c:v>3.1236055332440876E-2</c:v>
                </c:pt>
                <c:pt idx="326">
                  <c:v>3.1236055332440876E-2</c:v>
                </c:pt>
                <c:pt idx="327">
                  <c:v>3.1236055332440876E-2</c:v>
                </c:pt>
                <c:pt idx="328">
                  <c:v>3.1236055332440876E-2</c:v>
                </c:pt>
                <c:pt idx="329">
                  <c:v>3.1236055332440876E-2</c:v>
                </c:pt>
                <c:pt idx="330">
                  <c:v>3.1236055332440876E-2</c:v>
                </c:pt>
                <c:pt idx="331">
                  <c:v>3.1236055332440876E-2</c:v>
                </c:pt>
                <c:pt idx="332">
                  <c:v>3.1236055332440876E-2</c:v>
                </c:pt>
                <c:pt idx="333">
                  <c:v>3.1236055332440876E-2</c:v>
                </c:pt>
                <c:pt idx="334">
                  <c:v>3.1236055332440876E-2</c:v>
                </c:pt>
                <c:pt idx="335">
                  <c:v>3.1236055332440876E-2</c:v>
                </c:pt>
                <c:pt idx="336">
                  <c:v>3.1236055332440876E-2</c:v>
                </c:pt>
                <c:pt idx="337">
                  <c:v>3.1236055332440876E-2</c:v>
                </c:pt>
                <c:pt idx="338">
                  <c:v>3.1236055332440876E-2</c:v>
                </c:pt>
                <c:pt idx="339">
                  <c:v>3.1236055332440876E-2</c:v>
                </c:pt>
                <c:pt idx="340">
                  <c:v>3.0429490523387236E-2</c:v>
                </c:pt>
                <c:pt idx="341">
                  <c:v>3.7384802643018605E-2</c:v>
                </c:pt>
                <c:pt idx="342">
                  <c:v>3.7384802643018605E-2</c:v>
                </c:pt>
                <c:pt idx="343">
                  <c:v>3.7384802643018605E-2</c:v>
                </c:pt>
                <c:pt idx="344">
                  <c:v>3.7384802643018605E-2</c:v>
                </c:pt>
                <c:pt idx="345">
                  <c:v>3.7384802643018605E-2</c:v>
                </c:pt>
                <c:pt idx="346">
                  <c:v>3.7384802643018605E-2</c:v>
                </c:pt>
                <c:pt idx="347">
                  <c:v>3.7384802643018605E-2</c:v>
                </c:pt>
                <c:pt idx="348">
                  <c:v>3.7384802643018605E-2</c:v>
                </c:pt>
                <c:pt idx="349">
                  <c:v>3.7384802643018605E-2</c:v>
                </c:pt>
                <c:pt idx="350">
                  <c:v>3.7384802643018605E-2</c:v>
                </c:pt>
                <c:pt idx="351">
                  <c:v>3.7384802643018605E-2</c:v>
                </c:pt>
                <c:pt idx="352">
                  <c:v>3.7384802643018605E-2</c:v>
                </c:pt>
                <c:pt idx="353">
                  <c:v>3.7384802643018605E-2</c:v>
                </c:pt>
                <c:pt idx="354">
                  <c:v>3.7384802643018605E-2</c:v>
                </c:pt>
                <c:pt idx="355">
                  <c:v>3.7384802643018605E-2</c:v>
                </c:pt>
                <c:pt idx="356">
                  <c:v>3.7384802643018605E-2</c:v>
                </c:pt>
                <c:pt idx="357">
                  <c:v>3.7384802643018605E-2</c:v>
                </c:pt>
                <c:pt idx="358">
                  <c:v>3.7384802643018605E-2</c:v>
                </c:pt>
                <c:pt idx="359">
                  <c:v>3.7384802643018605E-2</c:v>
                </c:pt>
                <c:pt idx="360">
                  <c:v>3.7384802643018605E-2</c:v>
                </c:pt>
                <c:pt idx="361">
                  <c:v>0.12385608796963911</c:v>
                </c:pt>
                <c:pt idx="362">
                  <c:v>7.8720108917918433E-2</c:v>
                </c:pt>
                <c:pt idx="363">
                  <c:v>7.8720108917918433E-2</c:v>
                </c:pt>
                <c:pt idx="364">
                  <c:v>7.8720108917918433E-2</c:v>
                </c:pt>
                <c:pt idx="365">
                  <c:v>7.8720108917918433E-2</c:v>
                </c:pt>
                <c:pt idx="366">
                  <c:v>7.8720108917918433E-2</c:v>
                </c:pt>
                <c:pt idx="367">
                  <c:v>7.8720108917918433E-2</c:v>
                </c:pt>
                <c:pt idx="368">
                  <c:v>7.7802858523292287E-2</c:v>
                </c:pt>
                <c:pt idx="369">
                  <c:v>8.8181685715819524E-2</c:v>
                </c:pt>
                <c:pt idx="370">
                  <c:v>8.8181685715819524E-2</c:v>
                </c:pt>
                <c:pt idx="371">
                  <c:v>8.8181685715819524E-2</c:v>
                </c:pt>
                <c:pt idx="372">
                  <c:v>8.8181685715819524E-2</c:v>
                </c:pt>
                <c:pt idx="373">
                  <c:v>8.8181685715819524E-2</c:v>
                </c:pt>
                <c:pt idx="374">
                  <c:v>8.8181685715819524E-2</c:v>
                </c:pt>
                <c:pt idx="375">
                  <c:v>8.7930843991328833E-2</c:v>
                </c:pt>
                <c:pt idx="376">
                  <c:v>8.7930843991328833E-2</c:v>
                </c:pt>
                <c:pt idx="377">
                  <c:v>8.7930843991328833E-2</c:v>
                </c:pt>
                <c:pt idx="378">
                  <c:v>8.7930843991328833E-2</c:v>
                </c:pt>
                <c:pt idx="379">
                  <c:v>8.7930843991328833E-2</c:v>
                </c:pt>
                <c:pt idx="380">
                  <c:v>8.7930843991328833E-2</c:v>
                </c:pt>
                <c:pt idx="381">
                  <c:v>8.7930843991328833E-2</c:v>
                </c:pt>
                <c:pt idx="382">
                  <c:v>8.7930843991328833E-2</c:v>
                </c:pt>
                <c:pt idx="383">
                  <c:v>8.7930843991328833E-2</c:v>
                </c:pt>
                <c:pt idx="384">
                  <c:v>8.7930843991328833E-2</c:v>
                </c:pt>
                <c:pt idx="385">
                  <c:v>8.7930843991328833E-2</c:v>
                </c:pt>
                <c:pt idx="386">
                  <c:v>8.7930843991328833E-2</c:v>
                </c:pt>
                <c:pt idx="387">
                  <c:v>8.7930843991328833E-2</c:v>
                </c:pt>
                <c:pt idx="388">
                  <c:v>9.6473228455578944E-2</c:v>
                </c:pt>
                <c:pt idx="389">
                  <c:v>9.749650869499378E-2</c:v>
                </c:pt>
                <c:pt idx="390">
                  <c:v>8.8675833031237938E-2</c:v>
                </c:pt>
                <c:pt idx="391">
                  <c:v>8.8675833031237938E-2</c:v>
                </c:pt>
                <c:pt idx="392">
                  <c:v>8.8675833031237938E-2</c:v>
                </c:pt>
                <c:pt idx="393">
                  <c:v>8.8675833031237938E-2</c:v>
                </c:pt>
                <c:pt idx="394">
                  <c:v>8.8675833031237938E-2</c:v>
                </c:pt>
                <c:pt idx="395">
                  <c:v>8.8675833031237938E-2</c:v>
                </c:pt>
                <c:pt idx="396">
                  <c:v>9.2954618152854954E-2</c:v>
                </c:pt>
                <c:pt idx="397">
                  <c:v>9.2954618152854954E-2</c:v>
                </c:pt>
                <c:pt idx="398">
                  <c:v>7.286824675584784E-2</c:v>
                </c:pt>
                <c:pt idx="399">
                  <c:v>7.286824675584784E-2</c:v>
                </c:pt>
                <c:pt idx="400">
                  <c:v>7.286824675584784E-2</c:v>
                </c:pt>
                <c:pt idx="401">
                  <c:v>7.286824675584784E-2</c:v>
                </c:pt>
                <c:pt idx="402">
                  <c:v>7.286824675584784E-2</c:v>
                </c:pt>
                <c:pt idx="403">
                  <c:v>7.2093265292973885E-2</c:v>
                </c:pt>
                <c:pt idx="404">
                  <c:v>7.2093265292973885E-2</c:v>
                </c:pt>
                <c:pt idx="405">
                  <c:v>7.2093265292973885E-2</c:v>
                </c:pt>
                <c:pt idx="406">
                  <c:v>7.2093265292973885E-2</c:v>
                </c:pt>
                <c:pt idx="407">
                  <c:v>7.2093265292973885E-2</c:v>
                </c:pt>
                <c:pt idx="408">
                  <c:v>7.2093265292973885E-2</c:v>
                </c:pt>
                <c:pt idx="409">
                  <c:v>7.2093265292973885E-2</c:v>
                </c:pt>
                <c:pt idx="410">
                  <c:v>7.1442311634169961E-2</c:v>
                </c:pt>
                <c:pt idx="411">
                  <c:v>9.8719998486324886E-2</c:v>
                </c:pt>
                <c:pt idx="412">
                  <c:v>9.8719998486324886E-2</c:v>
                </c:pt>
                <c:pt idx="413">
                  <c:v>9.8719998486324886E-2</c:v>
                </c:pt>
                <c:pt idx="414">
                  <c:v>9.8719998486324886E-2</c:v>
                </c:pt>
                <c:pt idx="415">
                  <c:v>9.8719998486324886E-2</c:v>
                </c:pt>
                <c:pt idx="416">
                  <c:v>9.8719998486324886E-2</c:v>
                </c:pt>
                <c:pt idx="417">
                  <c:v>9.8719998486324886E-2</c:v>
                </c:pt>
                <c:pt idx="418">
                  <c:v>0.12675344014947704</c:v>
                </c:pt>
                <c:pt idx="419">
                  <c:v>0.12675344014947704</c:v>
                </c:pt>
                <c:pt idx="420">
                  <c:v>0.12675344014947704</c:v>
                </c:pt>
                <c:pt idx="421">
                  <c:v>0.12675344014947704</c:v>
                </c:pt>
                <c:pt idx="422">
                  <c:v>0.12675344014947704</c:v>
                </c:pt>
                <c:pt idx="423">
                  <c:v>0.12675344014947704</c:v>
                </c:pt>
                <c:pt idx="424">
                  <c:v>0.12443701280485246</c:v>
                </c:pt>
                <c:pt idx="425">
                  <c:v>0.12443701280485246</c:v>
                </c:pt>
                <c:pt idx="426">
                  <c:v>0.12443701280485246</c:v>
                </c:pt>
                <c:pt idx="427">
                  <c:v>0.12443701280485246</c:v>
                </c:pt>
                <c:pt idx="428">
                  <c:v>0.12443701280485246</c:v>
                </c:pt>
                <c:pt idx="429">
                  <c:v>0.12443701280485246</c:v>
                </c:pt>
                <c:pt idx="430">
                  <c:v>0.12443701280485246</c:v>
                </c:pt>
                <c:pt idx="431">
                  <c:v>0.12443701280485246</c:v>
                </c:pt>
                <c:pt idx="432">
                  <c:v>0.12443701280485246</c:v>
                </c:pt>
                <c:pt idx="433">
                  <c:v>0.12443701280485246</c:v>
                </c:pt>
                <c:pt idx="434">
                  <c:v>0.12443701280485246</c:v>
                </c:pt>
                <c:pt idx="435">
                  <c:v>0.12443701280485246</c:v>
                </c:pt>
                <c:pt idx="436">
                  <c:v>0.12443701280485246</c:v>
                </c:pt>
                <c:pt idx="437">
                  <c:v>0.12443701280485246</c:v>
                </c:pt>
                <c:pt idx="438">
                  <c:v>0.12443701280485246</c:v>
                </c:pt>
                <c:pt idx="439">
                  <c:v>0.12443701280485246</c:v>
                </c:pt>
                <c:pt idx="440">
                  <c:v>0.12443701280485246</c:v>
                </c:pt>
                <c:pt idx="441">
                  <c:v>0.12443701280485246</c:v>
                </c:pt>
                <c:pt idx="442">
                  <c:v>0.12443701280485246</c:v>
                </c:pt>
                <c:pt idx="443">
                  <c:v>0.12443701280485246</c:v>
                </c:pt>
                <c:pt idx="444">
                  <c:v>0.12443701280485246</c:v>
                </c:pt>
                <c:pt idx="445">
                  <c:v>0.12443701280485246</c:v>
                </c:pt>
                <c:pt idx="446">
                  <c:v>0.12443701280485246</c:v>
                </c:pt>
                <c:pt idx="447">
                  <c:v>0.12443701280485246</c:v>
                </c:pt>
                <c:pt idx="448">
                  <c:v>0.12443701280485246</c:v>
                </c:pt>
                <c:pt idx="449">
                  <c:v>0.12443701280485246</c:v>
                </c:pt>
                <c:pt idx="450">
                  <c:v>0.12443701280485246</c:v>
                </c:pt>
                <c:pt idx="451">
                  <c:v>0.11892138807417008</c:v>
                </c:pt>
                <c:pt idx="452">
                  <c:v>0.12146226155306911</c:v>
                </c:pt>
                <c:pt idx="453">
                  <c:v>0.10448395762070621</c:v>
                </c:pt>
                <c:pt idx="454">
                  <c:v>0.10448395762070621</c:v>
                </c:pt>
                <c:pt idx="455">
                  <c:v>0.10448395762070621</c:v>
                </c:pt>
                <c:pt idx="456">
                  <c:v>0.10448395762070621</c:v>
                </c:pt>
                <c:pt idx="457">
                  <c:v>0.10448395762070621</c:v>
                </c:pt>
                <c:pt idx="458">
                  <c:v>0.10448395762070621</c:v>
                </c:pt>
                <c:pt idx="459">
                  <c:v>0.10066109277413098</c:v>
                </c:pt>
                <c:pt idx="460">
                  <c:v>0.12600321137524603</c:v>
                </c:pt>
                <c:pt idx="461">
                  <c:v>0.12600321137524603</c:v>
                </c:pt>
                <c:pt idx="462">
                  <c:v>0.12600321137524603</c:v>
                </c:pt>
                <c:pt idx="463">
                  <c:v>0.12600321137524603</c:v>
                </c:pt>
                <c:pt idx="464">
                  <c:v>0.12600321137524603</c:v>
                </c:pt>
                <c:pt idx="465">
                  <c:v>0.12600321137524603</c:v>
                </c:pt>
                <c:pt idx="466">
                  <c:v>0.12711184754667929</c:v>
                </c:pt>
                <c:pt idx="467">
                  <c:v>0.11853404689476643</c:v>
                </c:pt>
                <c:pt idx="468">
                  <c:v>0.11853404689476643</c:v>
                </c:pt>
                <c:pt idx="469">
                  <c:v>0.11853404689476643</c:v>
                </c:pt>
                <c:pt idx="470">
                  <c:v>0.11853404689476643</c:v>
                </c:pt>
                <c:pt idx="471">
                  <c:v>0.11853404689476643</c:v>
                </c:pt>
                <c:pt idx="472">
                  <c:v>0.11853404689476643</c:v>
                </c:pt>
                <c:pt idx="473">
                  <c:v>0.11392342781526239</c:v>
                </c:pt>
                <c:pt idx="474">
                  <c:v>0.1218864792565747</c:v>
                </c:pt>
                <c:pt idx="475">
                  <c:v>0.1218864792565747</c:v>
                </c:pt>
                <c:pt idx="476">
                  <c:v>0.1218864792565747</c:v>
                </c:pt>
                <c:pt idx="477">
                  <c:v>0.1218864792565747</c:v>
                </c:pt>
                <c:pt idx="478">
                  <c:v>0.1218864792565747</c:v>
                </c:pt>
                <c:pt idx="479">
                  <c:v>0.18164605121126862</c:v>
                </c:pt>
                <c:pt idx="480">
                  <c:v>0.18022141735892905</c:v>
                </c:pt>
                <c:pt idx="481">
                  <c:v>0.17783731455641619</c:v>
                </c:pt>
                <c:pt idx="482">
                  <c:v>0.17783731455641619</c:v>
                </c:pt>
                <c:pt idx="483">
                  <c:v>0.17783731455641619</c:v>
                </c:pt>
                <c:pt idx="484">
                  <c:v>0.17783731455641619</c:v>
                </c:pt>
                <c:pt idx="485">
                  <c:v>0.17783731455641619</c:v>
                </c:pt>
                <c:pt idx="486">
                  <c:v>0.17783731455641619</c:v>
                </c:pt>
                <c:pt idx="487">
                  <c:v>0.17942403159182843</c:v>
                </c:pt>
                <c:pt idx="488">
                  <c:v>0.17144191154074287</c:v>
                </c:pt>
                <c:pt idx="489">
                  <c:v>0.17144191154074287</c:v>
                </c:pt>
                <c:pt idx="490">
                  <c:v>0.17144191154074287</c:v>
                </c:pt>
                <c:pt idx="491">
                  <c:v>0.17144191154074287</c:v>
                </c:pt>
                <c:pt idx="492">
                  <c:v>0.17144191154074287</c:v>
                </c:pt>
                <c:pt idx="493">
                  <c:v>0.17144191154074287</c:v>
                </c:pt>
                <c:pt idx="494">
                  <c:v>0.16844589286824715</c:v>
                </c:pt>
                <c:pt idx="495">
                  <c:v>0.1972599662683078</c:v>
                </c:pt>
                <c:pt idx="496">
                  <c:v>0.1972599662683078</c:v>
                </c:pt>
                <c:pt idx="497">
                  <c:v>0.1972599662683078</c:v>
                </c:pt>
                <c:pt idx="498">
                  <c:v>0.1972599662683078</c:v>
                </c:pt>
                <c:pt idx="499">
                  <c:v>0.1972599662683078</c:v>
                </c:pt>
                <c:pt idx="500">
                  <c:v>0.1972599662683078</c:v>
                </c:pt>
                <c:pt idx="501">
                  <c:v>0.19648734268750792</c:v>
                </c:pt>
                <c:pt idx="502">
                  <c:v>0.19648734268750792</c:v>
                </c:pt>
                <c:pt idx="503">
                  <c:v>0.19648734268750792</c:v>
                </c:pt>
                <c:pt idx="504">
                  <c:v>0.19648734268750792</c:v>
                </c:pt>
                <c:pt idx="505">
                  <c:v>0.19648734268750792</c:v>
                </c:pt>
                <c:pt idx="506">
                  <c:v>0.19648734268750792</c:v>
                </c:pt>
                <c:pt idx="507">
                  <c:v>0.19648734268750792</c:v>
                </c:pt>
                <c:pt idx="508">
                  <c:v>0.19569094341902735</c:v>
                </c:pt>
                <c:pt idx="509">
                  <c:v>0.1508883052570319</c:v>
                </c:pt>
                <c:pt idx="510">
                  <c:v>0.1508883052570319</c:v>
                </c:pt>
                <c:pt idx="511">
                  <c:v>0.1508883052570319</c:v>
                </c:pt>
                <c:pt idx="512">
                  <c:v>0.1508883052570319</c:v>
                </c:pt>
                <c:pt idx="513">
                  <c:v>0.1508883052570319</c:v>
                </c:pt>
                <c:pt idx="514">
                  <c:v>0.1508883052570319</c:v>
                </c:pt>
                <c:pt idx="515">
                  <c:v>0.1508883052570319</c:v>
                </c:pt>
                <c:pt idx="516">
                  <c:v>0.18278623189180063</c:v>
                </c:pt>
                <c:pt idx="517">
                  <c:v>0.18278623189180063</c:v>
                </c:pt>
                <c:pt idx="518">
                  <c:v>0.18278623189180063</c:v>
                </c:pt>
                <c:pt idx="519">
                  <c:v>0.18278623189180063</c:v>
                </c:pt>
                <c:pt idx="520">
                  <c:v>0.18278623189180063</c:v>
                </c:pt>
                <c:pt idx="521">
                  <c:v>0.18278623189180063</c:v>
                </c:pt>
                <c:pt idx="522">
                  <c:v>0.19373299559058074</c:v>
                </c:pt>
                <c:pt idx="523">
                  <c:v>0.17362238724467827</c:v>
                </c:pt>
                <c:pt idx="524">
                  <c:v>0.17362238724467827</c:v>
                </c:pt>
                <c:pt idx="525">
                  <c:v>0.17362238724467827</c:v>
                </c:pt>
                <c:pt idx="526">
                  <c:v>0.17362238724467827</c:v>
                </c:pt>
                <c:pt idx="527">
                  <c:v>0.17362238724467827</c:v>
                </c:pt>
                <c:pt idx="528">
                  <c:v>0.17362238724467827</c:v>
                </c:pt>
                <c:pt idx="529">
                  <c:v>0.16196141564607622</c:v>
                </c:pt>
                <c:pt idx="530">
                  <c:v>0.22609138571875684</c:v>
                </c:pt>
                <c:pt idx="531">
                  <c:v>0.22609138571875684</c:v>
                </c:pt>
                <c:pt idx="532">
                  <c:v>0.22609138571875684</c:v>
                </c:pt>
                <c:pt idx="533">
                  <c:v>0.22609138571875684</c:v>
                </c:pt>
                <c:pt idx="534">
                  <c:v>0.22609138571875684</c:v>
                </c:pt>
                <c:pt idx="535">
                  <c:v>0.22609138571875684</c:v>
                </c:pt>
                <c:pt idx="536">
                  <c:v>0.21902576534708826</c:v>
                </c:pt>
                <c:pt idx="537">
                  <c:v>0.22980888975738614</c:v>
                </c:pt>
                <c:pt idx="538">
                  <c:v>0.22980888975738614</c:v>
                </c:pt>
                <c:pt idx="539">
                  <c:v>0.22980888975738614</c:v>
                </c:pt>
                <c:pt idx="540">
                  <c:v>0.22980888975738614</c:v>
                </c:pt>
                <c:pt idx="541">
                  <c:v>0.22980888975738614</c:v>
                </c:pt>
                <c:pt idx="542">
                  <c:v>0.20249117822914831</c:v>
                </c:pt>
                <c:pt idx="543">
                  <c:v>0.20525872073540255</c:v>
                </c:pt>
                <c:pt idx="544">
                  <c:v>0.15837292144138765</c:v>
                </c:pt>
                <c:pt idx="545">
                  <c:v>0.15837292144138765</c:v>
                </c:pt>
                <c:pt idx="546">
                  <c:v>0.15837292144138765</c:v>
                </c:pt>
                <c:pt idx="547">
                  <c:v>0.15837292144138765</c:v>
                </c:pt>
                <c:pt idx="548">
                  <c:v>0.15837292144138765</c:v>
                </c:pt>
                <c:pt idx="549">
                  <c:v>0.15837292144138765</c:v>
                </c:pt>
                <c:pt idx="550">
                  <c:v>0.16055511409124323</c:v>
                </c:pt>
                <c:pt idx="551">
                  <c:v>0.15495992595304209</c:v>
                </c:pt>
                <c:pt idx="552">
                  <c:v>0.15495992595304209</c:v>
                </c:pt>
                <c:pt idx="553">
                  <c:v>0.15495992595304209</c:v>
                </c:pt>
                <c:pt idx="554">
                  <c:v>0.15495992595304209</c:v>
                </c:pt>
                <c:pt idx="555">
                  <c:v>0.15495992595304209</c:v>
                </c:pt>
                <c:pt idx="556">
                  <c:v>0.15495992595304209</c:v>
                </c:pt>
                <c:pt idx="557">
                  <c:v>0.16422408217432341</c:v>
                </c:pt>
                <c:pt idx="558">
                  <c:v>0.12969732393668923</c:v>
                </c:pt>
                <c:pt idx="559">
                  <c:v>0.12969732393668923</c:v>
                </c:pt>
                <c:pt idx="560">
                  <c:v>0.12969732393668923</c:v>
                </c:pt>
                <c:pt idx="561">
                  <c:v>0.12969732393668923</c:v>
                </c:pt>
                <c:pt idx="562">
                  <c:v>0.12969732393668923</c:v>
                </c:pt>
                <c:pt idx="563">
                  <c:v>0.12969732393668923</c:v>
                </c:pt>
                <c:pt idx="564">
                  <c:v>0.13061828307879739</c:v>
                </c:pt>
                <c:pt idx="565">
                  <c:v>0.12304424687490433</c:v>
                </c:pt>
                <c:pt idx="566">
                  <c:v>0.12304424687490433</c:v>
                </c:pt>
                <c:pt idx="567">
                  <c:v>0.12304424687490433</c:v>
                </c:pt>
                <c:pt idx="568">
                  <c:v>0.12304424687490433</c:v>
                </c:pt>
                <c:pt idx="569">
                  <c:v>0.12304424687490433</c:v>
                </c:pt>
                <c:pt idx="570">
                  <c:v>0.13071148858469922</c:v>
                </c:pt>
                <c:pt idx="571">
                  <c:v>0.12943811329823435</c:v>
                </c:pt>
                <c:pt idx="572">
                  <c:v>0.22554495143886891</c:v>
                </c:pt>
                <c:pt idx="573">
                  <c:v>0.22554495143886891</c:v>
                </c:pt>
                <c:pt idx="574">
                  <c:v>0.22554495143886891</c:v>
                </c:pt>
                <c:pt idx="575">
                  <c:v>0.22554495143886891</c:v>
                </c:pt>
                <c:pt idx="576">
                  <c:v>0.22554495143886891</c:v>
                </c:pt>
                <c:pt idx="577">
                  <c:v>0.22554495143886891</c:v>
                </c:pt>
                <c:pt idx="578">
                  <c:v>0.22350388234048779</c:v>
                </c:pt>
                <c:pt idx="579">
                  <c:v>0.22716206203027414</c:v>
                </c:pt>
                <c:pt idx="580">
                  <c:v>0.22716206203027414</c:v>
                </c:pt>
                <c:pt idx="581">
                  <c:v>0.22716206203027414</c:v>
                </c:pt>
                <c:pt idx="582">
                  <c:v>0.22716206203027414</c:v>
                </c:pt>
                <c:pt idx="583">
                  <c:v>0.22716206203027414</c:v>
                </c:pt>
                <c:pt idx="584">
                  <c:v>0.22716206203027414</c:v>
                </c:pt>
                <c:pt idx="585">
                  <c:v>0.23621640716284883</c:v>
                </c:pt>
                <c:pt idx="586">
                  <c:v>0.2330235591424146</c:v>
                </c:pt>
                <c:pt idx="587">
                  <c:v>0.2330235591424146</c:v>
                </c:pt>
                <c:pt idx="588">
                  <c:v>0.2330235591424146</c:v>
                </c:pt>
                <c:pt idx="589">
                  <c:v>0.2330235591424146</c:v>
                </c:pt>
                <c:pt idx="590">
                  <c:v>0.2330235591424146</c:v>
                </c:pt>
                <c:pt idx="591">
                  <c:v>0.2330235591424146</c:v>
                </c:pt>
                <c:pt idx="592">
                  <c:v>0.23686781472621368</c:v>
                </c:pt>
                <c:pt idx="593">
                  <c:v>0.22445778742415359</c:v>
                </c:pt>
                <c:pt idx="594">
                  <c:v>0.22445778742415359</c:v>
                </c:pt>
                <c:pt idx="595">
                  <c:v>0.22445778742415359</c:v>
                </c:pt>
                <c:pt idx="596">
                  <c:v>0.22445778742415359</c:v>
                </c:pt>
                <c:pt idx="597">
                  <c:v>0.22445778742415359</c:v>
                </c:pt>
                <c:pt idx="598">
                  <c:v>0.22445778742415359</c:v>
                </c:pt>
                <c:pt idx="599">
                  <c:v>0.2111892382076439</c:v>
                </c:pt>
                <c:pt idx="600">
                  <c:v>0.2354628157046097</c:v>
                </c:pt>
                <c:pt idx="601">
                  <c:v>0.2354628157046097</c:v>
                </c:pt>
                <c:pt idx="602">
                  <c:v>0.2354628157046097</c:v>
                </c:pt>
                <c:pt idx="603">
                  <c:v>0.2354628157046097</c:v>
                </c:pt>
                <c:pt idx="604">
                  <c:v>0.2354628157046097</c:v>
                </c:pt>
                <c:pt idx="605">
                  <c:v>0.2354628157046097</c:v>
                </c:pt>
                <c:pt idx="606">
                  <c:v>0.22355085534698269</c:v>
                </c:pt>
                <c:pt idx="607">
                  <c:v>0.18840468093213295</c:v>
                </c:pt>
                <c:pt idx="608">
                  <c:v>0.18840468093213295</c:v>
                </c:pt>
                <c:pt idx="609">
                  <c:v>0.18840468093213295</c:v>
                </c:pt>
                <c:pt idx="610">
                  <c:v>0.18840468093213295</c:v>
                </c:pt>
                <c:pt idx="611">
                  <c:v>0.18840468093213295</c:v>
                </c:pt>
                <c:pt idx="612">
                  <c:v>0.18840468093213295</c:v>
                </c:pt>
                <c:pt idx="613">
                  <c:v>0.19427999074992305</c:v>
                </c:pt>
                <c:pt idx="614">
                  <c:v>0.17760999008312303</c:v>
                </c:pt>
                <c:pt idx="615">
                  <c:v>0.17760999008312303</c:v>
                </c:pt>
                <c:pt idx="616">
                  <c:v>0.17760999008312303</c:v>
                </c:pt>
                <c:pt idx="617">
                  <c:v>0.17760999008312303</c:v>
                </c:pt>
                <c:pt idx="618">
                  <c:v>0.17760999008312303</c:v>
                </c:pt>
                <c:pt idx="619">
                  <c:v>0.17760999008312303</c:v>
                </c:pt>
                <c:pt idx="620">
                  <c:v>0.17551765816965917</c:v>
                </c:pt>
                <c:pt idx="621">
                  <c:v>0.18205488769178771</c:v>
                </c:pt>
                <c:pt idx="622">
                  <c:v>0.18205488769178771</c:v>
                </c:pt>
                <c:pt idx="623">
                  <c:v>0.18205488769178771</c:v>
                </c:pt>
                <c:pt idx="624">
                  <c:v>0.18205488769178771</c:v>
                </c:pt>
                <c:pt idx="625">
                  <c:v>0.18205488769178771</c:v>
                </c:pt>
                <c:pt idx="626">
                  <c:v>0.18205488769178771</c:v>
                </c:pt>
                <c:pt idx="627">
                  <c:v>0.17786040186894625</c:v>
                </c:pt>
                <c:pt idx="628">
                  <c:v>0.190441391992869</c:v>
                </c:pt>
                <c:pt idx="629">
                  <c:v>0.190441391992869</c:v>
                </c:pt>
                <c:pt idx="630">
                  <c:v>0.190441391992869</c:v>
                </c:pt>
                <c:pt idx="631">
                  <c:v>0.190441391992869</c:v>
                </c:pt>
                <c:pt idx="632">
                  <c:v>0.190441391992869</c:v>
                </c:pt>
                <c:pt idx="633">
                  <c:v>0.190441391992869</c:v>
                </c:pt>
                <c:pt idx="634">
                  <c:v>0.18578113223078843</c:v>
                </c:pt>
                <c:pt idx="635">
                  <c:v>0.203916786927923</c:v>
                </c:pt>
                <c:pt idx="636">
                  <c:v>0.203916786927923</c:v>
                </c:pt>
                <c:pt idx="637">
                  <c:v>0.203916786927923</c:v>
                </c:pt>
                <c:pt idx="638">
                  <c:v>0.203916786927923</c:v>
                </c:pt>
                <c:pt idx="639">
                  <c:v>0.203916786927923</c:v>
                </c:pt>
                <c:pt idx="640">
                  <c:v>0.203916786927923</c:v>
                </c:pt>
                <c:pt idx="641">
                  <c:v>0.203916786927923</c:v>
                </c:pt>
                <c:pt idx="642">
                  <c:v>0.203916786927923</c:v>
                </c:pt>
                <c:pt idx="643">
                  <c:v>0.203916786927923</c:v>
                </c:pt>
                <c:pt idx="644">
                  <c:v>0.203916786927923</c:v>
                </c:pt>
                <c:pt idx="645">
                  <c:v>0.203916786927923</c:v>
                </c:pt>
                <c:pt idx="646">
                  <c:v>0.203916786927923</c:v>
                </c:pt>
                <c:pt idx="647">
                  <c:v>0.203916786927923</c:v>
                </c:pt>
                <c:pt idx="648">
                  <c:v>0.19926173613645223</c:v>
                </c:pt>
                <c:pt idx="649">
                  <c:v>0.21092898616562036</c:v>
                </c:pt>
                <c:pt idx="650">
                  <c:v>0.21092898616562036</c:v>
                </c:pt>
                <c:pt idx="651">
                  <c:v>0.21092898616562036</c:v>
                </c:pt>
                <c:pt idx="652">
                  <c:v>0.21092898616562036</c:v>
                </c:pt>
                <c:pt idx="653">
                  <c:v>0.21092898616562036</c:v>
                </c:pt>
                <c:pt idx="654">
                  <c:v>0.21092898616562036</c:v>
                </c:pt>
                <c:pt idx="655">
                  <c:v>0.21166793936943817</c:v>
                </c:pt>
                <c:pt idx="656">
                  <c:v>0.19231537075578578</c:v>
                </c:pt>
                <c:pt idx="657">
                  <c:v>0.19231537075578578</c:v>
                </c:pt>
                <c:pt idx="658">
                  <c:v>0.19231537075578578</c:v>
                </c:pt>
                <c:pt idx="659">
                  <c:v>0.19231537075578578</c:v>
                </c:pt>
                <c:pt idx="660">
                  <c:v>0.19231537075578578</c:v>
                </c:pt>
                <c:pt idx="661">
                  <c:v>0.21398597753277557</c:v>
                </c:pt>
                <c:pt idx="662">
                  <c:v>0.21387928621185784</c:v>
                </c:pt>
                <c:pt idx="663">
                  <c:v>0.23269076775844222</c:v>
                </c:pt>
                <c:pt idx="664">
                  <c:v>0.23269076775844222</c:v>
                </c:pt>
                <c:pt idx="665">
                  <c:v>0.23269076775844222</c:v>
                </c:pt>
                <c:pt idx="666">
                  <c:v>0.23269076775844222</c:v>
                </c:pt>
                <c:pt idx="667">
                  <c:v>0.23269076775844222</c:v>
                </c:pt>
                <c:pt idx="668">
                  <c:v>0.23269076775844222</c:v>
                </c:pt>
                <c:pt idx="669">
                  <c:v>0.22660061965455189</c:v>
                </c:pt>
                <c:pt idx="670">
                  <c:v>0.24329789799818183</c:v>
                </c:pt>
                <c:pt idx="671">
                  <c:v>0.24329789799818183</c:v>
                </c:pt>
                <c:pt idx="672">
                  <c:v>0.24329789799818183</c:v>
                </c:pt>
                <c:pt idx="673">
                  <c:v>0.24329789799818183</c:v>
                </c:pt>
                <c:pt idx="674">
                  <c:v>0.24329789799818183</c:v>
                </c:pt>
                <c:pt idx="675">
                  <c:v>0.24329789799818183</c:v>
                </c:pt>
                <c:pt idx="676">
                  <c:v>0.24329789799818183</c:v>
                </c:pt>
                <c:pt idx="677">
                  <c:v>0.24886365744605851</c:v>
                </c:pt>
                <c:pt idx="678">
                  <c:v>0.24886365744605851</c:v>
                </c:pt>
                <c:pt idx="679">
                  <c:v>0.24886365744605851</c:v>
                </c:pt>
                <c:pt idx="680">
                  <c:v>0.24886365744605851</c:v>
                </c:pt>
                <c:pt idx="681">
                  <c:v>0.24886365744605851</c:v>
                </c:pt>
                <c:pt idx="682">
                  <c:v>0.24886365744605851</c:v>
                </c:pt>
                <c:pt idx="683">
                  <c:v>0.24886365744605851</c:v>
                </c:pt>
                <c:pt idx="684">
                  <c:v>0.2505229079136429</c:v>
                </c:pt>
                <c:pt idx="685">
                  <c:v>0.2505229079136429</c:v>
                </c:pt>
                <c:pt idx="686">
                  <c:v>0.2505229079136429</c:v>
                </c:pt>
                <c:pt idx="687">
                  <c:v>0.2505229079136429</c:v>
                </c:pt>
                <c:pt idx="688">
                  <c:v>0.2505229079136429</c:v>
                </c:pt>
                <c:pt idx="689">
                  <c:v>0.2505229079136429</c:v>
                </c:pt>
                <c:pt idx="690">
                  <c:v>0.2505229079136429</c:v>
                </c:pt>
                <c:pt idx="691">
                  <c:v>0.24157968761566362</c:v>
                </c:pt>
                <c:pt idx="692">
                  <c:v>0.24157968761566362</c:v>
                </c:pt>
                <c:pt idx="693">
                  <c:v>0.24157968761566362</c:v>
                </c:pt>
                <c:pt idx="694">
                  <c:v>0.24157968761566362</c:v>
                </c:pt>
                <c:pt idx="695">
                  <c:v>0.24157968761566362</c:v>
                </c:pt>
                <c:pt idx="696">
                  <c:v>0.24157968761566362</c:v>
                </c:pt>
                <c:pt idx="697">
                  <c:v>0.24157968761566362</c:v>
                </c:pt>
                <c:pt idx="698">
                  <c:v>0.23893315626383357</c:v>
                </c:pt>
                <c:pt idx="699">
                  <c:v>0.23893315626383357</c:v>
                </c:pt>
                <c:pt idx="700">
                  <c:v>0.23893315626383357</c:v>
                </c:pt>
                <c:pt idx="701">
                  <c:v>0.23893315626383357</c:v>
                </c:pt>
                <c:pt idx="702">
                  <c:v>0.23893315626383357</c:v>
                </c:pt>
                <c:pt idx="703">
                  <c:v>0.23893315626383357</c:v>
                </c:pt>
                <c:pt idx="704">
                  <c:v>0.23893315626383357</c:v>
                </c:pt>
                <c:pt idx="705">
                  <c:v>0.248991334245518</c:v>
                </c:pt>
                <c:pt idx="706">
                  <c:v>0.248991334245518</c:v>
                </c:pt>
                <c:pt idx="707">
                  <c:v>0.248991334245518</c:v>
                </c:pt>
                <c:pt idx="708">
                  <c:v>0.248991334245518</c:v>
                </c:pt>
                <c:pt idx="709">
                  <c:v>0.248991334245518</c:v>
                </c:pt>
                <c:pt idx="710">
                  <c:v>0.248991334245518</c:v>
                </c:pt>
                <c:pt idx="711">
                  <c:v>0.248991334245518</c:v>
                </c:pt>
                <c:pt idx="712">
                  <c:v>0.24477094174063871</c:v>
                </c:pt>
                <c:pt idx="713">
                  <c:v>0.24477094174063871</c:v>
                </c:pt>
                <c:pt idx="714">
                  <c:v>0.24477094174063871</c:v>
                </c:pt>
                <c:pt idx="715">
                  <c:v>0.24477094174063871</c:v>
                </c:pt>
                <c:pt idx="716">
                  <c:v>0.24477094174063871</c:v>
                </c:pt>
                <c:pt idx="717">
                  <c:v>0.24477094174063871</c:v>
                </c:pt>
                <c:pt idx="718">
                  <c:v>0.24477094174063871</c:v>
                </c:pt>
                <c:pt idx="719">
                  <c:v>0.25084499843366143</c:v>
                </c:pt>
                <c:pt idx="720">
                  <c:v>0.25084499843366143</c:v>
                </c:pt>
                <c:pt idx="721">
                  <c:v>0.25084499843366143</c:v>
                </c:pt>
                <c:pt idx="722">
                  <c:v>0.25084499843366143</c:v>
                </c:pt>
                <c:pt idx="723">
                  <c:v>0.25084499843366143</c:v>
                </c:pt>
                <c:pt idx="724">
                  <c:v>0.25084499843366143</c:v>
                </c:pt>
                <c:pt idx="725">
                  <c:v>0.25084499843366143</c:v>
                </c:pt>
                <c:pt idx="726">
                  <c:v>0.25632514928165828</c:v>
                </c:pt>
                <c:pt idx="727">
                  <c:v>0.25632514928165828</c:v>
                </c:pt>
                <c:pt idx="728">
                  <c:v>0.25632514928165828</c:v>
                </c:pt>
                <c:pt idx="729">
                  <c:v>0.25632514928165828</c:v>
                </c:pt>
                <c:pt idx="730">
                  <c:v>0.25632514928165828</c:v>
                </c:pt>
                <c:pt idx="731">
                  <c:v>0.25632514928165828</c:v>
                </c:pt>
                <c:pt idx="732">
                  <c:v>0.25632514928165828</c:v>
                </c:pt>
                <c:pt idx="733">
                  <c:v>0.26421697287839019</c:v>
                </c:pt>
                <c:pt idx="734">
                  <c:v>0.26421697287839019</c:v>
                </c:pt>
                <c:pt idx="735">
                  <c:v>0.26421697287839019</c:v>
                </c:pt>
                <c:pt idx="736">
                  <c:v>0.26421697287839019</c:v>
                </c:pt>
                <c:pt idx="737">
                  <c:v>0.26421697287839019</c:v>
                </c:pt>
                <c:pt idx="738">
                  <c:v>0.26421697287839019</c:v>
                </c:pt>
                <c:pt idx="739">
                  <c:v>0.26421697287839019</c:v>
                </c:pt>
                <c:pt idx="740">
                  <c:v>0.2690624486564801</c:v>
                </c:pt>
                <c:pt idx="741">
                  <c:v>0.2690624486564801</c:v>
                </c:pt>
                <c:pt idx="742">
                  <c:v>0.2690624486564801</c:v>
                </c:pt>
                <c:pt idx="743">
                  <c:v>0.2690624486564801</c:v>
                </c:pt>
                <c:pt idx="744">
                  <c:v>0.2690624486564801</c:v>
                </c:pt>
                <c:pt idx="745">
                  <c:v>0.2690624486564801</c:v>
                </c:pt>
                <c:pt idx="746">
                  <c:v>0.2690624486564801</c:v>
                </c:pt>
                <c:pt idx="747">
                  <c:v>0.28138302493267314</c:v>
                </c:pt>
                <c:pt idx="748">
                  <c:v>0.28138302493267314</c:v>
                </c:pt>
                <c:pt idx="749">
                  <c:v>0.28138302493267314</c:v>
                </c:pt>
                <c:pt idx="750">
                  <c:v>0.28138302493267314</c:v>
                </c:pt>
                <c:pt idx="751">
                  <c:v>0.28138302493267314</c:v>
                </c:pt>
                <c:pt idx="752">
                  <c:v>0.19591293946258767</c:v>
                </c:pt>
                <c:pt idx="753">
                  <c:v>0.20475467244225165</c:v>
                </c:pt>
                <c:pt idx="754">
                  <c:v>0.27662007260669469</c:v>
                </c:pt>
                <c:pt idx="755">
                  <c:v>0.27662007260669469</c:v>
                </c:pt>
                <c:pt idx="756">
                  <c:v>0.27662007260669469</c:v>
                </c:pt>
                <c:pt idx="757">
                  <c:v>0.27662007260669469</c:v>
                </c:pt>
                <c:pt idx="758">
                  <c:v>0.27662007260669469</c:v>
                </c:pt>
                <c:pt idx="759">
                  <c:v>0.27662007260669469</c:v>
                </c:pt>
                <c:pt idx="760">
                  <c:v>0.27662007260669469</c:v>
                </c:pt>
                <c:pt idx="761">
                  <c:v>0.28164600837423398</c:v>
                </c:pt>
                <c:pt idx="762">
                  <c:v>0.28164600837423398</c:v>
                </c:pt>
                <c:pt idx="763">
                  <c:v>0.28164600837423398</c:v>
                </c:pt>
                <c:pt idx="764">
                  <c:v>0.28164600837423398</c:v>
                </c:pt>
                <c:pt idx="765">
                  <c:v>0.28164600837423398</c:v>
                </c:pt>
                <c:pt idx="766">
                  <c:v>0.28164600837423398</c:v>
                </c:pt>
                <c:pt idx="767">
                  <c:v>0.28164600837423398</c:v>
                </c:pt>
                <c:pt idx="768">
                  <c:v>0.28169488669867743</c:v>
                </c:pt>
                <c:pt idx="769">
                  <c:v>0.28169488669867743</c:v>
                </c:pt>
                <c:pt idx="770">
                  <c:v>0.28169488669867743</c:v>
                </c:pt>
                <c:pt idx="771">
                  <c:v>0.28169488669867743</c:v>
                </c:pt>
                <c:pt idx="772">
                  <c:v>0.28169488669867743</c:v>
                </c:pt>
                <c:pt idx="773">
                  <c:v>0.28169488669867743</c:v>
                </c:pt>
                <c:pt idx="774">
                  <c:v>0.28169488669867743</c:v>
                </c:pt>
                <c:pt idx="775">
                  <c:v>0.28081827460789804</c:v>
                </c:pt>
                <c:pt idx="776">
                  <c:v>0.28081827460789804</c:v>
                </c:pt>
                <c:pt idx="777">
                  <c:v>0.28081827460789804</c:v>
                </c:pt>
                <c:pt idx="778">
                  <c:v>0.28081827460789804</c:v>
                </c:pt>
                <c:pt idx="779">
                  <c:v>0.28081827460789804</c:v>
                </c:pt>
                <c:pt idx="780">
                  <c:v>0.28081827460789804</c:v>
                </c:pt>
                <c:pt idx="781">
                  <c:v>0.28081827460789804</c:v>
                </c:pt>
                <c:pt idx="782">
                  <c:v>0.28693209338370629</c:v>
                </c:pt>
                <c:pt idx="783">
                  <c:v>0.28693209338370629</c:v>
                </c:pt>
                <c:pt idx="784">
                  <c:v>0.28693209338370629</c:v>
                </c:pt>
                <c:pt idx="785">
                  <c:v>0.28693209338370629</c:v>
                </c:pt>
                <c:pt idx="786">
                  <c:v>0.28693209338370629</c:v>
                </c:pt>
                <c:pt idx="787">
                  <c:v>0.28693209338370629</c:v>
                </c:pt>
                <c:pt idx="788">
                  <c:v>0.28693209338370629</c:v>
                </c:pt>
                <c:pt idx="789">
                  <c:v>0.30849051266783456</c:v>
                </c:pt>
                <c:pt idx="790">
                  <c:v>0.30849051266783456</c:v>
                </c:pt>
                <c:pt idx="791">
                  <c:v>0.30849051266783456</c:v>
                </c:pt>
                <c:pt idx="792">
                  <c:v>0.30849051266783456</c:v>
                </c:pt>
                <c:pt idx="793">
                  <c:v>0.30849051266783456</c:v>
                </c:pt>
                <c:pt idx="794">
                  <c:v>0.30849051266783456</c:v>
                </c:pt>
                <c:pt idx="795">
                  <c:v>0.30849051266783456</c:v>
                </c:pt>
                <c:pt idx="796">
                  <c:v>0.30923227583124657</c:v>
                </c:pt>
                <c:pt idx="797">
                  <c:v>0.30923227583124657</c:v>
                </c:pt>
                <c:pt idx="798">
                  <c:v>0.30923227583124657</c:v>
                </c:pt>
                <c:pt idx="799">
                  <c:v>0.30923227583124657</c:v>
                </c:pt>
                <c:pt idx="800">
                  <c:v>0.30923227583124657</c:v>
                </c:pt>
                <c:pt idx="801">
                  <c:v>0.30923227583124657</c:v>
                </c:pt>
                <c:pt idx="802">
                  <c:v>0.30923227583124657</c:v>
                </c:pt>
                <c:pt idx="803">
                  <c:v>0.30940211186823957</c:v>
                </c:pt>
                <c:pt idx="804">
                  <c:v>0.30940211186823957</c:v>
                </c:pt>
                <c:pt idx="805">
                  <c:v>0.30940211186823957</c:v>
                </c:pt>
                <c:pt idx="806">
                  <c:v>0.30940211186823957</c:v>
                </c:pt>
                <c:pt idx="807">
                  <c:v>0.30940211186823957</c:v>
                </c:pt>
                <c:pt idx="808">
                  <c:v>0.30940211186823957</c:v>
                </c:pt>
                <c:pt idx="809">
                  <c:v>0.30940211186823957</c:v>
                </c:pt>
                <c:pt idx="810">
                  <c:v>0.30940211186823957</c:v>
                </c:pt>
                <c:pt idx="811">
                  <c:v>0.30940211186823957</c:v>
                </c:pt>
                <c:pt idx="812">
                  <c:v>0.33379235577067856</c:v>
                </c:pt>
                <c:pt idx="813">
                  <c:v>0.33379235577067856</c:v>
                </c:pt>
                <c:pt idx="814">
                  <c:v>0.33379235577067856</c:v>
                </c:pt>
                <c:pt idx="815">
                  <c:v>0.33896604387119594</c:v>
                </c:pt>
                <c:pt idx="816">
                  <c:v>0.33896604387119594</c:v>
                </c:pt>
                <c:pt idx="817">
                  <c:v>0.35177878585411032</c:v>
                </c:pt>
                <c:pt idx="818">
                  <c:v>0.35177878585411032</c:v>
                </c:pt>
                <c:pt idx="819">
                  <c:v>0.35177878585411032</c:v>
                </c:pt>
                <c:pt idx="820">
                  <c:v>0.35177878585411032</c:v>
                </c:pt>
                <c:pt idx="821">
                  <c:v>0.35177878585411032</c:v>
                </c:pt>
                <c:pt idx="822">
                  <c:v>0.35177878585411032</c:v>
                </c:pt>
                <c:pt idx="823">
                  <c:v>0.35177878585411032</c:v>
                </c:pt>
                <c:pt idx="824">
                  <c:v>0.35481259167535323</c:v>
                </c:pt>
                <c:pt idx="825">
                  <c:v>0.35481259167535323</c:v>
                </c:pt>
                <c:pt idx="826">
                  <c:v>0.35481259167535323</c:v>
                </c:pt>
                <c:pt idx="827">
                  <c:v>0.35481259167535323</c:v>
                </c:pt>
                <c:pt idx="828">
                  <c:v>0.35481259167535323</c:v>
                </c:pt>
                <c:pt idx="829">
                  <c:v>0.35481259167535323</c:v>
                </c:pt>
                <c:pt idx="830">
                  <c:v>0.35481259167535323</c:v>
                </c:pt>
                <c:pt idx="831">
                  <c:v>0.34092147732376432</c:v>
                </c:pt>
                <c:pt idx="832">
                  <c:v>0.34092147732376432</c:v>
                </c:pt>
                <c:pt idx="833">
                  <c:v>0.34092147732376432</c:v>
                </c:pt>
                <c:pt idx="834">
                  <c:v>0.34092147732376432</c:v>
                </c:pt>
                <c:pt idx="835">
                  <c:v>0.34092147732376432</c:v>
                </c:pt>
                <c:pt idx="836">
                  <c:v>0.34092147732376432</c:v>
                </c:pt>
                <c:pt idx="837">
                  <c:v>0.34092147732376432</c:v>
                </c:pt>
                <c:pt idx="838">
                  <c:v>0.33935558518706649</c:v>
                </c:pt>
                <c:pt idx="839">
                  <c:v>0.33935558518706649</c:v>
                </c:pt>
                <c:pt idx="840">
                  <c:v>0.33935558518706649</c:v>
                </c:pt>
                <c:pt idx="841">
                  <c:v>0.33935558518706649</c:v>
                </c:pt>
                <c:pt idx="842">
                  <c:v>0.33935558518706649</c:v>
                </c:pt>
                <c:pt idx="843">
                  <c:v>0.32665717248865384</c:v>
                </c:pt>
                <c:pt idx="844">
                  <c:v>0.32665717248865384</c:v>
                </c:pt>
                <c:pt idx="845">
                  <c:v>0.358558665984334</c:v>
                </c:pt>
                <c:pt idx="846">
                  <c:v>0.358558665984334</c:v>
                </c:pt>
                <c:pt idx="847">
                  <c:v>0.358558665984334</c:v>
                </c:pt>
                <c:pt idx="848">
                  <c:v>0.358558665984334</c:v>
                </c:pt>
                <c:pt idx="849">
                  <c:v>0.358558665984334</c:v>
                </c:pt>
                <c:pt idx="850">
                  <c:v>0.358558665984334</c:v>
                </c:pt>
                <c:pt idx="851">
                  <c:v>0.358558665984334</c:v>
                </c:pt>
                <c:pt idx="852">
                  <c:v>0.35376493918635149</c:v>
                </c:pt>
                <c:pt idx="853">
                  <c:v>0.35376493918635149</c:v>
                </c:pt>
                <c:pt idx="854">
                  <c:v>0.35376493918635149</c:v>
                </c:pt>
                <c:pt idx="855">
                  <c:v>0.35376493918635149</c:v>
                </c:pt>
                <c:pt idx="856">
                  <c:v>0.35376493918635149</c:v>
                </c:pt>
                <c:pt idx="857">
                  <c:v>0.35376493918635149</c:v>
                </c:pt>
                <c:pt idx="858">
                  <c:v>0.35376493918635149</c:v>
                </c:pt>
                <c:pt idx="859">
                  <c:v>0.35730737957909448</c:v>
                </c:pt>
                <c:pt idx="860">
                  <c:v>0.35730737957909448</c:v>
                </c:pt>
                <c:pt idx="861">
                  <c:v>0.35730737957909448</c:v>
                </c:pt>
                <c:pt idx="862">
                  <c:v>0.35730737957909448</c:v>
                </c:pt>
                <c:pt idx="863">
                  <c:v>0.35730737957909448</c:v>
                </c:pt>
                <c:pt idx="864">
                  <c:v>0.35730737957909448</c:v>
                </c:pt>
                <c:pt idx="865">
                  <c:v>0.35730737957909448</c:v>
                </c:pt>
                <c:pt idx="866">
                  <c:v>0.36635965599412912</c:v>
                </c:pt>
                <c:pt idx="867">
                  <c:v>0.36635965599412912</c:v>
                </c:pt>
                <c:pt idx="868">
                  <c:v>0.36635965599412912</c:v>
                </c:pt>
                <c:pt idx="869">
                  <c:v>0.36635965599412912</c:v>
                </c:pt>
                <c:pt idx="870">
                  <c:v>0.36635965599412912</c:v>
                </c:pt>
                <c:pt idx="871">
                  <c:v>0.36635965599412912</c:v>
                </c:pt>
                <c:pt idx="872">
                  <c:v>0.36635965599412912</c:v>
                </c:pt>
                <c:pt idx="873">
                  <c:v>0.3627198083138799</c:v>
                </c:pt>
                <c:pt idx="874">
                  <c:v>0.3627198083138799</c:v>
                </c:pt>
                <c:pt idx="875">
                  <c:v>0.3627198083138799</c:v>
                </c:pt>
                <c:pt idx="876">
                  <c:v>0.3627198083138799</c:v>
                </c:pt>
                <c:pt idx="877">
                  <c:v>0.3627198083138799</c:v>
                </c:pt>
                <c:pt idx="878">
                  <c:v>0.3627198083138799</c:v>
                </c:pt>
                <c:pt idx="879">
                  <c:v>0.3627198083138799</c:v>
                </c:pt>
                <c:pt idx="880">
                  <c:v>0.39905677912493526</c:v>
                </c:pt>
                <c:pt idx="881">
                  <c:v>0.39905677912493526</c:v>
                </c:pt>
                <c:pt idx="882">
                  <c:v>0.39905677912493526</c:v>
                </c:pt>
                <c:pt idx="883">
                  <c:v>0.39905677912493526</c:v>
                </c:pt>
                <c:pt idx="884">
                  <c:v>0.39905677912493526</c:v>
                </c:pt>
                <c:pt idx="885">
                  <c:v>0.39905677912493526</c:v>
                </c:pt>
                <c:pt idx="886">
                  <c:v>0.39905677912493526</c:v>
                </c:pt>
                <c:pt idx="887">
                  <c:v>0.4008397890087716</c:v>
                </c:pt>
                <c:pt idx="888">
                  <c:v>0.4008397890087716</c:v>
                </c:pt>
                <c:pt idx="889">
                  <c:v>0.4008397890087716</c:v>
                </c:pt>
                <c:pt idx="890">
                  <c:v>0.4008397890087716</c:v>
                </c:pt>
                <c:pt idx="891">
                  <c:v>0.4008397890087716</c:v>
                </c:pt>
                <c:pt idx="892">
                  <c:v>0.4008397890087716</c:v>
                </c:pt>
                <c:pt idx="893">
                  <c:v>0.4008397890087716</c:v>
                </c:pt>
                <c:pt idx="894">
                  <c:v>0.40174629232842413</c:v>
                </c:pt>
                <c:pt idx="895">
                  <c:v>0.40174629232842413</c:v>
                </c:pt>
                <c:pt idx="896">
                  <c:v>0.40174629232842413</c:v>
                </c:pt>
                <c:pt idx="897">
                  <c:v>0.40174629232842413</c:v>
                </c:pt>
                <c:pt idx="898">
                  <c:v>0.40174629232842413</c:v>
                </c:pt>
                <c:pt idx="899">
                  <c:v>0.40174629232842413</c:v>
                </c:pt>
                <c:pt idx="900">
                  <c:v>0.40174629232842413</c:v>
                </c:pt>
                <c:pt idx="901">
                  <c:v>0.39533728373222993</c:v>
                </c:pt>
                <c:pt idx="902">
                  <c:v>0.39533728373222993</c:v>
                </c:pt>
                <c:pt idx="903">
                  <c:v>0.39533728373222993</c:v>
                </c:pt>
                <c:pt idx="904">
                  <c:v>0.39533728373222993</c:v>
                </c:pt>
                <c:pt idx="905">
                  <c:v>0.39533728373222993</c:v>
                </c:pt>
                <c:pt idx="906">
                  <c:v>0.4607218991168453</c:v>
                </c:pt>
                <c:pt idx="907">
                  <c:v>0.4607218991168453</c:v>
                </c:pt>
                <c:pt idx="908">
                  <c:v>0.58410879104608815</c:v>
                </c:pt>
                <c:pt idx="909">
                  <c:v>0.58410879104608815</c:v>
                </c:pt>
                <c:pt idx="910">
                  <c:v>0.58410879104608815</c:v>
                </c:pt>
                <c:pt idx="911">
                  <c:v>0.58410879104608815</c:v>
                </c:pt>
                <c:pt idx="912">
                  <c:v>0.58410879104608815</c:v>
                </c:pt>
                <c:pt idx="913">
                  <c:v>0.58410879104608815</c:v>
                </c:pt>
                <c:pt idx="914">
                  <c:v>0.58410879104608815</c:v>
                </c:pt>
                <c:pt idx="915">
                  <c:v>0.58577292855423801</c:v>
                </c:pt>
                <c:pt idx="916">
                  <c:v>0.58577292855423801</c:v>
                </c:pt>
                <c:pt idx="917">
                  <c:v>0.58577292855423801</c:v>
                </c:pt>
                <c:pt idx="918">
                  <c:v>0.58577292855423801</c:v>
                </c:pt>
                <c:pt idx="919">
                  <c:v>0.58577292855423801</c:v>
                </c:pt>
                <c:pt idx="920">
                  <c:v>0.58577292855423801</c:v>
                </c:pt>
                <c:pt idx="921">
                  <c:v>0.58577292855423801</c:v>
                </c:pt>
                <c:pt idx="922">
                  <c:v>0.59216566486596156</c:v>
                </c:pt>
                <c:pt idx="923">
                  <c:v>0.59216566486596156</c:v>
                </c:pt>
                <c:pt idx="924">
                  <c:v>0.59216566486596156</c:v>
                </c:pt>
                <c:pt idx="925">
                  <c:v>0.59216566486596156</c:v>
                </c:pt>
                <c:pt idx="926">
                  <c:v>0.59216566486596156</c:v>
                </c:pt>
                <c:pt idx="927">
                  <c:v>0.59216566486596156</c:v>
                </c:pt>
                <c:pt idx="928">
                  <c:v>0.59216566486596156</c:v>
                </c:pt>
                <c:pt idx="929">
                  <c:v>0.59310343208140304</c:v>
                </c:pt>
                <c:pt idx="930">
                  <c:v>0.59310343208140304</c:v>
                </c:pt>
                <c:pt idx="931">
                  <c:v>0.59310343208140304</c:v>
                </c:pt>
                <c:pt idx="932">
                  <c:v>0.59310343208140304</c:v>
                </c:pt>
                <c:pt idx="933">
                  <c:v>0.59310343208140304</c:v>
                </c:pt>
                <c:pt idx="934">
                  <c:v>0.59310343208140304</c:v>
                </c:pt>
                <c:pt idx="935">
                  <c:v>0.59310343208140304</c:v>
                </c:pt>
                <c:pt idx="936">
                  <c:v>0.63620085839530982</c:v>
                </c:pt>
                <c:pt idx="937">
                  <c:v>0.63620085839530982</c:v>
                </c:pt>
                <c:pt idx="938">
                  <c:v>0.63620085839530982</c:v>
                </c:pt>
                <c:pt idx="939">
                  <c:v>0.63620085839530982</c:v>
                </c:pt>
                <c:pt idx="940">
                  <c:v>0.63620085839530982</c:v>
                </c:pt>
                <c:pt idx="941">
                  <c:v>0.63620085839530982</c:v>
                </c:pt>
                <c:pt idx="942">
                  <c:v>0.63620085839530982</c:v>
                </c:pt>
                <c:pt idx="943">
                  <c:v>0.55192390379222356</c:v>
                </c:pt>
                <c:pt idx="944">
                  <c:v>0.55192390379222356</c:v>
                </c:pt>
                <c:pt idx="945">
                  <c:v>0.55192390379222356</c:v>
                </c:pt>
                <c:pt idx="946">
                  <c:v>0.55192390379222356</c:v>
                </c:pt>
                <c:pt idx="947">
                  <c:v>0.55192390379222356</c:v>
                </c:pt>
                <c:pt idx="948">
                  <c:v>0.55192390379222356</c:v>
                </c:pt>
                <c:pt idx="949">
                  <c:v>0.55192390379222356</c:v>
                </c:pt>
                <c:pt idx="950">
                  <c:v>0.55287476391866508</c:v>
                </c:pt>
                <c:pt idx="951">
                  <c:v>0.55287476391866508</c:v>
                </c:pt>
                <c:pt idx="952">
                  <c:v>0.55287476391866508</c:v>
                </c:pt>
                <c:pt idx="953">
                  <c:v>0.55287476391866508</c:v>
                </c:pt>
                <c:pt idx="954">
                  <c:v>0.55287476391866508</c:v>
                </c:pt>
                <c:pt idx="955">
                  <c:v>0.55287476391866508</c:v>
                </c:pt>
                <c:pt idx="956">
                  <c:v>0.55287476391866508</c:v>
                </c:pt>
                <c:pt idx="957">
                  <c:v>0.55119215771383445</c:v>
                </c:pt>
                <c:pt idx="958">
                  <c:v>0.55119215771383445</c:v>
                </c:pt>
                <c:pt idx="959">
                  <c:v>0.55119215771383445</c:v>
                </c:pt>
                <c:pt idx="960">
                  <c:v>0.55119215771383445</c:v>
                </c:pt>
                <c:pt idx="961">
                  <c:v>0.55119215771383445</c:v>
                </c:pt>
                <c:pt idx="962">
                  <c:v>0.55119215771383445</c:v>
                </c:pt>
                <c:pt idx="963">
                  <c:v>0.55119215771383445</c:v>
                </c:pt>
                <c:pt idx="964">
                  <c:v>0.54887890109942694</c:v>
                </c:pt>
                <c:pt idx="965">
                  <c:v>0.54887890109942694</c:v>
                </c:pt>
                <c:pt idx="966">
                  <c:v>0.54887890109942694</c:v>
                </c:pt>
                <c:pt idx="967">
                  <c:v>0.54887890109942694</c:v>
                </c:pt>
                <c:pt idx="968">
                  <c:v>0.54887890109942694</c:v>
                </c:pt>
                <c:pt idx="969">
                  <c:v>0.54887890109942694</c:v>
                </c:pt>
                <c:pt idx="970">
                  <c:v>0.54887890109942694</c:v>
                </c:pt>
                <c:pt idx="971">
                  <c:v>0.6518757697162072</c:v>
                </c:pt>
                <c:pt idx="972">
                  <c:v>0.6518757697162072</c:v>
                </c:pt>
                <c:pt idx="973">
                  <c:v>0.6518757697162072</c:v>
                </c:pt>
                <c:pt idx="974">
                  <c:v>0.6518757697162072</c:v>
                </c:pt>
                <c:pt idx="975">
                  <c:v>0.6518757697162072</c:v>
                </c:pt>
                <c:pt idx="976">
                  <c:v>0.6518757697162072</c:v>
                </c:pt>
                <c:pt idx="977">
                  <c:v>0.6518757697162072</c:v>
                </c:pt>
                <c:pt idx="978">
                  <c:v>0.65718674987847869</c:v>
                </c:pt>
                <c:pt idx="979">
                  <c:v>0.65718674987847869</c:v>
                </c:pt>
                <c:pt idx="980">
                  <c:v>0.65718674987847869</c:v>
                </c:pt>
                <c:pt idx="981">
                  <c:v>0.65718674987847869</c:v>
                </c:pt>
                <c:pt idx="982">
                  <c:v>0.65718674987847869</c:v>
                </c:pt>
                <c:pt idx="983">
                  <c:v>0.65718674987847869</c:v>
                </c:pt>
                <c:pt idx="984">
                  <c:v>0.65718674987847869</c:v>
                </c:pt>
                <c:pt idx="985">
                  <c:v>0.65568473990524245</c:v>
                </c:pt>
                <c:pt idx="986">
                  <c:v>0.65568473990524245</c:v>
                </c:pt>
                <c:pt idx="987">
                  <c:v>0.65568473990524245</c:v>
                </c:pt>
                <c:pt idx="988">
                  <c:v>0.65568473990524245</c:v>
                </c:pt>
                <c:pt idx="989">
                  <c:v>0.65568473990524245</c:v>
                </c:pt>
                <c:pt idx="990">
                  <c:v>0.65568473990524245</c:v>
                </c:pt>
                <c:pt idx="991">
                  <c:v>0.65568473990524245</c:v>
                </c:pt>
                <c:pt idx="992">
                  <c:v>0.66676724171296875</c:v>
                </c:pt>
                <c:pt idx="993">
                  <c:v>0.66676724171296875</c:v>
                </c:pt>
                <c:pt idx="994">
                  <c:v>0.66676724171296875</c:v>
                </c:pt>
                <c:pt idx="995">
                  <c:v>0.66676724171296875</c:v>
                </c:pt>
                <c:pt idx="996">
                  <c:v>0.66676724171296875</c:v>
                </c:pt>
                <c:pt idx="997">
                  <c:v>0.70878404843565779</c:v>
                </c:pt>
                <c:pt idx="998">
                  <c:v>0.70878404843565779</c:v>
                </c:pt>
                <c:pt idx="999">
                  <c:v>0.63787488161954631</c:v>
                </c:pt>
                <c:pt idx="1000">
                  <c:v>0.63787488161954631</c:v>
                </c:pt>
                <c:pt idx="1001">
                  <c:v>0.63787488161954631</c:v>
                </c:pt>
                <c:pt idx="1002">
                  <c:v>0.63787488161954631</c:v>
                </c:pt>
                <c:pt idx="1003">
                  <c:v>0.63787488161954631</c:v>
                </c:pt>
                <c:pt idx="1004">
                  <c:v>0.63787488161954631</c:v>
                </c:pt>
                <c:pt idx="1005">
                  <c:v>0.63787488161954631</c:v>
                </c:pt>
                <c:pt idx="1006">
                  <c:v>0.63686735011216877</c:v>
                </c:pt>
                <c:pt idx="1007">
                  <c:v>0.63686735011216877</c:v>
                </c:pt>
                <c:pt idx="1008">
                  <c:v>0.63686735011216877</c:v>
                </c:pt>
                <c:pt idx="1009">
                  <c:v>0.63686735011216877</c:v>
                </c:pt>
                <c:pt idx="1010">
                  <c:v>0.63686735011216877</c:v>
                </c:pt>
                <c:pt idx="1011">
                  <c:v>0.63686735011216877</c:v>
                </c:pt>
                <c:pt idx="1012">
                  <c:v>0.63686735011216877</c:v>
                </c:pt>
                <c:pt idx="1013">
                  <c:v>0.64809905678806812</c:v>
                </c:pt>
                <c:pt idx="1014">
                  <c:v>0.64809905678806812</c:v>
                </c:pt>
                <c:pt idx="1015">
                  <c:v>0.64809905678806812</c:v>
                </c:pt>
                <c:pt idx="1016">
                  <c:v>0.64809905678806812</c:v>
                </c:pt>
                <c:pt idx="1017">
                  <c:v>0.64809905678806812</c:v>
                </c:pt>
                <c:pt idx="1018">
                  <c:v>0.64809905678806812</c:v>
                </c:pt>
                <c:pt idx="1019">
                  <c:v>0.64809905678806812</c:v>
                </c:pt>
                <c:pt idx="1020">
                  <c:v>0.67433171456616581</c:v>
                </c:pt>
                <c:pt idx="1021">
                  <c:v>0.67433171456616581</c:v>
                </c:pt>
                <c:pt idx="1022">
                  <c:v>0.67433171456616581</c:v>
                </c:pt>
                <c:pt idx="1023">
                  <c:v>0.67433171456616581</c:v>
                </c:pt>
                <c:pt idx="1024">
                  <c:v>0.67433171456616581</c:v>
                </c:pt>
                <c:pt idx="1025">
                  <c:v>0.67433171456616581</c:v>
                </c:pt>
                <c:pt idx="1026">
                  <c:v>0.64539652938098058</c:v>
                </c:pt>
                <c:pt idx="1027">
                  <c:v>0.63689247149118933</c:v>
                </c:pt>
                <c:pt idx="1028">
                  <c:v>0.63689247149118933</c:v>
                </c:pt>
                <c:pt idx="1029">
                  <c:v>0.63689247149118933</c:v>
                </c:pt>
                <c:pt idx="1030">
                  <c:v>0.63689247149118933</c:v>
                </c:pt>
                <c:pt idx="1031">
                  <c:v>0.63689247149118933</c:v>
                </c:pt>
                <c:pt idx="1032">
                  <c:v>0.63689247149118933</c:v>
                </c:pt>
                <c:pt idx="1033">
                  <c:v>0.63689247149118933</c:v>
                </c:pt>
                <c:pt idx="1034">
                  <c:v>0.64407334064298205</c:v>
                </c:pt>
                <c:pt idx="1035">
                  <c:v>0.64407334064298205</c:v>
                </c:pt>
                <c:pt idx="1036">
                  <c:v>0.64407334064298205</c:v>
                </c:pt>
                <c:pt idx="1037">
                  <c:v>0.64407334064298205</c:v>
                </c:pt>
                <c:pt idx="1038">
                  <c:v>0.64407334064298205</c:v>
                </c:pt>
                <c:pt idx="1039">
                  <c:v>0.64407334064298205</c:v>
                </c:pt>
                <c:pt idx="1040">
                  <c:v>0.64407334064298205</c:v>
                </c:pt>
                <c:pt idx="1041">
                  <c:v>0.64577540595709937</c:v>
                </c:pt>
                <c:pt idx="1042">
                  <c:v>0.64577540595709937</c:v>
                </c:pt>
                <c:pt idx="1043">
                  <c:v>0.64577540595709937</c:v>
                </c:pt>
                <c:pt idx="1044">
                  <c:v>0.64577540595709937</c:v>
                </c:pt>
                <c:pt idx="1045">
                  <c:v>0.64577540595709937</c:v>
                </c:pt>
                <c:pt idx="1046">
                  <c:v>0.64577540595709937</c:v>
                </c:pt>
                <c:pt idx="1047">
                  <c:v>0.64577540595709937</c:v>
                </c:pt>
                <c:pt idx="1048">
                  <c:v>0.64203455902623141</c:v>
                </c:pt>
                <c:pt idx="1049">
                  <c:v>0.64203455902623141</c:v>
                </c:pt>
                <c:pt idx="1050">
                  <c:v>0.64203455902623141</c:v>
                </c:pt>
                <c:pt idx="1051">
                  <c:v>0.64203455902623141</c:v>
                </c:pt>
                <c:pt idx="1052">
                  <c:v>0.64203455902623141</c:v>
                </c:pt>
                <c:pt idx="1053">
                  <c:v>0.64203455902623141</c:v>
                </c:pt>
                <c:pt idx="1054">
                  <c:v>0.64203455902623141</c:v>
                </c:pt>
                <c:pt idx="1055">
                  <c:v>0.65288678116981502</c:v>
                </c:pt>
                <c:pt idx="1056">
                  <c:v>0.65288678116981502</c:v>
                </c:pt>
                <c:pt idx="1057">
                  <c:v>0.65288678116981502</c:v>
                </c:pt>
                <c:pt idx="1058">
                  <c:v>0.65288678116981502</c:v>
                </c:pt>
                <c:pt idx="1059">
                  <c:v>0.65288678116981502</c:v>
                </c:pt>
                <c:pt idx="1060">
                  <c:v>0.65288678116981502</c:v>
                </c:pt>
                <c:pt idx="1061">
                  <c:v>0.65288678116981502</c:v>
                </c:pt>
                <c:pt idx="1062">
                  <c:v>0.65288678116981502</c:v>
                </c:pt>
                <c:pt idx="1063">
                  <c:v>0.61197605775831643</c:v>
                </c:pt>
                <c:pt idx="1064">
                  <c:v>0.61197605775831643</c:v>
                </c:pt>
                <c:pt idx="1065">
                  <c:v>0.61197605775831643</c:v>
                </c:pt>
                <c:pt idx="1066">
                  <c:v>0.61197605775831643</c:v>
                </c:pt>
                <c:pt idx="1067">
                  <c:v>0.61197605775831643</c:v>
                </c:pt>
                <c:pt idx="1068">
                  <c:v>0.61197605775831643</c:v>
                </c:pt>
                <c:pt idx="1069">
                  <c:v>0.61776276354636528</c:v>
                </c:pt>
                <c:pt idx="1070">
                  <c:v>0.61776276354636528</c:v>
                </c:pt>
                <c:pt idx="1071">
                  <c:v>0.61776276354636528</c:v>
                </c:pt>
                <c:pt idx="1072">
                  <c:v>0.61776276354636528</c:v>
                </c:pt>
                <c:pt idx="1073">
                  <c:v>0.61776276354636528</c:v>
                </c:pt>
                <c:pt idx="1074">
                  <c:v>0.61776276354636528</c:v>
                </c:pt>
                <c:pt idx="1075">
                  <c:v>0.61776276354636528</c:v>
                </c:pt>
                <c:pt idx="1076">
                  <c:v>0.61776276354636528</c:v>
                </c:pt>
                <c:pt idx="1077">
                  <c:v>0.61776276354636528</c:v>
                </c:pt>
                <c:pt idx="1078">
                  <c:v>0.61776276354636528</c:v>
                </c:pt>
                <c:pt idx="1079">
                  <c:v>0.61776276354636528</c:v>
                </c:pt>
                <c:pt idx="1080">
                  <c:v>0.61776276354636528</c:v>
                </c:pt>
                <c:pt idx="1081">
                  <c:v>0.61776276354636528</c:v>
                </c:pt>
                <c:pt idx="1082">
                  <c:v>0.61776276354636528</c:v>
                </c:pt>
                <c:pt idx="1083">
                  <c:v>0.60388264112837176</c:v>
                </c:pt>
                <c:pt idx="1084">
                  <c:v>0.60388264112837176</c:v>
                </c:pt>
                <c:pt idx="1085">
                  <c:v>0.60388264112837176</c:v>
                </c:pt>
                <c:pt idx="1086">
                  <c:v>0.60388264112837176</c:v>
                </c:pt>
                <c:pt idx="1087">
                  <c:v>0.60388264112837176</c:v>
                </c:pt>
                <c:pt idx="1088">
                  <c:v>0.60388264112837176</c:v>
                </c:pt>
                <c:pt idx="1089">
                  <c:v>0.60388264112837176</c:v>
                </c:pt>
                <c:pt idx="1090">
                  <c:v>0.60388264112837176</c:v>
                </c:pt>
                <c:pt idx="1091">
                  <c:v>0.62983445650633119</c:v>
                </c:pt>
                <c:pt idx="1092">
                  <c:v>0.62983445650633119</c:v>
                </c:pt>
                <c:pt idx="1093">
                  <c:v>0.62983445650633119</c:v>
                </c:pt>
                <c:pt idx="1094">
                  <c:v>0.62983445650633119</c:v>
                </c:pt>
                <c:pt idx="1095">
                  <c:v>0.62983445650633119</c:v>
                </c:pt>
                <c:pt idx="1096">
                  <c:v>0.62983445650633119</c:v>
                </c:pt>
                <c:pt idx="1097">
                  <c:v>0.62225180561157833</c:v>
                </c:pt>
                <c:pt idx="1098">
                  <c:v>0.62225180561157833</c:v>
                </c:pt>
                <c:pt idx="1099">
                  <c:v>0.62225180561157833</c:v>
                </c:pt>
                <c:pt idx="1100">
                  <c:v>0.62225180561157833</c:v>
                </c:pt>
                <c:pt idx="1101">
                  <c:v>0.62225180561157833</c:v>
                </c:pt>
                <c:pt idx="1102">
                  <c:v>0.62225180561157833</c:v>
                </c:pt>
                <c:pt idx="1103">
                  <c:v>0.62225180561157833</c:v>
                </c:pt>
                <c:pt idx="1104">
                  <c:v>0.63362578195370756</c:v>
                </c:pt>
                <c:pt idx="1105">
                  <c:v>0.63362578195370756</c:v>
                </c:pt>
                <c:pt idx="1106">
                  <c:v>0.63362578195370756</c:v>
                </c:pt>
                <c:pt idx="1107">
                  <c:v>0.63362578195370756</c:v>
                </c:pt>
                <c:pt idx="1108">
                  <c:v>0.63362578195370756</c:v>
                </c:pt>
                <c:pt idx="1109">
                  <c:v>0.63362578195370756</c:v>
                </c:pt>
                <c:pt idx="1110">
                  <c:v>0.63362578195370756</c:v>
                </c:pt>
                <c:pt idx="1111">
                  <c:v>0.63362578195370756</c:v>
                </c:pt>
                <c:pt idx="1112">
                  <c:v>0.63362578195370756</c:v>
                </c:pt>
                <c:pt idx="1113">
                  <c:v>0.63362578195370756</c:v>
                </c:pt>
                <c:pt idx="1114">
                  <c:v>0.63362578195370756</c:v>
                </c:pt>
                <c:pt idx="1115">
                  <c:v>0.63362578195370756</c:v>
                </c:pt>
                <c:pt idx="1116">
                  <c:v>0.63362578195370756</c:v>
                </c:pt>
                <c:pt idx="1117">
                  <c:v>0.63362578195370756</c:v>
                </c:pt>
                <c:pt idx="1118">
                  <c:v>0.6347631795879205</c:v>
                </c:pt>
                <c:pt idx="1119">
                  <c:v>0.6347631795879205</c:v>
                </c:pt>
                <c:pt idx="1120">
                  <c:v>0.6347631795879205</c:v>
                </c:pt>
                <c:pt idx="1121">
                  <c:v>0.6347631795879205</c:v>
                </c:pt>
                <c:pt idx="1122">
                  <c:v>0.6347631795879205</c:v>
                </c:pt>
                <c:pt idx="1123">
                  <c:v>0.6347631795879205</c:v>
                </c:pt>
                <c:pt idx="1124">
                  <c:v>0.6347631795879205</c:v>
                </c:pt>
                <c:pt idx="1125">
                  <c:v>0.63291250471638516</c:v>
                </c:pt>
                <c:pt idx="1126">
                  <c:v>0.63291250471638516</c:v>
                </c:pt>
                <c:pt idx="1127">
                  <c:v>0.63291250471638516</c:v>
                </c:pt>
                <c:pt idx="1128">
                  <c:v>0.63291250471638516</c:v>
                </c:pt>
                <c:pt idx="1129">
                  <c:v>0.63291250471638516</c:v>
                </c:pt>
                <c:pt idx="1130">
                  <c:v>0.63291250471638516</c:v>
                </c:pt>
                <c:pt idx="1131">
                  <c:v>0.63291250471638516</c:v>
                </c:pt>
                <c:pt idx="1132">
                  <c:v>0.64891982234730206</c:v>
                </c:pt>
                <c:pt idx="1133">
                  <c:v>0.64891982234730206</c:v>
                </c:pt>
                <c:pt idx="1134">
                  <c:v>0.64891982234730206</c:v>
                </c:pt>
                <c:pt idx="1135">
                  <c:v>0.64891982234730206</c:v>
                </c:pt>
                <c:pt idx="1136">
                  <c:v>0.64891982234730206</c:v>
                </c:pt>
                <c:pt idx="1137">
                  <c:v>0.64891982234730206</c:v>
                </c:pt>
                <c:pt idx="1138">
                  <c:v>0.64891982234730206</c:v>
                </c:pt>
                <c:pt idx="1139">
                  <c:v>0.6591905373566983</c:v>
                </c:pt>
                <c:pt idx="1140">
                  <c:v>0.6591905373566983</c:v>
                </c:pt>
                <c:pt idx="1141">
                  <c:v>0.6591905373566983</c:v>
                </c:pt>
                <c:pt idx="1142">
                  <c:v>0.6591905373566983</c:v>
                </c:pt>
                <c:pt idx="1143">
                  <c:v>0.6591905373566983</c:v>
                </c:pt>
                <c:pt idx="1144">
                  <c:v>0.6591905373566983</c:v>
                </c:pt>
                <c:pt idx="1145">
                  <c:v>0.6591905373566983</c:v>
                </c:pt>
                <c:pt idx="1146">
                  <c:v>0.65961262370063201</c:v>
                </c:pt>
                <c:pt idx="1147">
                  <c:v>0.65961262370063201</c:v>
                </c:pt>
                <c:pt idx="1148">
                  <c:v>0.65961262370063201</c:v>
                </c:pt>
                <c:pt idx="1149">
                  <c:v>0.65961262370063201</c:v>
                </c:pt>
                <c:pt idx="1150">
                  <c:v>0.65961262370063201</c:v>
                </c:pt>
                <c:pt idx="1151">
                  <c:v>0.65961262370063201</c:v>
                </c:pt>
                <c:pt idx="1152">
                  <c:v>0.65961262370063201</c:v>
                </c:pt>
                <c:pt idx="1153">
                  <c:v>0.65766035299871117</c:v>
                </c:pt>
                <c:pt idx="1154">
                  <c:v>0.64950041827818905</c:v>
                </c:pt>
                <c:pt idx="1155">
                  <c:v>0.64950041827818905</c:v>
                </c:pt>
                <c:pt idx="1156">
                  <c:v>0.64950041827818905</c:v>
                </c:pt>
                <c:pt idx="1157">
                  <c:v>0.64950041827818905</c:v>
                </c:pt>
                <c:pt idx="1158">
                  <c:v>0.64950041827818905</c:v>
                </c:pt>
                <c:pt idx="1159">
                  <c:v>0.64950041827818905</c:v>
                </c:pt>
                <c:pt idx="1160">
                  <c:v>0.64950041827818905</c:v>
                </c:pt>
                <c:pt idx="1161">
                  <c:v>0.64950041827818905</c:v>
                </c:pt>
                <c:pt idx="1162">
                  <c:v>0.64950041827818905</c:v>
                </c:pt>
                <c:pt idx="1163">
                  <c:v>0.64950041827818905</c:v>
                </c:pt>
                <c:pt idx="1164">
                  <c:v>0.64950041827818905</c:v>
                </c:pt>
                <c:pt idx="1165">
                  <c:v>0.64950041827818905</c:v>
                </c:pt>
                <c:pt idx="1166">
                  <c:v>0.64950041827818905</c:v>
                </c:pt>
                <c:pt idx="1167">
                  <c:v>0.61502637999082077</c:v>
                </c:pt>
                <c:pt idx="1168">
                  <c:v>0.61502637999082077</c:v>
                </c:pt>
                <c:pt idx="1169">
                  <c:v>0.61502637999082077</c:v>
                </c:pt>
                <c:pt idx="1170">
                  <c:v>0.61502637999082077</c:v>
                </c:pt>
                <c:pt idx="1171">
                  <c:v>0.61502637999082077</c:v>
                </c:pt>
                <c:pt idx="1172">
                  <c:v>0.61502637999082077</c:v>
                </c:pt>
                <c:pt idx="1173">
                  <c:v>0.61502637999082077</c:v>
                </c:pt>
                <c:pt idx="1174">
                  <c:v>0.61392988296346951</c:v>
                </c:pt>
                <c:pt idx="1175">
                  <c:v>0.61392988296346951</c:v>
                </c:pt>
                <c:pt idx="1176">
                  <c:v>0.61392988296346951</c:v>
                </c:pt>
                <c:pt idx="1177">
                  <c:v>0.61392988296346951</c:v>
                </c:pt>
                <c:pt idx="1178">
                  <c:v>0.61392988296346951</c:v>
                </c:pt>
                <c:pt idx="1179">
                  <c:v>0.61392988296346951</c:v>
                </c:pt>
                <c:pt idx="1180">
                  <c:v>0.61392988296346951</c:v>
                </c:pt>
                <c:pt idx="1181">
                  <c:v>0.61484096102722152</c:v>
                </c:pt>
                <c:pt idx="1182">
                  <c:v>0.61484096102722152</c:v>
                </c:pt>
                <c:pt idx="1183">
                  <c:v>0.61484096102722152</c:v>
                </c:pt>
                <c:pt idx="1184">
                  <c:v>0.61484096102722152</c:v>
                </c:pt>
                <c:pt idx="1185">
                  <c:v>0.61484096102722152</c:v>
                </c:pt>
                <c:pt idx="1186">
                  <c:v>0.62104177418637496</c:v>
                </c:pt>
                <c:pt idx="1187">
                  <c:v>0.62104177418637496</c:v>
                </c:pt>
                <c:pt idx="1188">
                  <c:v>0.62104177418637496</c:v>
                </c:pt>
                <c:pt idx="1189">
                  <c:v>0.62104177418637496</c:v>
                </c:pt>
                <c:pt idx="1190">
                  <c:v>0.62104177418637496</c:v>
                </c:pt>
                <c:pt idx="1191">
                  <c:v>0.62104177418637496</c:v>
                </c:pt>
                <c:pt idx="1192">
                  <c:v>0.62104177418637496</c:v>
                </c:pt>
                <c:pt idx="1193">
                  <c:v>0.62104177418637496</c:v>
                </c:pt>
                <c:pt idx="1194">
                  <c:v>0.62104177418637496</c:v>
                </c:pt>
                <c:pt idx="1195">
                  <c:v>0.6160484839201702</c:v>
                </c:pt>
                <c:pt idx="1196">
                  <c:v>0.6160484839201702</c:v>
                </c:pt>
                <c:pt idx="1197">
                  <c:v>0.6160484839201702</c:v>
                </c:pt>
                <c:pt idx="1198">
                  <c:v>0.6160484839201702</c:v>
                </c:pt>
                <c:pt idx="1199">
                  <c:v>0.6160484839201702</c:v>
                </c:pt>
                <c:pt idx="1200">
                  <c:v>0.6160484839201702</c:v>
                </c:pt>
                <c:pt idx="1201">
                  <c:v>0.6160484839201702</c:v>
                </c:pt>
                <c:pt idx="1202">
                  <c:v>0.60728491143778773</c:v>
                </c:pt>
                <c:pt idx="1203">
                  <c:v>0.60416410502140971</c:v>
                </c:pt>
                <c:pt idx="1204">
                  <c:v>0.60416410502140971</c:v>
                </c:pt>
                <c:pt idx="1205">
                  <c:v>0.60416410502140971</c:v>
                </c:pt>
                <c:pt idx="1206">
                  <c:v>0.60416410502140971</c:v>
                </c:pt>
                <c:pt idx="1207">
                  <c:v>0.60416410502140971</c:v>
                </c:pt>
                <c:pt idx="1208">
                  <c:v>0.60416410502140971</c:v>
                </c:pt>
                <c:pt idx="1209">
                  <c:v>0.57009584466770125</c:v>
                </c:pt>
                <c:pt idx="1210">
                  <c:v>0.57009584466770125</c:v>
                </c:pt>
                <c:pt idx="1211">
                  <c:v>0.57009584466770125</c:v>
                </c:pt>
                <c:pt idx="1212">
                  <c:v>0.57009584466770125</c:v>
                </c:pt>
                <c:pt idx="1213">
                  <c:v>0.57009584466770125</c:v>
                </c:pt>
                <c:pt idx="1214">
                  <c:v>0.57009584466770125</c:v>
                </c:pt>
                <c:pt idx="1215">
                  <c:v>0.57009584466770125</c:v>
                </c:pt>
                <c:pt idx="1216">
                  <c:v>0.58066020300654031</c:v>
                </c:pt>
                <c:pt idx="1217">
                  <c:v>0.58066020300654031</c:v>
                </c:pt>
                <c:pt idx="1218">
                  <c:v>0.58066020300654031</c:v>
                </c:pt>
                <c:pt idx="1219">
                  <c:v>0.58066020300654031</c:v>
                </c:pt>
                <c:pt idx="1220">
                  <c:v>0.58066020300654031</c:v>
                </c:pt>
                <c:pt idx="1221">
                  <c:v>0.58066020300654031</c:v>
                </c:pt>
                <c:pt idx="1222">
                  <c:v>0.58066020300654031</c:v>
                </c:pt>
                <c:pt idx="1223">
                  <c:v>0.58658973519765845</c:v>
                </c:pt>
                <c:pt idx="1224">
                  <c:v>0.58658973519765845</c:v>
                </c:pt>
                <c:pt idx="1225">
                  <c:v>0.58658973519765845</c:v>
                </c:pt>
                <c:pt idx="1226">
                  <c:v>0.58658973519765845</c:v>
                </c:pt>
                <c:pt idx="1227">
                  <c:v>0.58658973519765845</c:v>
                </c:pt>
                <c:pt idx="1228">
                  <c:v>0.58658973519765845</c:v>
                </c:pt>
                <c:pt idx="1229">
                  <c:v>0.58658973519765845</c:v>
                </c:pt>
                <c:pt idx="1230">
                  <c:v>0.58470819655556416</c:v>
                </c:pt>
                <c:pt idx="1231">
                  <c:v>0.58470819655556416</c:v>
                </c:pt>
                <c:pt idx="1232">
                  <c:v>0.58470819655556416</c:v>
                </c:pt>
                <c:pt idx="1233">
                  <c:v>0.58470819655556416</c:v>
                </c:pt>
                <c:pt idx="1234">
                  <c:v>0.58470819655556416</c:v>
                </c:pt>
                <c:pt idx="1235">
                  <c:v>0.58470819655556416</c:v>
                </c:pt>
                <c:pt idx="1236">
                  <c:v>0.58470819655556416</c:v>
                </c:pt>
                <c:pt idx="1237">
                  <c:v>0.58777897246651689</c:v>
                </c:pt>
                <c:pt idx="1238">
                  <c:v>0.58777897246651689</c:v>
                </c:pt>
                <c:pt idx="1239">
                  <c:v>0.58777897246651689</c:v>
                </c:pt>
                <c:pt idx="1240">
                  <c:v>0.58777897246651689</c:v>
                </c:pt>
                <c:pt idx="1241">
                  <c:v>0.58777897246651689</c:v>
                </c:pt>
                <c:pt idx="1242">
                  <c:v>0.58777897246651689</c:v>
                </c:pt>
                <c:pt idx="1243">
                  <c:v>0.58777897246651689</c:v>
                </c:pt>
                <c:pt idx="1244">
                  <c:v>0.6048972903976757</c:v>
                </c:pt>
                <c:pt idx="1245">
                  <c:v>0.6048972903976757</c:v>
                </c:pt>
                <c:pt idx="1246">
                  <c:v>0.6048972903976757</c:v>
                </c:pt>
                <c:pt idx="1247">
                  <c:v>0.6048972903976757</c:v>
                </c:pt>
                <c:pt idx="1248">
                  <c:v>0.6048972903976757</c:v>
                </c:pt>
                <c:pt idx="1249">
                  <c:v>0.6048972903976757</c:v>
                </c:pt>
                <c:pt idx="1250">
                  <c:v>0.6048972903976757</c:v>
                </c:pt>
                <c:pt idx="1251">
                  <c:v>0.60695592471437454</c:v>
                </c:pt>
                <c:pt idx="1252">
                  <c:v>0.60695592471437454</c:v>
                </c:pt>
                <c:pt idx="1253">
                  <c:v>0.60695592471437454</c:v>
                </c:pt>
                <c:pt idx="1254">
                  <c:v>0.60695592471437454</c:v>
                </c:pt>
                <c:pt idx="1255">
                  <c:v>0.60695592471437454</c:v>
                </c:pt>
                <c:pt idx="1256">
                  <c:v>0.60695592471437454</c:v>
                </c:pt>
                <c:pt idx="1257">
                  <c:v>0.60695592471437454</c:v>
                </c:pt>
                <c:pt idx="1258">
                  <c:v>0.60879399106856991</c:v>
                </c:pt>
                <c:pt idx="1259">
                  <c:v>0.60879399106856991</c:v>
                </c:pt>
                <c:pt idx="1260">
                  <c:v>0.60879399106856991</c:v>
                </c:pt>
                <c:pt idx="1261">
                  <c:v>0.60879399106856991</c:v>
                </c:pt>
                <c:pt idx="1262">
                  <c:v>0.60879399106856991</c:v>
                </c:pt>
                <c:pt idx="1263">
                  <c:v>0.60879399106856991</c:v>
                </c:pt>
                <c:pt idx="1264">
                  <c:v>0.60879399106856991</c:v>
                </c:pt>
                <c:pt idx="1265">
                  <c:v>0.61669151565989211</c:v>
                </c:pt>
                <c:pt idx="1266">
                  <c:v>0.61669151565989211</c:v>
                </c:pt>
                <c:pt idx="1267">
                  <c:v>0.61669151565989211</c:v>
                </c:pt>
                <c:pt idx="1268">
                  <c:v>0.61669151565989211</c:v>
                </c:pt>
                <c:pt idx="1269">
                  <c:v>0.61669151565989211</c:v>
                </c:pt>
                <c:pt idx="1270">
                  <c:v>0.61669151565989211</c:v>
                </c:pt>
                <c:pt idx="1271">
                  <c:v>0.61669151565989211</c:v>
                </c:pt>
                <c:pt idx="1272">
                  <c:v>0.60360873172185059</c:v>
                </c:pt>
                <c:pt idx="1273">
                  <c:v>0.60360873172185059</c:v>
                </c:pt>
                <c:pt idx="1274">
                  <c:v>0.60360873172185059</c:v>
                </c:pt>
                <c:pt idx="1275">
                  <c:v>0.60360873172185059</c:v>
                </c:pt>
                <c:pt idx="1276">
                  <c:v>0.60360873172185059</c:v>
                </c:pt>
                <c:pt idx="1277">
                  <c:v>0.60360873172185059</c:v>
                </c:pt>
                <c:pt idx="1278">
                  <c:v>0.60360873172185059</c:v>
                </c:pt>
                <c:pt idx="1279">
                  <c:v>0.60360873172185059</c:v>
                </c:pt>
                <c:pt idx="1280">
                  <c:v>0.60360873172185059</c:v>
                </c:pt>
                <c:pt idx="1281">
                  <c:v>0.60360873172185059</c:v>
                </c:pt>
                <c:pt idx="1282">
                  <c:v>0.60360873172185059</c:v>
                </c:pt>
                <c:pt idx="1283">
                  <c:v>0.60360873172185059</c:v>
                </c:pt>
                <c:pt idx="1284">
                  <c:v>0.60360873172185059</c:v>
                </c:pt>
                <c:pt idx="1285">
                  <c:v>0.60360873172185059</c:v>
                </c:pt>
                <c:pt idx="1286">
                  <c:v>0.60667217564550957</c:v>
                </c:pt>
                <c:pt idx="1287">
                  <c:v>0.60667217564550957</c:v>
                </c:pt>
                <c:pt idx="1288">
                  <c:v>0.60667217564550957</c:v>
                </c:pt>
                <c:pt idx="1289">
                  <c:v>0.60667217564550957</c:v>
                </c:pt>
                <c:pt idx="1290">
                  <c:v>0.60667217564550957</c:v>
                </c:pt>
                <c:pt idx="1291">
                  <c:v>0.60667217564550957</c:v>
                </c:pt>
                <c:pt idx="1292">
                  <c:v>0.60667217564550957</c:v>
                </c:pt>
                <c:pt idx="1293">
                  <c:v>0.60361179516577423</c:v>
                </c:pt>
                <c:pt idx="1294">
                  <c:v>0.60361179516577423</c:v>
                </c:pt>
                <c:pt idx="1295">
                  <c:v>0.60361179516577423</c:v>
                </c:pt>
                <c:pt idx="1296">
                  <c:v>0.60361179516577423</c:v>
                </c:pt>
                <c:pt idx="1297">
                  <c:v>0.60361179516577423</c:v>
                </c:pt>
                <c:pt idx="1298">
                  <c:v>0.60361179516577423</c:v>
                </c:pt>
                <c:pt idx="1299">
                  <c:v>0.60361179516577423</c:v>
                </c:pt>
                <c:pt idx="1300">
                  <c:v>0.60227776322742355</c:v>
                </c:pt>
                <c:pt idx="1301">
                  <c:v>0.60227776322742355</c:v>
                </c:pt>
                <c:pt idx="1302">
                  <c:v>0.60227776322742355</c:v>
                </c:pt>
                <c:pt idx="1303">
                  <c:v>0.60227776322742355</c:v>
                </c:pt>
                <c:pt idx="1304">
                  <c:v>0.60227776322742355</c:v>
                </c:pt>
                <c:pt idx="1305">
                  <c:v>0.60227776322742355</c:v>
                </c:pt>
                <c:pt idx="1306">
                  <c:v>0.60227776322742355</c:v>
                </c:pt>
                <c:pt idx="1307">
                  <c:v>0.59733078861158695</c:v>
                </c:pt>
                <c:pt idx="1308">
                  <c:v>0.59733078861158695</c:v>
                </c:pt>
                <c:pt idx="1309">
                  <c:v>0.59733078861158695</c:v>
                </c:pt>
                <c:pt idx="1310">
                  <c:v>0.59733078861158695</c:v>
                </c:pt>
                <c:pt idx="1311">
                  <c:v>0.59733078861158695</c:v>
                </c:pt>
                <c:pt idx="1312">
                  <c:v>0.59733078861158695</c:v>
                </c:pt>
                <c:pt idx="1313">
                  <c:v>0.59733078861158695</c:v>
                </c:pt>
                <c:pt idx="1314">
                  <c:v>0.59733078861158695</c:v>
                </c:pt>
                <c:pt idx="1315">
                  <c:v>0.59733078861158695</c:v>
                </c:pt>
                <c:pt idx="1316">
                  <c:v>0.59733078861158695</c:v>
                </c:pt>
                <c:pt idx="1317">
                  <c:v>0.59733078861158695</c:v>
                </c:pt>
                <c:pt idx="1318">
                  <c:v>0.59733078861158695</c:v>
                </c:pt>
                <c:pt idx="1319">
                  <c:v>0.59733078861158695</c:v>
                </c:pt>
                <c:pt idx="1320">
                  <c:v>0.59733078861158695</c:v>
                </c:pt>
                <c:pt idx="1321">
                  <c:v>0.59037410555806691</c:v>
                </c:pt>
                <c:pt idx="1322">
                  <c:v>0.59037410555806691</c:v>
                </c:pt>
                <c:pt idx="1323">
                  <c:v>0.59037410555806691</c:v>
                </c:pt>
                <c:pt idx="1324">
                  <c:v>0.59037410555806691</c:v>
                </c:pt>
                <c:pt idx="1325">
                  <c:v>0.59037410555806691</c:v>
                </c:pt>
                <c:pt idx="1326">
                  <c:v>0.59037410555806691</c:v>
                </c:pt>
                <c:pt idx="1327">
                  <c:v>0.59037410555806691</c:v>
                </c:pt>
                <c:pt idx="1328">
                  <c:v>0.58873542021657099</c:v>
                </c:pt>
                <c:pt idx="1329">
                  <c:v>0.58873542021657099</c:v>
                </c:pt>
                <c:pt idx="1330">
                  <c:v>0.58873542021657099</c:v>
                </c:pt>
                <c:pt idx="1331">
                  <c:v>0.58873542021657099</c:v>
                </c:pt>
                <c:pt idx="1332">
                  <c:v>0.58873542021657099</c:v>
                </c:pt>
                <c:pt idx="1333">
                  <c:v>0.58873542021657099</c:v>
                </c:pt>
                <c:pt idx="1334">
                  <c:v>0.62973368355185</c:v>
                </c:pt>
                <c:pt idx="1335">
                  <c:v>0.63404055167445683</c:v>
                </c:pt>
                <c:pt idx="1336">
                  <c:v>0.63404055167445683</c:v>
                </c:pt>
                <c:pt idx="1337">
                  <c:v>0.63404055167445683</c:v>
                </c:pt>
                <c:pt idx="1338">
                  <c:v>0.63404055167445683</c:v>
                </c:pt>
                <c:pt idx="1339">
                  <c:v>0.63404055167445683</c:v>
                </c:pt>
                <c:pt idx="1340">
                  <c:v>0.63404055167445683</c:v>
                </c:pt>
                <c:pt idx="1341">
                  <c:v>0.63404055167445683</c:v>
                </c:pt>
                <c:pt idx="1342">
                  <c:v>0.63352895653920582</c:v>
                </c:pt>
                <c:pt idx="1343">
                  <c:v>0.63352895653920582</c:v>
                </c:pt>
                <c:pt idx="1344">
                  <c:v>0.63352895653920582</c:v>
                </c:pt>
                <c:pt idx="1345">
                  <c:v>0.63352895653920582</c:v>
                </c:pt>
                <c:pt idx="1346">
                  <c:v>0.63352895653920582</c:v>
                </c:pt>
                <c:pt idx="1347">
                  <c:v>0.63352895653920582</c:v>
                </c:pt>
                <c:pt idx="1348">
                  <c:v>0.63352895653920582</c:v>
                </c:pt>
                <c:pt idx="1349">
                  <c:v>0.63153771798882752</c:v>
                </c:pt>
                <c:pt idx="1350">
                  <c:v>0.63153771798882752</c:v>
                </c:pt>
                <c:pt idx="1351">
                  <c:v>0.63153771798882752</c:v>
                </c:pt>
                <c:pt idx="1352">
                  <c:v>0.63153771798882752</c:v>
                </c:pt>
                <c:pt idx="1353">
                  <c:v>0.63153771798882752</c:v>
                </c:pt>
                <c:pt idx="1354">
                  <c:v>0.63153771798882752</c:v>
                </c:pt>
                <c:pt idx="1355">
                  <c:v>0.63153771798882752</c:v>
                </c:pt>
                <c:pt idx="1356">
                  <c:v>0.6250784381003428</c:v>
                </c:pt>
                <c:pt idx="1357">
                  <c:v>0.6250784381003428</c:v>
                </c:pt>
                <c:pt idx="1358">
                  <c:v>0.6250784381003428</c:v>
                </c:pt>
                <c:pt idx="1359">
                  <c:v>0.6250784381003428</c:v>
                </c:pt>
                <c:pt idx="1360">
                  <c:v>0.6250784381003428</c:v>
                </c:pt>
                <c:pt idx="1361">
                  <c:v>0.6250784381003428</c:v>
                </c:pt>
                <c:pt idx="1362">
                  <c:v>0.6250784381003428</c:v>
                </c:pt>
                <c:pt idx="1363">
                  <c:v>0.61480419891663074</c:v>
                </c:pt>
                <c:pt idx="1364">
                  <c:v>0.61480419891663074</c:v>
                </c:pt>
                <c:pt idx="1365">
                  <c:v>0.61480419891663074</c:v>
                </c:pt>
                <c:pt idx="1366">
                  <c:v>0.61480419891663074</c:v>
                </c:pt>
                <c:pt idx="1367">
                  <c:v>0.61480419891663074</c:v>
                </c:pt>
                <c:pt idx="1368">
                  <c:v>0.61480419891663074</c:v>
                </c:pt>
                <c:pt idx="1369">
                  <c:v>0.61480419891663074</c:v>
                </c:pt>
                <c:pt idx="1370">
                  <c:v>0.62876707587636604</c:v>
                </c:pt>
                <c:pt idx="1371">
                  <c:v>0.62876707587636604</c:v>
                </c:pt>
                <c:pt idx="1372">
                  <c:v>0.62876707587636604</c:v>
                </c:pt>
                <c:pt idx="1373">
                  <c:v>0.62876707587636604</c:v>
                </c:pt>
                <c:pt idx="1374">
                  <c:v>0.62876707587636604</c:v>
                </c:pt>
                <c:pt idx="1375">
                  <c:v>0.62876707587636604</c:v>
                </c:pt>
                <c:pt idx="1376">
                  <c:v>0.62876707587636604</c:v>
                </c:pt>
                <c:pt idx="1377">
                  <c:v>0.62799403333858395</c:v>
                </c:pt>
                <c:pt idx="1378">
                  <c:v>0.62799403333858395</c:v>
                </c:pt>
                <c:pt idx="1379">
                  <c:v>0.62799403333858395</c:v>
                </c:pt>
                <c:pt idx="1380">
                  <c:v>0.62799403333858395</c:v>
                </c:pt>
                <c:pt idx="1381">
                  <c:v>0.62799403333858395</c:v>
                </c:pt>
                <c:pt idx="1382">
                  <c:v>0.62799403333858395</c:v>
                </c:pt>
                <c:pt idx="1383">
                  <c:v>0.62799403333858395</c:v>
                </c:pt>
                <c:pt idx="1384">
                  <c:v>0.6338326503161873</c:v>
                </c:pt>
                <c:pt idx="1385">
                  <c:v>0.6338326503161873</c:v>
                </c:pt>
                <c:pt idx="1386">
                  <c:v>0.6338326503161873</c:v>
                </c:pt>
                <c:pt idx="1387">
                  <c:v>0.6338326503161873</c:v>
                </c:pt>
                <c:pt idx="1388">
                  <c:v>0.6338326503161873</c:v>
                </c:pt>
                <c:pt idx="1389">
                  <c:v>0.6338326503161873</c:v>
                </c:pt>
                <c:pt idx="1390">
                  <c:v>0.6338326503161873</c:v>
                </c:pt>
                <c:pt idx="1391">
                  <c:v>0.63590353477543105</c:v>
                </c:pt>
                <c:pt idx="1392">
                  <c:v>0.63590353477543105</c:v>
                </c:pt>
                <c:pt idx="1393">
                  <c:v>0.63590353477543105</c:v>
                </c:pt>
                <c:pt idx="1394">
                  <c:v>0.63590353477543105</c:v>
                </c:pt>
                <c:pt idx="1395">
                  <c:v>0.63903627497530791</c:v>
                </c:pt>
                <c:pt idx="1396">
                  <c:v>0.63903627497530791</c:v>
                </c:pt>
                <c:pt idx="1397">
                  <c:v>0.63903627497530791</c:v>
                </c:pt>
                <c:pt idx="1398">
                  <c:v>0.63689146088778248</c:v>
                </c:pt>
                <c:pt idx="1399">
                  <c:v>0.63689146088778248</c:v>
                </c:pt>
                <c:pt idx="1400">
                  <c:v>0.63689146088778248</c:v>
                </c:pt>
                <c:pt idx="1401">
                  <c:v>0.64704320189607667</c:v>
                </c:pt>
                <c:pt idx="1402">
                  <c:v>0.64704320189607667</c:v>
                </c:pt>
                <c:pt idx="1403">
                  <c:v>0.63969847843164207</c:v>
                </c:pt>
                <c:pt idx="1404">
                  <c:v>0.63969847843164207</c:v>
                </c:pt>
                <c:pt idx="1405">
                  <c:v>0.64762058814044765</c:v>
                </c:pt>
                <c:pt idx="1406">
                  <c:v>0.64762058814044765</c:v>
                </c:pt>
                <c:pt idx="1407">
                  <c:v>0.64762058814044765</c:v>
                </c:pt>
                <c:pt idx="1408">
                  <c:v>0.64762058814044765</c:v>
                </c:pt>
                <c:pt idx="1409">
                  <c:v>0.64762058814044765</c:v>
                </c:pt>
                <c:pt idx="1410">
                  <c:v>0.64762058814044765</c:v>
                </c:pt>
                <c:pt idx="1411">
                  <c:v>0.64762058814044765</c:v>
                </c:pt>
                <c:pt idx="1412">
                  <c:v>0.6462091214552883</c:v>
                </c:pt>
                <c:pt idx="1413">
                  <c:v>0.6462091214552883</c:v>
                </c:pt>
                <c:pt idx="1414">
                  <c:v>0.6462091214552883</c:v>
                </c:pt>
                <c:pt idx="1415">
                  <c:v>0.6462091214552883</c:v>
                </c:pt>
                <c:pt idx="1416">
                  <c:v>0.6462091214552883</c:v>
                </c:pt>
                <c:pt idx="1417">
                  <c:v>0.6462091214552883</c:v>
                </c:pt>
                <c:pt idx="1418">
                  <c:v>0.6462091214552883</c:v>
                </c:pt>
                <c:pt idx="1419">
                  <c:v>0.64844074009358155</c:v>
                </c:pt>
                <c:pt idx="1420">
                  <c:v>0.64844074009358155</c:v>
                </c:pt>
                <c:pt idx="1421">
                  <c:v>0.64844074009358155</c:v>
                </c:pt>
                <c:pt idx="1422">
                  <c:v>0.64844074009358155</c:v>
                </c:pt>
                <c:pt idx="1423">
                  <c:v>0.64844074009358155</c:v>
                </c:pt>
                <c:pt idx="1424">
                  <c:v>0.64844074009358155</c:v>
                </c:pt>
                <c:pt idx="1425">
                  <c:v>0.64844074009358155</c:v>
                </c:pt>
                <c:pt idx="1426">
                  <c:v>0.65903015564000278</c:v>
                </c:pt>
                <c:pt idx="1427">
                  <c:v>0.65903015564000278</c:v>
                </c:pt>
                <c:pt idx="1428">
                  <c:v>0.65903015564000278</c:v>
                </c:pt>
                <c:pt idx="1429">
                  <c:v>0.65903015564000278</c:v>
                </c:pt>
                <c:pt idx="1430">
                  <c:v>0.65903015564000278</c:v>
                </c:pt>
                <c:pt idx="1431">
                  <c:v>0.65903015564000278</c:v>
                </c:pt>
                <c:pt idx="1432">
                  <c:v>0.65903015564000278</c:v>
                </c:pt>
                <c:pt idx="1433">
                  <c:v>0.65848685461471346</c:v>
                </c:pt>
                <c:pt idx="1434">
                  <c:v>0.65848685461471346</c:v>
                </c:pt>
                <c:pt idx="1435">
                  <c:v>0.65848685461471346</c:v>
                </c:pt>
                <c:pt idx="1436">
                  <c:v>0.65848685461471346</c:v>
                </c:pt>
                <c:pt idx="1437">
                  <c:v>0.65848685461471346</c:v>
                </c:pt>
                <c:pt idx="1438">
                  <c:v>0.65848685461471346</c:v>
                </c:pt>
                <c:pt idx="1439">
                  <c:v>0.65848685461471346</c:v>
                </c:pt>
                <c:pt idx="1440">
                  <c:v>0.67090120637778716</c:v>
                </c:pt>
                <c:pt idx="1441">
                  <c:v>0.67090120637778716</c:v>
                </c:pt>
                <c:pt idx="1442">
                  <c:v>0.67090120637778716</c:v>
                </c:pt>
                <c:pt idx="1443">
                  <c:v>0.67090120637778716</c:v>
                </c:pt>
                <c:pt idx="1444">
                  <c:v>0.67090120637778716</c:v>
                </c:pt>
                <c:pt idx="1445">
                  <c:v>0.67090120637778716</c:v>
                </c:pt>
                <c:pt idx="1446">
                  <c:v>0.67090120637778716</c:v>
                </c:pt>
                <c:pt idx="1447">
                  <c:v>0.66646612431879049</c:v>
                </c:pt>
                <c:pt idx="1448">
                  <c:v>0.66646612431879049</c:v>
                </c:pt>
                <c:pt idx="1449">
                  <c:v>0.66646612431879049</c:v>
                </c:pt>
                <c:pt idx="1450">
                  <c:v>0.66646612431879049</c:v>
                </c:pt>
                <c:pt idx="1451">
                  <c:v>0.66646612431879049</c:v>
                </c:pt>
                <c:pt idx="1452">
                  <c:v>0.66646612431879049</c:v>
                </c:pt>
                <c:pt idx="1453">
                  <c:v>0.66646612431879049</c:v>
                </c:pt>
                <c:pt idx="1454">
                  <c:v>0.67432508023411419</c:v>
                </c:pt>
                <c:pt idx="1455">
                  <c:v>0.66442519974841252</c:v>
                </c:pt>
                <c:pt idx="1456">
                  <c:v>0.66442519974841252</c:v>
                </c:pt>
                <c:pt idx="1457">
                  <c:v>0.66442519974841252</c:v>
                </c:pt>
                <c:pt idx="1458">
                  <c:v>0.66442519974841252</c:v>
                </c:pt>
                <c:pt idx="1459">
                  <c:v>0.66442519974841252</c:v>
                </c:pt>
                <c:pt idx="1460">
                  <c:v>0.67266089319779165</c:v>
                </c:pt>
                <c:pt idx="1461">
                  <c:v>0.67266089319779165</c:v>
                </c:pt>
                <c:pt idx="1462">
                  <c:v>0.67266089319779165</c:v>
                </c:pt>
                <c:pt idx="1463">
                  <c:v>0.67266089319779165</c:v>
                </c:pt>
                <c:pt idx="1464">
                  <c:v>0.67266089319779165</c:v>
                </c:pt>
                <c:pt idx="1465">
                  <c:v>0.67266089319779165</c:v>
                </c:pt>
                <c:pt idx="1466">
                  <c:v>0.67266089319779165</c:v>
                </c:pt>
                <c:pt idx="1467">
                  <c:v>0.67266089319779165</c:v>
                </c:pt>
                <c:pt idx="1468">
                  <c:v>0.67411093933343125</c:v>
                </c:pt>
                <c:pt idx="1469">
                  <c:v>0.67411093933343125</c:v>
                </c:pt>
                <c:pt idx="1470">
                  <c:v>0.67411093933343125</c:v>
                </c:pt>
                <c:pt idx="1471">
                  <c:v>0.67411093933343125</c:v>
                </c:pt>
                <c:pt idx="1472">
                  <c:v>0.67411093933343125</c:v>
                </c:pt>
                <c:pt idx="1473">
                  <c:v>0.67411093933343125</c:v>
                </c:pt>
                <c:pt idx="1474">
                  <c:v>0.67411093933343125</c:v>
                </c:pt>
                <c:pt idx="1475">
                  <c:v>0.67466858717251466</c:v>
                </c:pt>
                <c:pt idx="1476">
                  <c:v>0.67466858717251466</c:v>
                </c:pt>
                <c:pt idx="1477">
                  <c:v>0.67466858717251466</c:v>
                </c:pt>
                <c:pt idx="1478">
                  <c:v>0.67466858717251466</c:v>
                </c:pt>
                <c:pt idx="1479">
                  <c:v>0.67466858717251466</c:v>
                </c:pt>
                <c:pt idx="1480">
                  <c:v>0.67466858717251466</c:v>
                </c:pt>
                <c:pt idx="1481">
                  <c:v>0.67466858717251466</c:v>
                </c:pt>
                <c:pt idx="1482">
                  <c:v>0.67610237900054992</c:v>
                </c:pt>
                <c:pt idx="1483">
                  <c:v>0.67610237900054992</c:v>
                </c:pt>
                <c:pt idx="1484">
                  <c:v>0.67610237900054992</c:v>
                </c:pt>
                <c:pt idx="1485">
                  <c:v>0.67610237900054992</c:v>
                </c:pt>
                <c:pt idx="1486">
                  <c:v>0.67610237900054992</c:v>
                </c:pt>
                <c:pt idx="1487">
                  <c:v>0.67610237900054992</c:v>
                </c:pt>
                <c:pt idx="1488">
                  <c:v>0.67610237900054992</c:v>
                </c:pt>
                <c:pt idx="1489">
                  <c:v>0.7300730690719216</c:v>
                </c:pt>
                <c:pt idx="1490">
                  <c:v>0.7300730690719216</c:v>
                </c:pt>
                <c:pt idx="1491">
                  <c:v>0.7300730690719216</c:v>
                </c:pt>
                <c:pt idx="1492">
                  <c:v>0.7300730690719216</c:v>
                </c:pt>
                <c:pt idx="1493">
                  <c:v>0.7300730690719216</c:v>
                </c:pt>
                <c:pt idx="1494">
                  <c:v>0.7300730690719216</c:v>
                </c:pt>
                <c:pt idx="1495">
                  <c:v>0.7300730690719216</c:v>
                </c:pt>
                <c:pt idx="1496">
                  <c:v>0.70599510428485901</c:v>
                </c:pt>
                <c:pt idx="1497">
                  <c:v>0.70599510428485901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3-40C7-ADCF-78447F5AA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82321711"/>
        <c:axId val="582327951"/>
      </c:lineChart>
      <c:dateAx>
        <c:axId val="582321711"/>
        <c:scaling>
          <c:orientation val="minMax"/>
        </c:scaling>
        <c:delete val="0"/>
        <c:axPos val="b"/>
        <c:numFmt formatCode="[$-40C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2327951"/>
        <c:crosses val="autoZero"/>
        <c:auto val="0"/>
        <c:lblOffset val="100"/>
        <c:baseTimeUnit val="days"/>
      </c:dateAx>
      <c:valAx>
        <c:axId val="58232795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23217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emf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507204</xdr:colOff>
      <xdr:row>20</xdr:row>
      <xdr:rowOff>109536</xdr:rowOff>
    </xdr:from>
    <xdr:to>
      <xdr:col>22</xdr:col>
      <xdr:colOff>628649</xdr:colOff>
      <xdr:row>44</xdr:row>
      <xdr:rowOff>95249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88E429B-EEF5-F706-1223-64E50A743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464342</xdr:colOff>
      <xdr:row>45</xdr:row>
      <xdr:rowOff>66673</xdr:rowOff>
    </xdr:from>
    <xdr:to>
      <xdr:col>22</xdr:col>
      <xdr:colOff>590549</xdr:colOff>
      <xdr:row>64</xdr:row>
      <xdr:rowOff>176212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49443EC-2FF1-C6D3-7EDB-218E97249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628651</xdr:colOff>
      <xdr:row>12</xdr:row>
      <xdr:rowOff>85726</xdr:rowOff>
    </xdr:from>
    <xdr:to>
      <xdr:col>19</xdr:col>
      <xdr:colOff>61913</xdr:colOff>
      <xdr:row>38</xdr:row>
      <xdr:rowOff>61914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C12450-095D-30CE-B04E-596124979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81075</xdr:colOff>
      <xdr:row>145</xdr:row>
      <xdr:rowOff>79829</xdr:rowOff>
    </xdr:from>
    <xdr:to>
      <xdr:col>29</xdr:col>
      <xdr:colOff>174238</xdr:colOff>
      <xdr:row>183</xdr:row>
      <xdr:rowOff>11616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8A73683-182E-9CBC-A1C4-304D9C114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85045</xdr:colOff>
      <xdr:row>220</xdr:row>
      <xdr:rowOff>130854</xdr:rowOff>
    </xdr:from>
    <xdr:to>
      <xdr:col>29</xdr:col>
      <xdr:colOff>141741</xdr:colOff>
      <xdr:row>242</xdr:row>
      <xdr:rowOff>113392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C70F8830-CADD-C24B-5E76-F6F288810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532947</xdr:colOff>
      <xdr:row>168</xdr:row>
      <xdr:rowOff>107724</xdr:rowOff>
    </xdr:from>
    <xdr:to>
      <xdr:col>24</xdr:col>
      <xdr:colOff>606652</xdr:colOff>
      <xdr:row>169</xdr:row>
      <xdr:rowOff>102053</xdr:rowOff>
    </xdr:to>
    <xdr:sp macro="" textlink="">
      <xdr:nvSpPr>
        <xdr:cNvPr id="32" name="Flèche : bas 31">
          <a:extLst>
            <a:ext uri="{FF2B5EF4-FFF2-40B4-BE49-F238E27FC236}">
              <a16:creationId xmlns:a16="http://schemas.microsoft.com/office/drawing/2014/main" id="{101B5C52-C369-84E9-9873-5F89E9FAAFBA}"/>
            </a:ext>
          </a:extLst>
        </xdr:cNvPr>
        <xdr:cNvSpPr/>
      </xdr:nvSpPr>
      <xdr:spPr>
        <a:xfrm>
          <a:off x="16419286" y="28994554"/>
          <a:ext cx="73705" cy="175758"/>
        </a:xfrm>
        <a:prstGeom prst="down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66211</xdr:colOff>
      <xdr:row>287</xdr:row>
      <xdr:rowOff>141364</xdr:rowOff>
    </xdr:from>
    <xdr:to>
      <xdr:col>29</xdr:col>
      <xdr:colOff>75503</xdr:colOff>
      <xdr:row>304</xdr:row>
      <xdr:rowOff>116158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5EBCA11-F891-12AE-8E88-83F7EB2BB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209550</xdr:colOff>
      <xdr:row>16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A53CBE6-D6ED-329A-6F4D-B370A6D8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4150"/>
          <a:ext cx="9512300" cy="283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396874</xdr:colOff>
      <xdr:row>3</xdr:row>
      <xdr:rowOff>50800</xdr:rowOff>
    </xdr:from>
    <xdr:to>
      <xdr:col>21</xdr:col>
      <xdr:colOff>63499</xdr:colOff>
      <xdr:row>25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B889AB8-951F-1B96-1ECF-C5F44EFCD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573433</xdr:colOff>
      <xdr:row>13</xdr:row>
      <xdr:rowOff>181113</xdr:rowOff>
    </xdr:from>
    <xdr:to>
      <xdr:col>11</xdr:col>
      <xdr:colOff>363883</xdr:colOff>
      <xdr:row>17</xdr:row>
      <xdr:rowOff>111263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F1E26A6E-FAEF-F008-4F34-96993E9BF867}"/>
            </a:ext>
          </a:extLst>
        </xdr:cNvPr>
        <xdr:cNvSpPr txBox="1"/>
      </xdr:nvSpPr>
      <xdr:spPr>
        <a:xfrm>
          <a:off x="11396042" y="2549939"/>
          <a:ext cx="552450" cy="659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/>
            <a:t>  </a:t>
          </a:r>
          <a:r>
            <a:rPr lang="fr-FR" sz="1800">
              <a:solidFill>
                <a:schemeClr val="bg1"/>
              </a:solidFill>
            </a:rPr>
            <a:t>A-</a:t>
          </a:r>
        </a:p>
      </xdr:txBody>
    </xdr:sp>
    <xdr:clientData/>
  </xdr:twoCellAnchor>
  <xdr:twoCellAnchor>
    <xdr:from>
      <xdr:col>10</xdr:col>
      <xdr:colOff>589998</xdr:colOff>
      <xdr:row>18</xdr:row>
      <xdr:rowOff>57426</xdr:rowOff>
    </xdr:from>
    <xdr:to>
      <xdr:col>11</xdr:col>
      <xdr:colOff>380448</xdr:colOff>
      <xdr:row>21</xdr:row>
      <xdr:rowOff>169794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CCC72FC7-60DD-4B2D-8567-5B6F792B76DD}"/>
            </a:ext>
          </a:extLst>
        </xdr:cNvPr>
        <xdr:cNvSpPr txBox="1"/>
      </xdr:nvSpPr>
      <xdr:spPr>
        <a:xfrm>
          <a:off x="11412607" y="3337339"/>
          <a:ext cx="552450" cy="659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>
              <a:solidFill>
                <a:schemeClr val="bg1"/>
              </a:solidFill>
            </a:rPr>
            <a:t>  AA-</a:t>
          </a:r>
        </a:p>
      </xdr:txBody>
    </xdr:sp>
    <xdr:clientData/>
  </xdr:twoCellAnchor>
  <xdr:twoCellAnchor>
    <xdr:from>
      <xdr:col>12</xdr:col>
      <xdr:colOff>610981</xdr:colOff>
      <xdr:row>12</xdr:row>
      <xdr:rowOff>174487</xdr:rowOff>
    </xdr:from>
    <xdr:to>
      <xdr:col>13</xdr:col>
      <xdr:colOff>401431</xdr:colOff>
      <xdr:row>16</xdr:row>
      <xdr:rowOff>104637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B3209615-9A10-408A-A0E0-BF9C34E2045F}"/>
            </a:ext>
          </a:extLst>
        </xdr:cNvPr>
        <xdr:cNvSpPr txBox="1"/>
      </xdr:nvSpPr>
      <xdr:spPr>
        <a:xfrm>
          <a:off x="12957590" y="2361096"/>
          <a:ext cx="552450" cy="6590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/>
            <a:t>  </a:t>
          </a:r>
          <a:r>
            <a:rPr lang="fr-FR" sz="1800">
              <a:solidFill>
                <a:schemeClr val="bg1"/>
              </a:solidFill>
            </a:rPr>
            <a:t>A-</a:t>
          </a:r>
        </a:p>
      </xdr:txBody>
    </xdr:sp>
    <xdr:clientData/>
  </xdr:twoCellAnchor>
  <xdr:twoCellAnchor>
    <xdr:from>
      <xdr:col>12</xdr:col>
      <xdr:colOff>633067</xdr:colOff>
      <xdr:row>17</xdr:row>
      <xdr:rowOff>64880</xdr:rowOff>
    </xdr:from>
    <xdr:to>
      <xdr:col>13</xdr:col>
      <xdr:colOff>423517</xdr:colOff>
      <xdr:row>20</xdr:row>
      <xdr:rowOff>179180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E641FC0-F507-4514-AD10-75EC02EB32CD}"/>
            </a:ext>
          </a:extLst>
        </xdr:cNvPr>
        <xdr:cNvSpPr txBox="1"/>
      </xdr:nvSpPr>
      <xdr:spPr>
        <a:xfrm>
          <a:off x="12979676" y="3162576"/>
          <a:ext cx="552450" cy="6609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>
              <a:solidFill>
                <a:schemeClr val="bg1"/>
              </a:solidFill>
            </a:rPr>
            <a:t>  AA-</a:t>
          </a:r>
        </a:p>
      </xdr:txBody>
    </xdr:sp>
    <xdr:clientData/>
  </xdr:twoCellAnchor>
  <xdr:twoCellAnchor>
    <xdr:from>
      <xdr:col>14</xdr:col>
      <xdr:colOff>668130</xdr:colOff>
      <xdr:row>15</xdr:row>
      <xdr:rowOff>165651</xdr:rowOff>
    </xdr:from>
    <xdr:to>
      <xdr:col>15</xdr:col>
      <xdr:colOff>458580</xdr:colOff>
      <xdr:row>19</xdr:row>
      <xdr:rowOff>97734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A8AC7523-8DCE-455A-A3CE-03DAE926212D}"/>
            </a:ext>
          </a:extLst>
        </xdr:cNvPr>
        <xdr:cNvSpPr txBox="1"/>
      </xdr:nvSpPr>
      <xdr:spPr>
        <a:xfrm>
          <a:off x="14538739" y="2898912"/>
          <a:ext cx="552450" cy="6609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>
              <a:solidFill>
                <a:schemeClr val="bg1"/>
              </a:solidFill>
            </a:rPr>
            <a:t>  AA-</a:t>
          </a:r>
        </a:p>
      </xdr:txBody>
    </xdr:sp>
    <xdr:clientData/>
  </xdr:twoCellAnchor>
  <xdr:twoCellAnchor>
    <xdr:from>
      <xdr:col>18</xdr:col>
      <xdr:colOff>729146</xdr:colOff>
      <xdr:row>15</xdr:row>
      <xdr:rowOff>8006</xdr:rowOff>
    </xdr:from>
    <xdr:to>
      <xdr:col>19</xdr:col>
      <xdr:colOff>519596</xdr:colOff>
      <xdr:row>18</xdr:row>
      <xdr:rowOff>122306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D17E0808-851D-400D-AFD3-F6F516D614A8}"/>
            </a:ext>
          </a:extLst>
        </xdr:cNvPr>
        <xdr:cNvSpPr txBox="1"/>
      </xdr:nvSpPr>
      <xdr:spPr>
        <a:xfrm>
          <a:off x="17647755" y="2741267"/>
          <a:ext cx="552450" cy="6609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>
              <a:solidFill>
                <a:schemeClr val="bg1"/>
              </a:solidFill>
            </a:rPr>
            <a:t>  AA-</a:t>
          </a:r>
        </a:p>
      </xdr:txBody>
    </xdr:sp>
    <xdr:clientData/>
  </xdr:twoCellAnchor>
  <xdr:twoCellAnchor>
    <xdr:from>
      <xdr:col>14</xdr:col>
      <xdr:colOff>654602</xdr:colOff>
      <xdr:row>11</xdr:row>
      <xdr:rowOff>102705</xdr:rowOff>
    </xdr:from>
    <xdr:to>
      <xdr:col>15</xdr:col>
      <xdr:colOff>445052</xdr:colOff>
      <xdr:row>15</xdr:row>
      <xdr:rowOff>34787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433A9777-B780-4957-9BF5-35E45815169B}"/>
            </a:ext>
          </a:extLst>
        </xdr:cNvPr>
        <xdr:cNvSpPr txBox="1"/>
      </xdr:nvSpPr>
      <xdr:spPr>
        <a:xfrm>
          <a:off x="14525211" y="2107096"/>
          <a:ext cx="552450" cy="6609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/>
            <a:t>  </a:t>
          </a:r>
          <a:r>
            <a:rPr lang="fr-FR" sz="1800">
              <a:solidFill>
                <a:schemeClr val="bg1"/>
              </a:solidFill>
            </a:rPr>
            <a:t>A-</a:t>
          </a:r>
        </a:p>
      </xdr:txBody>
    </xdr:sp>
    <xdr:clientData/>
  </xdr:twoCellAnchor>
  <xdr:twoCellAnchor>
    <xdr:from>
      <xdr:col>18</xdr:col>
      <xdr:colOff>692702</xdr:colOff>
      <xdr:row>10</xdr:row>
      <xdr:rowOff>61015</xdr:rowOff>
    </xdr:from>
    <xdr:to>
      <xdr:col>19</xdr:col>
      <xdr:colOff>483152</xdr:colOff>
      <xdr:row>13</xdr:row>
      <xdr:rowOff>175315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F090614F-C0BA-4690-A4B0-D4C0649DCCDF}"/>
            </a:ext>
          </a:extLst>
        </xdr:cNvPr>
        <xdr:cNvSpPr txBox="1"/>
      </xdr:nvSpPr>
      <xdr:spPr>
        <a:xfrm>
          <a:off x="17611311" y="1883189"/>
          <a:ext cx="552450" cy="6609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/>
            <a:t>  </a:t>
          </a:r>
          <a:r>
            <a:rPr lang="fr-FR" sz="1800">
              <a:solidFill>
                <a:schemeClr val="bg1"/>
              </a:solidFill>
            </a:rPr>
            <a:t>A-</a:t>
          </a:r>
        </a:p>
      </xdr:txBody>
    </xdr:sp>
    <xdr:clientData/>
  </xdr:twoCellAnchor>
  <xdr:twoCellAnchor>
    <xdr:from>
      <xdr:col>9</xdr:col>
      <xdr:colOff>406400</xdr:colOff>
      <xdr:row>25</xdr:row>
      <xdr:rowOff>133350</xdr:rowOff>
    </xdr:from>
    <xdr:to>
      <xdr:col>21</xdr:col>
      <xdr:colOff>57150</xdr:colOff>
      <xdr:row>49</xdr:row>
      <xdr:rowOff>158750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EC2B8D8F-1A22-1A97-713B-6197E0E69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222250</xdr:colOff>
      <xdr:row>25</xdr:row>
      <xdr:rowOff>146050</xdr:rowOff>
    </xdr:from>
    <xdr:to>
      <xdr:col>19</xdr:col>
      <xdr:colOff>596900</xdr:colOff>
      <xdr:row>31</xdr:row>
      <xdr:rowOff>12700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B5958B29-2424-77AA-8EC3-4529D7E8875A}"/>
            </a:ext>
          </a:extLst>
        </xdr:cNvPr>
        <xdr:cNvSpPr txBox="1"/>
      </xdr:nvSpPr>
      <xdr:spPr>
        <a:xfrm>
          <a:off x="17145000" y="4749800"/>
          <a:ext cx="113665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 b="1"/>
            <a:t>En adéquation avec la Structure de la Balance Commerciale</a:t>
          </a:r>
        </a:p>
      </xdr:txBody>
    </xdr:sp>
    <xdr:clientData/>
  </xdr:twoCellAnchor>
  <xdr:twoCellAnchor>
    <xdr:from>
      <xdr:col>16</xdr:col>
      <xdr:colOff>656811</xdr:colOff>
      <xdr:row>32</xdr:row>
      <xdr:rowOff>138319</xdr:rowOff>
    </xdr:from>
    <xdr:to>
      <xdr:col>17</xdr:col>
      <xdr:colOff>485361</xdr:colOff>
      <xdr:row>34</xdr:row>
      <xdr:rowOff>125620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851D858B-7360-8C14-C986-E01E339D63AB}"/>
            </a:ext>
          </a:extLst>
        </xdr:cNvPr>
        <xdr:cNvSpPr txBox="1"/>
      </xdr:nvSpPr>
      <xdr:spPr>
        <a:xfrm>
          <a:off x="16051420" y="5969276"/>
          <a:ext cx="590550" cy="351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>
              <a:solidFill>
                <a:schemeClr val="bg1"/>
              </a:solidFill>
            </a:rPr>
            <a:t>24,4%</a:t>
          </a:r>
        </a:p>
      </xdr:txBody>
    </xdr:sp>
    <xdr:clientData/>
  </xdr:twoCellAnchor>
  <xdr:twoCellAnchor>
    <xdr:from>
      <xdr:col>16</xdr:col>
      <xdr:colOff>663989</xdr:colOff>
      <xdr:row>39</xdr:row>
      <xdr:rowOff>155437</xdr:rowOff>
    </xdr:from>
    <xdr:to>
      <xdr:col>17</xdr:col>
      <xdr:colOff>492539</xdr:colOff>
      <xdr:row>41</xdr:row>
      <xdr:rowOff>144669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89A2DE72-7F2C-4C49-953E-E95ACA0F6BC7}"/>
            </a:ext>
          </a:extLst>
        </xdr:cNvPr>
        <xdr:cNvSpPr txBox="1"/>
      </xdr:nvSpPr>
      <xdr:spPr>
        <a:xfrm>
          <a:off x="16058598" y="7261915"/>
          <a:ext cx="590550" cy="353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>
              <a:solidFill>
                <a:schemeClr val="bg1"/>
              </a:solidFill>
            </a:rPr>
            <a:t>75,6%</a:t>
          </a:r>
        </a:p>
      </xdr:txBody>
    </xdr:sp>
    <xdr:clientData/>
  </xdr:twoCellAnchor>
  <xdr:twoCellAnchor>
    <xdr:from>
      <xdr:col>9</xdr:col>
      <xdr:colOff>405848</xdr:colOff>
      <xdr:row>50</xdr:row>
      <xdr:rowOff>180008</xdr:rowOff>
    </xdr:from>
    <xdr:to>
      <xdr:col>21</xdr:col>
      <xdr:colOff>77303</xdr:colOff>
      <xdr:row>70</xdr:row>
      <xdr:rowOff>160131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76676A43-A64E-79A8-5FE2-4B0E86198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226391</xdr:colOff>
      <xdr:row>61</xdr:row>
      <xdr:rowOff>33130</xdr:rowOff>
    </xdr:from>
    <xdr:to>
      <xdr:col>20</xdr:col>
      <xdr:colOff>49695</xdr:colOff>
      <xdr:row>67</xdr:row>
      <xdr:rowOff>38652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72E33BD3-7C64-4C40-B2C8-097726E4BBF7}"/>
            </a:ext>
          </a:extLst>
        </xdr:cNvPr>
        <xdr:cNvSpPr txBox="1"/>
      </xdr:nvSpPr>
      <xdr:spPr>
        <a:xfrm>
          <a:off x="15621000" y="11148391"/>
          <a:ext cx="2871304" cy="10988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 i="1" u="sng"/>
            <a:t>Malgré !</a:t>
          </a:r>
        </a:p>
        <a:p>
          <a:pPr algn="ctr"/>
          <a:r>
            <a:rPr lang="fr-FR" sz="1100" b="1" baseline="0"/>
            <a:t>Niveau des Réserves Exterieures</a:t>
          </a:r>
        </a:p>
        <a:p>
          <a:pPr algn="ctr"/>
          <a:r>
            <a:rPr lang="fr-FR" sz="1100" b="1" baseline="0"/>
            <a:t>Rendement USD/EUR </a:t>
          </a:r>
        </a:p>
        <a:p>
          <a:pPr algn="ctr"/>
          <a:r>
            <a:rPr lang="fr-FR" sz="1100" b="1" baseline="0"/>
            <a:t>Niveau de sécurité des Reserves </a:t>
          </a:r>
        </a:p>
        <a:p>
          <a:pPr algn="ctr"/>
          <a:r>
            <a:rPr lang="fr-FR" sz="1100" b="1" baseline="0"/>
            <a:t>Rendement (prosduits)</a:t>
          </a:r>
          <a:endParaRPr lang="fr-FR" sz="1100" b="1"/>
        </a:p>
      </xdr:txBody>
    </xdr:sp>
    <xdr:clientData/>
  </xdr:twoCellAnchor>
  <xdr:twoCellAnchor>
    <xdr:from>
      <xdr:col>16</xdr:col>
      <xdr:colOff>579783</xdr:colOff>
      <xdr:row>62</xdr:row>
      <xdr:rowOff>71783</xdr:rowOff>
    </xdr:from>
    <xdr:to>
      <xdr:col>16</xdr:col>
      <xdr:colOff>625502</xdr:colOff>
      <xdr:row>63</xdr:row>
      <xdr:rowOff>38652</xdr:rowOff>
    </xdr:to>
    <xdr:sp macro="" textlink="">
      <xdr:nvSpPr>
        <xdr:cNvPr id="18" name="Flèche : bas 17">
          <a:extLst>
            <a:ext uri="{FF2B5EF4-FFF2-40B4-BE49-F238E27FC236}">
              <a16:creationId xmlns:a16="http://schemas.microsoft.com/office/drawing/2014/main" id="{EAD5876F-607B-6442-3D5E-C56B13260A1C}"/>
            </a:ext>
          </a:extLst>
        </xdr:cNvPr>
        <xdr:cNvSpPr/>
      </xdr:nvSpPr>
      <xdr:spPr>
        <a:xfrm>
          <a:off x="15974392" y="11369261"/>
          <a:ext cx="45719" cy="149087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168965</xdr:colOff>
      <xdr:row>63</xdr:row>
      <xdr:rowOff>58530</xdr:rowOff>
    </xdr:from>
    <xdr:to>
      <xdr:col>17</xdr:col>
      <xdr:colOff>214684</xdr:colOff>
      <xdr:row>64</xdr:row>
      <xdr:rowOff>25400</xdr:rowOff>
    </xdr:to>
    <xdr:sp macro="" textlink="">
      <xdr:nvSpPr>
        <xdr:cNvPr id="20" name="Flèche : bas 19">
          <a:extLst>
            <a:ext uri="{FF2B5EF4-FFF2-40B4-BE49-F238E27FC236}">
              <a16:creationId xmlns:a16="http://schemas.microsoft.com/office/drawing/2014/main" id="{93CE66B0-20EF-4941-898E-E00C26BAAC81}"/>
            </a:ext>
          </a:extLst>
        </xdr:cNvPr>
        <xdr:cNvSpPr/>
      </xdr:nvSpPr>
      <xdr:spPr>
        <a:xfrm>
          <a:off x="16325574" y="11538226"/>
          <a:ext cx="45719" cy="149087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367748</xdr:colOff>
      <xdr:row>64</xdr:row>
      <xdr:rowOff>64052</xdr:rowOff>
    </xdr:from>
    <xdr:to>
      <xdr:col>19</xdr:col>
      <xdr:colOff>413467</xdr:colOff>
      <xdr:row>65</xdr:row>
      <xdr:rowOff>30922</xdr:rowOff>
    </xdr:to>
    <xdr:sp macro="" textlink="">
      <xdr:nvSpPr>
        <xdr:cNvPr id="22" name="Flèche : bas 21">
          <a:extLst>
            <a:ext uri="{FF2B5EF4-FFF2-40B4-BE49-F238E27FC236}">
              <a16:creationId xmlns:a16="http://schemas.microsoft.com/office/drawing/2014/main" id="{50DF875B-B290-4821-9117-C3E950FEBD32}"/>
            </a:ext>
          </a:extLst>
        </xdr:cNvPr>
        <xdr:cNvSpPr/>
      </xdr:nvSpPr>
      <xdr:spPr>
        <a:xfrm rot="10800000">
          <a:off x="18048357" y="11725965"/>
          <a:ext cx="45719" cy="149087"/>
        </a:xfrm>
        <a:prstGeom prst="down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106017</xdr:colOff>
      <xdr:row>65</xdr:row>
      <xdr:rowOff>34236</xdr:rowOff>
    </xdr:from>
    <xdr:to>
      <xdr:col>19</xdr:col>
      <xdr:colOff>151736</xdr:colOff>
      <xdr:row>66</xdr:row>
      <xdr:rowOff>1105</xdr:rowOff>
    </xdr:to>
    <xdr:sp macro="" textlink="">
      <xdr:nvSpPr>
        <xdr:cNvPr id="23" name="Flèche : bas 22">
          <a:extLst>
            <a:ext uri="{FF2B5EF4-FFF2-40B4-BE49-F238E27FC236}">
              <a16:creationId xmlns:a16="http://schemas.microsoft.com/office/drawing/2014/main" id="{E5942943-972E-42BC-A6B5-653F4199EF08}"/>
            </a:ext>
          </a:extLst>
        </xdr:cNvPr>
        <xdr:cNvSpPr/>
      </xdr:nvSpPr>
      <xdr:spPr>
        <a:xfrm rot="10800000">
          <a:off x="17786626" y="11878366"/>
          <a:ext cx="45719" cy="149087"/>
        </a:xfrm>
        <a:prstGeom prst="down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375478</xdr:colOff>
      <xdr:row>57</xdr:row>
      <xdr:rowOff>38652</xdr:rowOff>
    </xdr:from>
    <xdr:to>
      <xdr:col>13</xdr:col>
      <xdr:colOff>679173</xdr:colOff>
      <xdr:row>62</xdr:row>
      <xdr:rowOff>27608</xdr:rowOff>
    </xdr:to>
    <xdr:cxnSp macro="">
      <xdr:nvCxnSpPr>
        <xdr:cNvPr id="26" name="Connecteur droit avec flèche 25">
          <a:extLst>
            <a:ext uri="{FF2B5EF4-FFF2-40B4-BE49-F238E27FC236}">
              <a16:creationId xmlns:a16="http://schemas.microsoft.com/office/drawing/2014/main" id="{A1339024-DAA5-8960-2438-07DA80E86B70}"/>
            </a:ext>
          </a:extLst>
        </xdr:cNvPr>
        <xdr:cNvCxnSpPr/>
      </xdr:nvCxnSpPr>
      <xdr:spPr>
        <a:xfrm>
          <a:off x="13484087" y="10425043"/>
          <a:ext cx="303695" cy="9000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704850</xdr:colOff>
      <xdr:row>15</xdr:row>
      <xdr:rowOff>83101</xdr:rowOff>
    </xdr:from>
    <xdr:to>
      <xdr:col>17</xdr:col>
      <xdr:colOff>495300</xdr:colOff>
      <xdr:row>19</xdr:row>
      <xdr:rowOff>15184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65F5EDFF-ACBB-470F-A5CB-26AAFB5B29AF}"/>
            </a:ext>
          </a:extLst>
        </xdr:cNvPr>
        <xdr:cNvSpPr txBox="1"/>
      </xdr:nvSpPr>
      <xdr:spPr>
        <a:xfrm>
          <a:off x="16099459" y="2816362"/>
          <a:ext cx="552450" cy="6609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>
              <a:solidFill>
                <a:schemeClr val="bg1"/>
              </a:solidFill>
            </a:rPr>
            <a:t>  AA-</a:t>
          </a:r>
        </a:p>
      </xdr:txBody>
    </xdr:sp>
    <xdr:clientData/>
  </xdr:twoCellAnchor>
  <xdr:twoCellAnchor>
    <xdr:from>
      <xdr:col>16</xdr:col>
      <xdr:colOff>646319</xdr:colOff>
      <xdr:row>10</xdr:row>
      <xdr:rowOff>64328</xdr:rowOff>
    </xdr:from>
    <xdr:to>
      <xdr:col>17</xdr:col>
      <xdr:colOff>436769</xdr:colOff>
      <xdr:row>13</xdr:row>
      <xdr:rowOff>178628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66EA89B4-D33E-4DC5-8A05-851A2DE975BD}"/>
            </a:ext>
          </a:extLst>
        </xdr:cNvPr>
        <xdr:cNvSpPr txBox="1"/>
      </xdr:nvSpPr>
      <xdr:spPr>
        <a:xfrm>
          <a:off x="16040928" y="1886502"/>
          <a:ext cx="552450" cy="6609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/>
            <a:t>  </a:t>
          </a:r>
          <a:r>
            <a:rPr lang="fr-FR" sz="1800">
              <a:solidFill>
                <a:schemeClr val="bg1"/>
              </a:solidFill>
            </a:rPr>
            <a:t>A-</a:t>
          </a:r>
        </a:p>
      </xdr:txBody>
    </xdr:sp>
    <xdr:clientData/>
  </xdr:twoCellAnchor>
  <xdr:twoCellAnchor>
    <xdr:from>
      <xdr:col>18</xdr:col>
      <xdr:colOff>654602</xdr:colOff>
      <xdr:row>32</xdr:row>
      <xdr:rowOff>158197</xdr:rowOff>
    </xdr:from>
    <xdr:to>
      <xdr:col>19</xdr:col>
      <xdr:colOff>483152</xdr:colOff>
      <xdr:row>34</xdr:row>
      <xdr:rowOff>145498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EA4DF3C9-CD30-43E5-81C9-A1BD9FA99204}"/>
            </a:ext>
          </a:extLst>
        </xdr:cNvPr>
        <xdr:cNvSpPr txBox="1"/>
      </xdr:nvSpPr>
      <xdr:spPr>
        <a:xfrm>
          <a:off x="17573211" y="5989154"/>
          <a:ext cx="590550" cy="351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>
              <a:solidFill>
                <a:schemeClr val="bg1"/>
              </a:solidFill>
            </a:rPr>
            <a:t>24,34%</a:t>
          </a:r>
        </a:p>
      </xdr:txBody>
    </xdr:sp>
    <xdr:clientData/>
  </xdr:twoCellAnchor>
  <xdr:twoCellAnchor>
    <xdr:from>
      <xdr:col>18</xdr:col>
      <xdr:colOff>672824</xdr:colOff>
      <xdr:row>39</xdr:row>
      <xdr:rowOff>4142</xdr:rowOff>
    </xdr:from>
    <xdr:to>
      <xdr:col>19</xdr:col>
      <xdr:colOff>501374</xdr:colOff>
      <xdr:row>40</xdr:row>
      <xdr:rowOff>175591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9FE718E2-017A-46FA-8957-64722B042256}"/>
            </a:ext>
          </a:extLst>
        </xdr:cNvPr>
        <xdr:cNvSpPr txBox="1"/>
      </xdr:nvSpPr>
      <xdr:spPr>
        <a:xfrm>
          <a:off x="17591433" y="7110620"/>
          <a:ext cx="590550" cy="353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>
              <a:solidFill>
                <a:schemeClr val="bg1"/>
              </a:solidFill>
            </a:rPr>
            <a:t>75,7%</a:t>
          </a:r>
        </a:p>
      </xdr:txBody>
    </xdr:sp>
    <xdr:clientData/>
  </xdr:twoCellAnchor>
  <xdr:twoCellAnchor>
    <xdr:from>
      <xdr:col>19</xdr:col>
      <xdr:colOff>0</xdr:colOff>
      <xdr:row>52</xdr:row>
      <xdr:rowOff>110435</xdr:rowOff>
    </xdr:from>
    <xdr:to>
      <xdr:col>19</xdr:col>
      <xdr:colOff>618434</xdr:colOff>
      <xdr:row>60</xdr:row>
      <xdr:rowOff>99392</xdr:rowOff>
    </xdr:to>
    <xdr:sp macro="" textlink="">
      <xdr:nvSpPr>
        <xdr:cNvPr id="27" name="Ellipse 26">
          <a:extLst>
            <a:ext uri="{FF2B5EF4-FFF2-40B4-BE49-F238E27FC236}">
              <a16:creationId xmlns:a16="http://schemas.microsoft.com/office/drawing/2014/main" id="{8E03271E-E578-8122-C641-85C647D3F54C}"/>
            </a:ext>
          </a:extLst>
        </xdr:cNvPr>
        <xdr:cNvSpPr/>
      </xdr:nvSpPr>
      <xdr:spPr>
        <a:xfrm>
          <a:off x="17680609" y="9585739"/>
          <a:ext cx="618434" cy="144669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0.20514</cdr:x>
      <cdr:y>0.10268</cdr:y>
    </cdr:from>
    <cdr:to>
      <cdr:x>0.45318</cdr:x>
      <cdr:y>0.21694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3C0AF941-0CF7-E81E-FEFF-57F2DBE97E98}"/>
            </a:ext>
          </a:extLst>
        </cdr:cNvPr>
        <cdr:cNvSpPr txBox="1"/>
      </cdr:nvSpPr>
      <cdr:spPr>
        <a:xfrm xmlns:a="http://schemas.openxmlformats.org/drawingml/2006/main">
          <a:off x="1808369" y="372165"/>
          <a:ext cx="2186609" cy="414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 kern="1200"/>
        </a:p>
      </cdr:txBody>
    </cdr:sp>
  </cdr:relSizeAnchor>
  <cdr:relSizeAnchor xmlns:cdr="http://schemas.openxmlformats.org/drawingml/2006/chartDrawing">
    <cdr:from>
      <cdr:x>0.23833</cdr:x>
      <cdr:y>0.13163</cdr:y>
    </cdr:from>
    <cdr:to>
      <cdr:x>0.52083</cdr:x>
      <cdr:y>0.25655</cdr:y>
    </cdr:to>
    <cdr:sp macro="" textlink="">
      <cdr:nvSpPr>
        <cdr:cNvPr id="3" name="ZoneTexte 2">
          <a:extLst xmlns:a="http://schemas.openxmlformats.org/drawingml/2006/main">
            <a:ext uri="{FF2B5EF4-FFF2-40B4-BE49-F238E27FC236}">
              <a16:creationId xmlns:a16="http://schemas.microsoft.com/office/drawing/2014/main" id="{9FF4F002-06E7-D8C7-5F78-72FB73F9345B}"/>
            </a:ext>
          </a:extLst>
        </cdr:cNvPr>
        <cdr:cNvSpPr txBox="1"/>
      </cdr:nvSpPr>
      <cdr:spPr>
        <a:xfrm xmlns:a="http://schemas.openxmlformats.org/drawingml/2006/main">
          <a:off x="2101021" y="477080"/>
          <a:ext cx="2490305" cy="452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 kern="1200"/>
        </a:p>
      </cdr:txBody>
    </cdr:sp>
  </cdr:relSizeAnchor>
  <cdr:relSizeAnchor xmlns:cdr="http://schemas.openxmlformats.org/drawingml/2006/chartDrawing">
    <cdr:from>
      <cdr:x>0.24898</cdr:x>
      <cdr:y>0.12553</cdr:y>
    </cdr:from>
    <cdr:to>
      <cdr:x>0.36361</cdr:x>
      <cdr:y>0.3114</cdr:y>
    </cdr:to>
    <cdr:sp macro="" textlink="">
      <cdr:nvSpPr>
        <cdr:cNvPr id="4" name="ZoneTexte 3">
          <a:extLst xmlns:a="http://schemas.openxmlformats.org/drawingml/2006/main">
            <a:ext uri="{FF2B5EF4-FFF2-40B4-BE49-F238E27FC236}">
              <a16:creationId xmlns:a16="http://schemas.microsoft.com/office/drawing/2014/main" id="{4006ECF4-5DAF-1BE0-CFAF-183AD5C543DC}"/>
            </a:ext>
          </a:extLst>
        </cdr:cNvPr>
        <cdr:cNvSpPr txBox="1"/>
      </cdr:nvSpPr>
      <cdr:spPr>
        <a:xfrm xmlns:a="http://schemas.openxmlformats.org/drawingml/2006/main">
          <a:off x="2194891" y="454992"/>
          <a:ext cx="1010478" cy="673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 kern="1200"/>
        </a:p>
      </cdr:txBody>
    </cdr:sp>
  </cdr:relSizeAnchor>
  <cdr:relSizeAnchor xmlns:cdr="http://schemas.openxmlformats.org/drawingml/2006/chartDrawing">
    <cdr:from>
      <cdr:x>0.2684</cdr:x>
      <cdr:y>0.11182</cdr:y>
    </cdr:from>
    <cdr:to>
      <cdr:x>0.44378</cdr:x>
      <cdr:y>0.41651</cdr:y>
    </cdr:to>
    <cdr:sp macro="" textlink="">
      <cdr:nvSpPr>
        <cdr:cNvPr id="5" name="ZoneTexte 4">
          <a:extLst xmlns:a="http://schemas.openxmlformats.org/drawingml/2006/main">
            <a:ext uri="{FF2B5EF4-FFF2-40B4-BE49-F238E27FC236}">
              <a16:creationId xmlns:a16="http://schemas.microsoft.com/office/drawing/2014/main" id="{5404226C-9E10-F9EE-3B76-665AFAD6CD88}"/>
            </a:ext>
          </a:extLst>
        </cdr:cNvPr>
        <cdr:cNvSpPr txBox="1"/>
      </cdr:nvSpPr>
      <cdr:spPr>
        <a:xfrm xmlns:a="http://schemas.openxmlformats.org/drawingml/2006/main">
          <a:off x="2366065" y="405297"/>
          <a:ext cx="1546087" cy="11043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fr-FR" sz="1100" b="1" kern="1200">
              <a:solidFill>
                <a:schemeClr val="accent1"/>
              </a:solidFill>
            </a:rPr>
            <a:t>Adoption d'une nouvelle</a:t>
          </a:r>
          <a:r>
            <a:rPr lang="fr-FR" sz="1100" b="1" kern="1200" baseline="0">
              <a:solidFill>
                <a:schemeClr val="accent1"/>
              </a:solidFill>
            </a:rPr>
            <a:t> Allocation Stratégique desavoirs exterieurs</a:t>
          </a:r>
          <a:endParaRPr lang="fr-FR" sz="1100" b="1" kern="1200">
            <a:solidFill>
              <a:schemeClr val="accent1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32</xdr:row>
      <xdr:rowOff>0</xdr:rowOff>
    </xdr:from>
    <xdr:to>
      <xdr:col>12</xdr:col>
      <xdr:colOff>742950</xdr:colOff>
      <xdr:row>56</xdr:row>
      <xdr:rowOff>178405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3E426413-A9EF-458C-B1BE-C663693B4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488950</xdr:colOff>
      <xdr:row>41</xdr:row>
      <xdr:rowOff>120650</xdr:rowOff>
    </xdr:from>
    <xdr:to>
      <xdr:col>12</xdr:col>
      <xdr:colOff>152400</xdr:colOff>
      <xdr:row>46</xdr:row>
      <xdr:rowOff>165100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E2C9D7D5-CA87-C189-3C4D-875DA589F60E}"/>
            </a:ext>
          </a:extLst>
        </xdr:cNvPr>
        <xdr:cNvCxnSpPr/>
      </xdr:nvCxnSpPr>
      <xdr:spPr>
        <a:xfrm>
          <a:off x="1250950" y="7670800"/>
          <a:ext cx="8045450" cy="965200"/>
        </a:xfrm>
        <a:prstGeom prst="straightConnector1">
          <a:avLst/>
        </a:prstGeom>
        <a:ln w="19050" cap="flat" cmpd="sng" algn="ctr">
          <a:solidFill>
            <a:schemeClr val="bg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412750</xdr:colOff>
      <xdr:row>41</xdr:row>
      <xdr:rowOff>165100</xdr:rowOff>
    </xdr:from>
    <xdr:to>
      <xdr:col>5</xdr:col>
      <xdr:colOff>717550</xdr:colOff>
      <xdr:row>43</xdr:row>
      <xdr:rowOff>31750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949BFDF1-19CE-EC51-1B8A-AAC86D80862B}"/>
            </a:ext>
          </a:extLst>
        </xdr:cNvPr>
        <xdr:cNvSpPr txBox="1"/>
      </xdr:nvSpPr>
      <xdr:spPr>
        <a:xfrm>
          <a:off x="3460750" y="7715250"/>
          <a:ext cx="106680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bg1"/>
              </a:solidFill>
            </a:rPr>
            <a:t>-65,8%</a:t>
          </a:r>
        </a:p>
      </xdr:txBody>
    </xdr:sp>
    <xdr:clientData/>
  </xdr:twoCellAnchor>
  <xdr:twoCellAnchor>
    <xdr:from>
      <xdr:col>1</xdr:col>
      <xdr:colOff>6350</xdr:colOff>
      <xdr:row>3</xdr:row>
      <xdr:rowOff>165100</xdr:rowOff>
    </xdr:from>
    <xdr:to>
      <xdr:col>12</xdr:col>
      <xdr:colOff>742950</xdr:colOff>
      <xdr:row>30</xdr:row>
      <xdr:rowOff>50800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1D59F143-74DC-4733-A8ED-528DA874B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0.66435</cdr:x>
      <cdr:y>0.12941</cdr:y>
    </cdr:from>
    <cdr:to>
      <cdr:x>0.96309</cdr:x>
      <cdr:y>0.61046</cdr:y>
    </cdr:to>
    <cdr:sp macro="" textlink="">
      <cdr:nvSpPr>
        <cdr:cNvPr id="2" name="Ellipse 1">
          <a:extLst xmlns:a="http://schemas.openxmlformats.org/drawingml/2006/main">
            <a:ext uri="{FF2B5EF4-FFF2-40B4-BE49-F238E27FC236}">
              <a16:creationId xmlns:a16="http://schemas.microsoft.com/office/drawing/2014/main" id="{85EFA613-6F1B-FABE-72CC-9211E7E4170E}"/>
            </a:ext>
          </a:extLst>
        </cdr:cNvPr>
        <cdr:cNvSpPr/>
      </cdr:nvSpPr>
      <cdr:spPr>
        <a:xfrm xmlns:a="http://schemas.openxmlformats.org/drawingml/2006/main">
          <a:off x="6057900" y="628650"/>
          <a:ext cx="2724150" cy="23368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prstDash val="sysDot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 kern="12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657843</xdr:colOff>
      <xdr:row>1304</xdr:row>
      <xdr:rowOff>163397</xdr:rowOff>
    </xdr:from>
    <xdr:to>
      <xdr:col>35</xdr:col>
      <xdr:colOff>206374</xdr:colOff>
      <xdr:row>1346</xdr:row>
      <xdr:rowOff>10584</xdr:rowOff>
    </xdr:to>
    <xdr:graphicFrame macro="">
      <xdr:nvGraphicFramePr>
        <xdr:cNvPr id="4" name="Graphique 23">
          <a:extLst>
            <a:ext uri="{FF2B5EF4-FFF2-40B4-BE49-F238E27FC236}">
              <a16:creationId xmlns:a16="http://schemas.microsoft.com/office/drawing/2014/main" id="{4D3ECD9D-DFE5-AE4A-0C1C-E997F27C8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291042</xdr:colOff>
      <xdr:row>1354</xdr:row>
      <xdr:rowOff>126999</xdr:rowOff>
    </xdr:from>
    <xdr:to>
      <xdr:col>37</xdr:col>
      <xdr:colOff>291043</xdr:colOff>
      <xdr:row>1392</xdr:row>
      <xdr:rowOff>148166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804F736-F17F-80A5-5E16-E41508E4B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222249</xdr:colOff>
      <xdr:row>1421</xdr:row>
      <xdr:rowOff>153460</xdr:rowOff>
    </xdr:from>
    <xdr:to>
      <xdr:col>46</xdr:col>
      <xdr:colOff>222248</xdr:colOff>
      <xdr:row>1479</xdr:row>
      <xdr:rowOff>5293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6B86A02-D8DB-48D5-8248-452ACAB9E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0.32617</cdr:x>
      <cdr:y>0.39233</cdr:y>
    </cdr:from>
    <cdr:to>
      <cdr:x>0.43426</cdr:x>
      <cdr:y>0.46985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0D1EC5CA-DE7E-15AD-EA07-B5C57B304F5E}"/>
            </a:ext>
          </a:extLst>
        </cdr:cNvPr>
        <cdr:cNvSpPr txBox="1"/>
      </cdr:nvSpPr>
      <cdr:spPr>
        <a:xfrm xmlns:a="http://schemas.openxmlformats.org/drawingml/2006/main">
          <a:off x="2925536" y="2840491"/>
          <a:ext cx="969509" cy="5612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 kern="12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0.07857</cdr:x>
      <cdr:y>0.23492</cdr:y>
    </cdr:from>
    <cdr:to>
      <cdr:x>0.53048</cdr:x>
      <cdr:y>0.34709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2D822525-6CE1-32A5-A22A-3AEB28786088}"/>
            </a:ext>
          </a:extLst>
        </cdr:cNvPr>
        <cdr:cNvSpPr txBox="1"/>
      </cdr:nvSpPr>
      <cdr:spPr>
        <a:xfrm xmlns:a="http://schemas.openxmlformats.org/drawingml/2006/main">
          <a:off x="1436915" y="2416628"/>
          <a:ext cx="8264512" cy="1153886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endParaRPr lang="fr-FR" sz="1800" kern="1200" dirty="0">
            <a:solidFill>
              <a:schemeClr val="tx1"/>
            </a:solidFill>
          </a:endParaRPr>
        </a:p>
        <a:p xmlns:a="http://schemas.openxmlformats.org/drawingml/2006/main">
          <a:pPr algn="ctr"/>
          <a:r>
            <a:rPr lang="fr-FR" sz="1800" kern="1200" dirty="0">
              <a:solidFill>
                <a:schemeClr val="tx1"/>
              </a:solidFill>
            </a:rPr>
            <a:t>Augmentation des encours des Valeurs du Trésor Public dans le bilan des banques </a:t>
          </a:r>
        </a:p>
        <a:p xmlns:a="http://schemas.openxmlformats.org/drawingml/2006/main">
          <a:pPr algn="ctr"/>
          <a:r>
            <a:rPr lang="fr-FR" sz="1800" kern="1200" dirty="0">
              <a:solidFill>
                <a:schemeClr val="tx1"/>
              </a:solidFill>
            </a:rPr>
            <a:t>Passant d'un taux de participation de 17% en 2022 à 66% en 2025</a:t>
          </a:r>
        </a:p>
        <a:p xmlns:a="http://schemas.openxmlformats.org/drawingml/2006/main">
          <a:endParaRPr lang="fr-FR" sz="1100" b="1" kern="1200" dirty="0">
            <a:solidFill>
              <a:schemeClr val="bg1"/>
            </a:solidFill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0.09368</cdr:x>
      <cdr:y>0.29103</cdr:y>
    </cdr:from>
    <cdr:to>
      <cdr:x>0.27112</cdr:x>
      <cdr:y>0.35134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5F46EFDA-F341-2026-22D0-6CB6DCB25261}"/>
            </a:ext>
          </a:extLst>
        </cdr:cNvPr>
        <cdr:cNvSpPr txBox="1"/>
      </cdr:nvSpPr>
      <cdr:spPr>
        <a:xfrm xmlns:a="http://schemas.openxmlformats.org/drawingml/2006/main">
          <a:off x="1713220" y="2993826"/>
          <a:ext cx="3245072" cy="620381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fr-FR" sz="2400" kern="1200" dirty="0">
            <a:solidFill>
              <a:schemeClr val="tx1"/>
            </a:solidFill>
          </a:endParaRPr>
        </a:p>
        <a:p xmlns:a="http://schemas.openxmlformats.org/drawingml/2006/main">
          <a:pPr algn="ctr"/>
          <a:r>
            <a:rPr lang="fr-FR" sz="1400" b="1">
              <a:effectLst/>
              <a:latin typeface="+mn-lt"/>
              <a:ea typeface="+mn-ea"/>
              <a:cs typeface="+mn-cs"/>
            </a:rPr>
            <a:t>% des encours VT détenus par les banques</a:t>
          </a:r>
        </a:p>
        <a:p xmlns:a="http://schemas.openxmlformats.org/drawingml/2006/main">
          <a:pPr algn="ctr"/>
          <a:endParaRPr lang="fr-FR" sz="1400" b="1" kern="1200" dirty="0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.memoune\AppData\Local\Microsoft\Olk\Attachments\ooa-240677e9-5180-436a-bcf6-685dbe6ef5d5\dee8b41501e3d2f4405c49850628603a8cbcc0bddf6cb729d1f7421c63c9d45b\Les%20Cours%20du%20MIB%20du%2014-12-2023%20au%2028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>
        <row r="28">
          <cell r="D28" t="str">
            <v>Cours de Référence</v>
          </cell>
          <cell r="E28" t="str">
            <v>Cours Moyen Pondéré MIB</v>
          </cell>
          <cell r="F28" t="str">
            <v>Cours Moyen pondéré Clientèle</v>
          </cell>
          <cell r="G28" t="str">
            <v>Bande min USD</v>
          </cell>
          <cell r="H28" t="str">
            <v>Bande max USD</v>
          </cell>
          <cell r="I28" t="str">
            <v xml:space="preserve">Ecart Cours de refernce vs CMP </v>
          </cell>
        </row>
        <row r="29">
          <cell r="C29">
            <v>45261</v>
          </cell>
          <cell r="D29">
            <v>39.527999999999999</v>
          </cell>
          <cell r="E29">
            <v>39.498420000000003</v>
          </cell>
          <cell r="F29">
            <v>39.849201772147566</v>
          </cell>
          <cell r="G29">
            <v>36.99499999999999</v>
          </cell>
          <cell r="H29">
            <v>40.892000000000003</v>
          </cell>
          <cell r="I29">
            <v>0.32120177214756751</v>
          </cell>
        </row>
        <row r="30">
          <cell r="C30">
            <v>45292</v>
          </cell>
          <cell r="D30">
            <v>39.709444444444451</v>
          </cell>
          <cell r="E30">
            <v>39.691133333333333</v>
          </cell>
          <cell r="F30">
            <v>39.937208107284768</v>
          </cell>
          <cell r="G30">
            <v>37.042777777777786</v>
          </cell>
          <cell r="H30">
            <v>40.942777777777778</v>
          </cell>
          <cell r="I30">
            <v>0.22776366284031724</v>
          </cell>
        </row>
        <row r="31">
          <cell r="C31">
            <v>45323</v>
          </cell>
          <cell r="D31">
            <v>39.867647058823522</v>
          </cell>
          <cell r="E31">
            <v>39.857029411764707</v>
          </cell>
          <cell r="F31">
            <v>40.096742596249385</v>
          </cell>
          <cell r="G31">
            <v>37.129411764705885</v>
          </cell>
          <cell r="H31">
            <v>41.032941176470587</v>
          </cell>
          <cell r="I31">
            <v>0.22909553742586297</v>
          </cell>
        </row>
        <row r="32">
          <cell r="C32">
            <v>45352</v>
          </cell>
          <cell r="D32">
            <v>39.781874999999999</v>
          </cell>
          <cell r="E32">
            <v>39.811549999999997</v>
          </cell>
          <cell r="F32">
            <v>39.915648239518596</v>
          </cell>
          <cell r="G32">
            <v>37.069375000000001</v>
          </cell>
          <cell r="H32">
            <v>40.969374999999999</v>
          </cell>
          <cell r="I32">
            <v>0.13377323951859665</v>
          </cell>
        </row>
        <row r="33">
          <cell r="C33">
            <v>45383</v>
          </cell>
          <cell r="D33">
            <v>39.541250000000005</v>
          </cell>
          <cell r="E33">
            <v>39.615931250000003</v>
          </cell>
          <cell r="F33">
            <v>39.621268078294477</v>
          </cell>
          <cell r="G33">
            <v>37.171874999999986</v>
          </cell>
          <cell r="H33">
            <v>41.085625</v>
          </cell>
          <cell r="I33">
            <v>8.0018078294472161E-2</v>
          </cell>
        </row>
        <row r="34">
          <cell r="C34">
            <v>45413</v>
          </cell>
          <cell r="D34">
            <v>39.560588235294119</v>
          </cell>
          <cell r="E34">
            <v>39.714452941176475</v>
          </cell>
          <cell r="F34">
            <v>39.744051456232327</v>
          </cell>
          <cell r="G34">
            <v>37.115294117647068</v>
          </cell>
          <cell r="H34">
            <v>41.018823529411769</v>
          </cell>
          <cell r="I34">
            <v>0.18346322093820788</v>
          </cell>
        </row>
        <row r="35">
          <cell r="C35">
            <v>45444</v>
          </cell>
          <cell r="D35">
            <v>39.27428571428571</v>
          </cell>
          <cell r="E35">
            <v>39.342499999999994</v>
          </cell>
          <cell r="F35">
            <v>39.416707923576389</v>
          </cell>
          <cell r="G35">
            <v>37.138571428571424</v>
          </cell>
          <cell r="H35">
            <v>41.048571428571428</v>
          </cell>
          <cell r="I35">
            <v>0.14242220929067884</v>
          </cell>
        </row>
        <row r="36">
          <cell r="C36">
            <v>45474</v>
          </cell>
          <cell r="D36">
            <v>39.581666666666671</v>
          </cell>
          <cell r="E36">
            <v>39.669788888888888</v>
          </cell>
          <cell r="F36">
            <v>39.652857882779877</v>
          </cell>
          <cell r="G36">
            <v>37.094444444444456</v>
          </cell>
          <cell r="H36">
            <v>40.995555555555555</v>
          </cell>
          <cell r="I36">
            <v>7.1191216113206224E-2</v>
          </cell>
        </row>
        <row r="37">
          <cell r="C37">
            <v>45505</v>
          </cell>
          <cell r="D37">
            <v>39.595882352941182</v>
          </cell>
          <cell r="E37">
            <v>39.651435294117661</v>
          </cell>
          <cell r="F37">
            <v>39.71262750110472</v>
          </cell>
          <cell r="G37">
            <v>36.969411764705875</v>
          </cell>
          <cell r="H37">
            <v>40.860588235294124</v>
          </cell>
          <cell r="I37">
            <v>0.1167451481635382</v>
          </cell>
        </row>
        <row r="38">
          <cell r="C38">
            <v>45536</v>
          </cell>
          <cell r="D38">
            <v>39.571250000000006</v>
          </cell>
          <cell r="E38">
            <v>39.617224999999998</v>
          </cell>
          <cell r="F38">
            <v>39.522200779848248</v>
          </cell>
          <cell r="G38">
            <v>36.918749999999989</v>
          </cell>
          <cell r="H38">
            <v>40.801875000000003</v>
          </cell>
          <cell r="I38">
            <v>-4.9049220151758277E-2</v>
          </cell>
        </row>
        <row r="39">
          <cell r="C39">
            <v>45566</v>
          </cell>
          <cell r="D39">
            <v>39.641578947368416</v>
          </cell>
          <cell r="E39">
            <v>39.729263157894742</v>
          </cell>
          <cell r="F39">
            <v>39.559567303883853</v>
          </cell>
          <cell r="G39">
            <v>37.04684210526316</v>
          </cell>
          <cell r="H39">
            <v>40.944210526315786</v>
          </cell>
          <cell r="I39">
            <v>-8.2011643484563024E-2</v>
          </cell>
        </row>
        <row r="40">
          <cell r="C40">
            <v>45597</v>
          </cell>
          <cell r="D40">
            <v>39.795333333333339</v>
          </cell>
          <cell r="E40">
            <v>39.901486666666663</v>
          </cell>
          <cell r="F40">
            <v>39.784329716918236</v>
          </cell>
          <cell r="G40">
            <v>37.237333333333332</v>
          </cell>
          <cell r="H40">
            <v>41.155999999999992</v>
          </cell>
          <cell r="I40">
            <v>-1.1003616415102613E-2</v>
          </cell>
        </row>
        <row r="41">
          <cell r="C41">
            <v>45627</v>
          </cell>
          <cell r="D41">
            <v>39.753529411764703</v>
          </cell>
          <cell r="E41">
            <v>39.81997647058823</v>
          </cell>
          <cell r="F41">
            <v>39.759420157894638</v>
          </cell>
          <cell r="G41">
            <v>37.349999999999987</v>
          </cell>
          <cell r="H41">
            <v>41.279411764705891</v>
          </cell>
          <cell r="I41">
            <v>5.8907461299355646E-3</v>
          </cell>
        </row>
        <row r="42">
          <cell r="C42">
            <v>45658</v>
          </cell>
          <cell r="D42">
            <v>39.744705882352939</v>
          </cell>
          <cell r="E42">
            <v>39.803541176470588</v>
          </cell>
          <cell r="F42">
            <v>39.760218735728998</v>
          </cell>
          <cell r="G42">
            <v>37.44</v>
          </cell>
          <cell r="H42">
            <v>41.381176470588244</v>
          </cell>
          <cell r="I42">
            <v>1.5512853376058899E-2</v>
          </cell>
        </row>
        <row r="43">
          <cell r="C43">
            <v>45689</v>
          </cell>
          <cell r="D43">
            <v>39.844374999999999</v>
          </cell>
          <cell r="E43">
            <v>39.873975000000009</v>
          </cell>
          <cell r="F43">
            <v>39.838599854956612</v>
          </cell>
          <cell r="G43">
            <v>37.400625000000005</v>
          </cell>
          <cell r="H43">
            <v>41.339999999999996</v>
          </cell>
          <cell r="I43">
            <v>-5.7751450433869422E-3</v>
          </cell>
          <cell r="P43" t="str">
            <v>Cours de Référence</v>
          </cell>
          <cell r="S43" t="str">
            <v>Bande min USD</v>
          </cell>
          <cell r="T43" t="str">
            <v>Bande max USD</v>
          </cell>
          <cell r="V43" t="str">
            <v>Intervention de la BCM</v>
          </cell>
        </row>
        <row r="44">
          <cell r="C44">
            <v>45717</v>
          </cell>
          <cell r="D44">
            <v>39.735624999999992</v>
          </cell>
          <cell r="E44">
            <v>39.774943749999998</v>
          </cell>
          <cell r="F44">
            <v>39.720256180591775</v>
          </cell>
          <cell r="G44">
            <v>37.125624999999999</v>
          </cell>
          <cell r="H44">
            <v>41.031249999999986</v>
          </cell>
          <cell r="I44">
            <v>-1.5368819408216439E-2</v>
          </cell>
          <cell r="O44">
            <v>45261</v>
          </cell>
          <cell r="P44">
            <v>39.527999999999999</v>
          </cell>
          <cell r="S44">
            <v>36.99499999999999</v>
          </cell>
          <cell r="T44">
            <v>40.892000000000003</v>
          </cell>
          <cell r="V44">
            <v>84.509078000000002</v>
          </cell>
        </row>
        <row r="45">
          <cell r="C45">
            <v>45748</v>
          </cell>
          <cell r="D45">
            <v>39.592500000000001</v>
          </cell>
          <cell r="E45">
            <v>39.639906249999996</v>
          </cell>
          <cell r="F45">
            <v>39.564029891946362</v>
          </cell>
          <cell r="G45">
            <v>36.853124999999999</v>
          </cell>
          <cell r="H45">
            <v>40.73125000000001</v>
          </cell>
          <cell r="I45">
            <v>-2.8470108053639365E-2</v>
          </cell>
          <cell r="O45">
            <v>45292</v>
          </cell>
          <cell r="P45">
            <v>39.709444444444451</v>
          </cell>
          <cell r="S45">
            <v>37.042777777777786</v>
          </cell>
          <cell r="T45">
            <v>40.942777777777778</v>
          </cell>
          <cell r="V45">
            <v>69</v>
          </cell>
        </row>
        <row r="46">
          <cell r="O46">
            <v>45323</v>
          </cell>
          <cell r="P46">
            <v>39.867647058823522</v>
          </cell>
          <cell r="S46">
            <v>37.129411764705885</v>
          </cell>
          <cell r="T46">
            <v>41.032941176470587</v>
          </cell>
          <cell r="V46">
            <v>61.999997</v>
          </cell>
        </row>
        <row r="47">
          <cell r="O47">
            <v>45352</v>
          </cell>
          <cell r="P47">
            <v>39.781874999999999</v>
          </cell>
          <cell r="S47">
            <v>37.069375000000001</v>
          </cell>
          <cell r="T47">
            <v>40.969374999999999</v>
          </cell>
          <cell r="V47">
            <v>8.1818179999999998</v>
          </cell>
        </row>
        <row r="48">
          <cell r="O48">
            <v>45383</v>
          </cell>
          <cell r="P48">
            <v>39.541250000000005</v>
          </cell>
          <cell r="S48">
            <v>37.171874999999986</v>
          </cell>
          <cell r="T48">
            <v>41.085625</v>
          </cell>
          <cell r="V48">
            <v>56.5</v>
          </cell>
        </row>
        <row r="49">
          <cell r="O49">
            <v>45413</v>
          </cell>
          <cell r="P49">
            <v>39.560588235294119</v>
          </cell>
          <cell r="S49">
            <v>37.115294117647068</v>
          </cell>
          <cell r="T49">
            <v>41.018823529411769</v>
          </cell>
          <cell r="V49">
            <v>50.000000999999997</v>
          </cell>
        </row>
        <row r="50">
          <cell r="O50">
            <v>45444</v>
          </cell>
          <cell r="P50">
            <v>39.27428571428571</v>
          </cell>
          <cell r="S50">
            <v>37.138571428571424</v>
          </cell>
          <cell r="T50">
            <v>41.048571428571428</v>
          </cell>
          <cell r="V50">
            <v>59.999991999999999</v>
          </cell>
        </row>
        <row r="51">
          <cell r="O51">
            <v>45474</v>
          </cell>
          <cell r="P51">
            <v>39.581666666666671</v>
          </cell>
          <cell r="S51">
            <v>37.094444444444456</v>
          </cell>
          <cell r="T51">
            <v>40.995555555555555</v>
          </cell>
          <cell r="V51">
            <v>89.000004000000004</v>
          </cell>
        </row>
        <row r="52">
          <cell r="O52">
            <v>45505</v>
          </cell>
          <cell r="P52">
            <v>39.595882352941182</v>
          </cell>
          <cell r="S52">
            <v>36.969411764705875</v>
          </cell>
          <cell r="T52">
            <v>40.860588235294124</v>
          </cell>
          <cell r="V52">
            <v>27</v>
          </cell>
        </row>
        <row r="53">
          <cell r="O53">
            <v>45536</v>
          </cell>
          <cell r="P53">
            <v>39.571250000000006</v>
          </cell>
          <cell r="S53">
            <v>36.918749999999989</v>
          </cell>
          <cell r="T53">
            <v>40.801875000000003</v>
          </cell>
          <cell r="V53">
            <v>70.000000999999997</v>
          </cell>
        </row>
        <row r="54">
          <cell r="O54">
            <v>45566</v>
          </cell>
          <cell r="P54">
            <v>39.641578947368416</v>
          </cell>
          <cell r="S54">
            <v>37.04684210526316</v>
          </cell>
          <cell r="T54">
            <v>40.944210526315786</v>
          </cell>
          <cell r="V54">
            <v>0</v>
          </cell>
        </row>
        <row r="55">
          <cell r="O55">
            <v>45597</v>
          </cell>
          <cell r="P55">
            <v>39.795333333333339</v>
          </cell>
          <cell r="S55">
            <v>37.237333333333332</v>
          </cell>
          <cell r="T55">
            <v>41.155999999999992</v>
          </cell>
          <cell r="V55">
            <v>60</v>
          </cell>
        </row>
        <row r="56">
          <cell r="O56">
            <v>45627</v>
          </cell>
          <cell r="P56">
            <v>39.753529411764703</v>
          </cell>
          <cell r="S56">
            <v>37.349999999999987</v>
          </cell>
          <cell r="T56">
            <v>41.279411764705891</v>
          </cell>
          <cell r="V56">
            <v>68.5</v>
          </cell>
        </row>
        <row r="57">
          <cell r="O57">
            <v>45658</v>
          </cell>
          <cell r="P57">
            <v>39.744705882352939</v>
          </cell>
          <cell r="S57">
            <v>37.44</v>
          </cell>
          <cell r="T57">
            <v>41.381176470588244</v>
          </cell>
          <cell r="V57">
            <v>30</v>
          </cell>
        </row>
        <row r="58">
          <cell r="O58">
            <v>45689</v>
          </cell>
          <cell r="P58">
            <v>39.844374999999999</v>
          </cell>
          <cell r="S58">
            <v>37.400625000000005</v>
          </cell>
          <cell r="T58">
            <v>41.339999999999996</v>
          </cell>
          <cell r="V58">
            <v>44.999999000000003</v>
          </cell>
        </row>
        <row r="59">
          <cell r="O59">
            <v>45717</v>
          </cell>
          <cell r="P59">
            <v>39.735624999999992</v>
          </cell>
          <cell r="S59">
            <v>37.125624999999999</v>
          </cell>
          <cell r="T59">
            <v>41.031249999999986</v>
          </cell>
          <cell r="V59">
            <v>35</v>
          </cell>
        </row>
        <row r="60">
          <cell r="O60">
            <v>45748</v>
          </cell>
          <cell r="P60">
            <v>39.592500000000001</v>
          </cell>
          <cell r="S60">
            <v>36.853124999999999</v>
          </cell>
          <cell r="T60">
            <v>40.73125000000001</v>
          </cell>
          <cell r="V60">
            <v>34.999999000000003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9B0D-25BB-423B-A208-A3C6C1AB62B8}">
  <dimension ref="C10:J81"/>
  <sheetViews>
    <sheetView topLeftCell="A26" workbookViewId="0">
      <selection activeCell="G71" sqref="G71"/>
    </sheetView>
  </sheetViews>
  <sheetFormatPr baseColWidth="10" defaultRowHeight="14.25" x14ac:dyDescent="0.45"/>
  <cols>
    <col min="4" max="4" width="15.59765625" customWidth="1"/>
    <col min="5" max="5" width="17.46484375" bestFit="1" customWidth="1"/>
    <col min="6" max="6" width="17.46484375" customWidth="1"/>
  </cols>
  <sheetData>
    <row r="10" spans="3:10" ht="14.65" thickBot="1" x14ac:dyDescent="0.5"/>
    <row r="11" spans="3:10" ht="34.5" customHeight="1" thickBot="1" x14ac:dyDescent="0.5">
      <c r="C11" s="21"/>
      <c r="D11" s="22" t="s">
        <v>12</v>
      </c>
      <c r="E11" s="22" t="s">
        <v>26</v>
      </c>
      <c r="F11" s="22" t="s">
        <v>25</v>
      </c>
      <c r="G11" s="22" t="s">
        <v>15</v>
      </c>
      <c r="H11" s="22" t="s">
        <v>14</v>
      </c>
      <c r="I11" s="1"/>
      <c r="J11" s="1"/>
    </row>
    <row r="12" spans="3:10" x14ac:dyDescent="0.45">
      <c r="C12" s="2" t="s">
        <v>0</v>
      </c>
      <c r="D12" s="24">
        <f>7774+1950</f>
        <v>9724</v>
      </c>
      <c r="E12" s="24">
        <v>10460</v>
      </c>
      <c r="F12" s="24"/>
      <c r="G12" s="24">
        <v>9327</v>
      </c>
      <c r="H12" s="24">
        <v>2035.9504086255297</v>
      </c>
      <c r="I12" s="31"/>
    </row>
    <row r="13" spans="3:10" x14ac:dyDescent="0.45">
      <c r="C13" s="3" t="s">
        <v>1</v>
      </c>
      <c r="D13" s="7">
        <f>8479+2050+400</f>
        <v>10929</v>
      </c>
      <c r="E13" s="7">
        <v>9430</v>
      </c>
      <c r="F13" s="7"/>
      <c r="G13" s="7">
        <v>8559.8247385300001</v>
      </c>
      <c r="H13" s="7">
        <v>1059.9603494633459</v>
      </c>
      <c r="I13" s="31"/>
    </row>
    <row r="14" spans="3:10" x14ac:dyDescent="0.45">
      <c r="C14" s="3" t="s">
        <v>2</v>
      </c>
      <c r="D14" s="7">
        <f>9479+1650+400</f>
        <v>11529</v>
      </c>
      <c r="E14" s="7">
        <v>11960</v>
      </c>
      <c r="F14" s="7"/>
      <c r="G14" s="7">
        <v>6269.7415867400005</v>
      </c>
      <c r="H14" s="7">
        <v>-1289.3397439288963</v>
      </c>
      <c r="I14" s="31"/>
    </row>
    <row r="15" spans="3:10" x14ac:dyDescent="0.45">
      <c r="C15" s="3" t="s">
        <v>3</v>
      </c>
      <c r="D15" s="7">
        <f>9289.4+2600+400</f>
        <v>12289.4</v>
      </c>
      <c r="E15" s="7">
        <v>10580</v>
      </c>
      <c r="F15" s="7"/>
      <c r="G15" s="7">
        <v>9687.8347422499992</v>
      </c>
      <c r="H15" s="7">
        <v>2003.2018571033502</v>
      </c>
      <c r="I15" s="31"/>
    </row>
    <row r="16" spans="3:10" x14ac:dyDescent="0.45">
      <c r="C16" s="3" t="s">
        <v>4</v>
      </c>
      <c r="D16" s="7">
        <f>9413.68+2600+400</f>
        <v>12413.68</v>
      </c>
      <c r="E16" s="7">
        <v>12640</v>
      </c>
      <c r="F16" s="7"/>
      <c r="G16" s="7">
        <v>9492.4823468199993</v>
      </c>
      <c r="H16" s="7">
        <v>1613.9723468200004</v>
      </c>
      <c r="I16" s="31"/>
    </row>
    <row r="17" spans="3:9" x14ac:dyDescent="0.45">
      <c r="C17" s="3" t="s">
        <v>5</v>
      </c>
      <c r="D17" s="7">
        <f>9055.4+2600+400+500</f>
        <v>12555.4</v>
      </c>
      <c r="E17" s="7">
        <v>13382.3</v>
      </c>
      <c r="F17" s="7">
        <v>1900</v>
      </c>
      <c r="G17" s="7">
        <v>9112.1602041399983</v>
      </c>
      <c r="H17" s="7">
        <v>1109.1811205263175</v>
      </c>
      <c r="I17" s="31"/>
    </row>
    <row r="18" spans="3:9" x14ac:dyDescent="0.45">
      <c r="C18" s="3" t="s">
        <v>6</v>
      </c>
      <c r="D18" s="7">
        <f>8802.2+2100+400+500</f>
        <v>11802.2</v>
      </c>
      <c r="E18" s="7">
        <v>11410</v>
      </c>
      <c r="F18" s="34">
        <v>1680</v>
      </c>
      <c r="G18" s="7">
        <v>9956.0861055999994</v>
      </c>
      <c r="H18" s="7">
        <v>1961.8457196670536</v>
      </c>
      <c r="I18" s="31"/>
    </row>
    <row r="19" spans="3:9" x14ac:dyDescent="0.45">
      <c r="C19" s="3" t="s">
        <v>7</v>
      </c>
      <c r="D19" s="7">
        <f>8473.17+3400+400+500+1500</f>
        <v>14273.17</v>
      </c>
      <c r="E19" s="7">
        <v>9722</v>
      </c>
      <c r="F19" s="34">
        <v>3172</v>
      </c>
      <c r="G19" s="7">
        <v>13083.203082</v>
      </c>
      <c r="H19" s="7">
        <v>4729.3632732732458</v>
      </c>
      <c r="I19" s="31"/>
    </row>
    <row r="20" spans="3:9" x14ac:dyDescent="0.45">
      <c r="C20" s="3" t="s">
        <v>8</v>
      </c>
      <c r="D20" s="7">
        <f>8410.97+3200+2400</f>
        <v>14010.97</v>
      </c>
      <c r="E20" s="7">
        <v>13497</v>
      </c>
      <c r="F20" s="34">
        <v>4197</v>
      </c>
      <c r="G20" s="7">
        <v>9406.538151499999</v>
      </c>
      <c r="H20" s="7">
        <v>513.3713809059127</v>
      </c>
      <c r="I20" s="31"/>
    </row>
    <row r="21" spans="3:9" x14ac:dyDescent="0.45">
      <c r="C21" s="3" t="s">
        <v>9</v>
      </c>
      <c r="D21" s="7">
        <f>9241.77+2915+3900</f>
        <v>16056.77</v>
      </c>
      <c r="E21" s="7">
        <v>13500</v>
      </c>
      <c r="F21" s="34">
        <v>3600</v>
      </c>
      <c r="G21" s="7">
        <v>11279.234</v>
      </c>
      <c r="H21" s="7">
        <v>2025.5462870379506</v>
      </c>
      <c r="I21" s="31"/>
    </row>
    <row r="22" spans="3:9" x14ac:dyDescent="0.45">
      <c r="C22" s="3" t="s">
        <v>10</v>
      </c>
      <c r="D22" s="7">
        <f>8921+3315+3900</f>
        <v>16136</v>
      </c>
      <c r="E22" s="7">
        <v>13479</v>
      </c>
      <c r="F22" s="34">
        <v>3479.25</v>
      </c>
      <c r="G22" s="7">
        <v>12847.014635250001</v>
      </c>
      <c r="H22" s="7">
        <v>3637.6048670201944</v>
      </c>
      <c r="I22" s="31"/>
    </row>
    <row r="23" spans="3:9" x14ac:dyDescent="0.45">
      <c r="C23" s="3" t="s">
        <v>11</v>
      </c>
      <c r="D23" s="7">
        <v>16677</v>
      </c>
      <c r="E23" s="7">
        <v>16120</v>
      </c>
      <c r="F23" s="7">
        <v>6620</v>
      </c>
      <c r="G23" s="7"/>
      <c r="H23" s="7">
        <v>1439</v>
      </c>
      <c r="I23" s="31"/>
    </row>
    <row r="24" spans="3:9" x14ac:dyDescent="0.45">
      <c r="C24" s="3" t="s">
        <v>0</v>
      </c>
      <c r="D24" s="7">
        <v>16631</v>
      </c>
      <c r="E24" s="7">
        <v>13460</v>
      </c>
      <c r="F24" s="7"/>
      <c r="G24" s="7"/>
      <c r="H24" s="7">
        <v>4439</v>
      </c>
      <c r="I24" s="31"/>
    </row>
    <row r="25" spans="3:9" ht="14.65" thickBot="1" x14ac:dyDescent="0.5">
      <c r="C25" s="5" t="s">
        <v>1</v>
      </c>
      <c r="D25" s="30">
        <v>17630</v>
      </c>
      <c r="E25" s="30"/>
      <c r="F25" s="30"/>
      <c r="G25" s="30"/>
      <c r="H25" s="6"/>
    </row>
    <row r="28" spans="3:9" x14ac:dyDescent="0.45">
      <c r="D28" s="39"/>
    </row>
    <row r="31" spans="3:9" x14ac:dyDescent="0.45">
      <c r="D31" s="39"/>
    </row>
    <row r="45" spans="3:8" ht="14.65" thickBot="1" x14ac:dyDescent="0.5"/>
    <row r="46" spans="3:8" ht="28.9" thickBot="1" x14ac:dyDescent="0.5">
      <c r="C46" s="21"/>
      <c r="D46" s="22" t="s">
        <v>15</v>
      </c>
      <c r="E46" s="22" t="s">
        <v>13</v>
      </c>
      <c r="F46" s="22"/>
      <c r="G46" s="22" t="s">
        <v>14</v>
      </c>
      <c r="H46" s="23" t="s">
        <v>16</v>
      </c>
    </row>
    <row r="47" spans="3:8" x14ac:dyDescent="0.45">
      <c r="C47" s="2" t="s">
        <v>0</v>
      </c>
      <c r="D47" s="24">
        <v>9327</v>
      </c>
      <c r="E47" s="24">
        <f>2860+7600</f>
        <v>10460</v>
      </c>
      <c r="F47" s="24"/>
      <c r="G47" s="24">
        <v>2035.9504086255297</v>
      </c>
      <c r="H47" s="25">
        <v>7.59</v>
      </c>
    </row>
    <row r="48" spans="3:8" x14ac:dyDescent="0.45">
      <c r="C48" s="3" t="s">
        <v>1</v>
      </c>
      <c r="D48" s="7">
        <v>8559.8247385300001</v>
      </c>
      <c r="E48" s="7">
        <f>1400+8030</f>
        <v>9430</v>
      </c>
      <c r="F48" s="7"/>
      <c r="G48" s="7">
        <v>1059.9603494633459</v>
      </c>
      <c r="H48" s="4">
        <v>7.47</v>
      </c>
    </row>
    <row r="49" spans="3:8" x14ac:dyDescent="0.45">
      <c r="C49" s="3" t="s">
        <v>2</v>
      </c>
      <c r="D49" s="7">
        <v>6269.7415867400005</v>
      </c>
      <c r="E49" s="7">
        <f>2300+9660</f>
        <v>11960</v>
      </c>
      <c r="F49" s="7"/>
      <c r="G49" s="7">
        <v>-1289.3397439288963</v>
      </c>
      <c r="H49" s="4">
        <v>7.76</v>
      </c>
    </row>
    <row r="50" spans="3:8" x14ac:dyDescent="0.45">
      <c r="C50" s="3" t="s">
        <v>3</v>
      </c>
      <c r="D50" s="7">
        <v>9687.8347422499992</v>
      </c>
      <c r="E50" s="7">
        <f>2000+8580</f>
        <v>10580</v>
      </c>
      <c r="F50" s="7"/>
      <c r="G50" s="7">
        <v>2003.2018571033502</v>
      </c>
      <c r="H50" s="4">
        <v>7.83</v>
      </c>
    </row>
    <row r="51" spans="3:8" x14ac:dyDescent="0.45">
      <c r="C51" s="3" t="s">
        <v>4</v>
      </c>
      <c r="D51" s="7">
        <v>9492.4823468199993</v>
      </c>
      <c r="E51" s="7">
        <f>4910+7730</f>
        <v>12640</v>
      </c>
      <c r="F51" s="7"/>
      <c r="G51" s="7">
        <v>1613.9723468200004</v>
      </c>
      <c r="H51" s="4">
        <v>7.72</v>
      </c>
    </row>
    <row r="52" spans="3:8" x14ac:dyDescent="0.45">
      <c r="C52" s="3" t="s">
        <v>5</v>
      </c>
      <c r="D52" s="7">
        <v>9112.1602041399983</v>
      </c>
      <c r="E52" s="7">
        <f>3582.3+7900</f>
        <v>11482.3</v>
      </c>
      <c r="F52" s="7"/>
      <c r="G52" s="7">
        <v>1109.1811205263175</v>
      </c>
      <c r="H52" s="4">
        <v>7.75</v>
      </c>
    </row>
    <row r="53" spans="3:8" x14ac:dyDescent="0.45">
      <c r="C53" s="3" t="s">
        <v>6</v>
      </c>
      <c r="D53" s="7">
        <v>9956.0861055999994</v>
      </c>
      <c r="E53" s="7">
        <f>2450+7280</f>
        <v>9730</v>
      </c>
      <c r="F53" s="7"/>
      <c r="G53" s="7">
        <v>1961.8457196670536</v>
      </c>
      <c r="H53" s="4">
        <v>7.69</v>
      </c>
    </row>
    <row r="54" spans="3:8" x14ac:dyDescent="0.45">
      <c r="C54" s="3" t="s">
        <v>7</v>
      </c>
      <c r="D54" s="7">
        <v>13083.203082</v>
      </c>
      <c r="E54" s="7">
        <f>3000+3550</f>
        <v>6550</v>
      </c>
      <c r="F54" s="7"/>
      <c r="G54" s="7">
        <v>4729.3632732732458</v>
      </c>
      <c r="H54" s="4">
        <v>7.25</v>
      </c>
    </row>
    <row r="55" spans="3:8" x14ac:dyDescent="0.45">
      <c r="C55" s="3" t="s">
        <v>8</v>
      </c>
      <c r="D55" s="7">
        <v>9406.538151499999</v>
      </c>
      <c r="E55" s="7">
        <f>7500+1800</f>
        <v>9300</v>
      </c>
      <c r="F55" s="7"/>
      <c r="G55" s="7">
        <v>513.3713809059127</v>
      </c>
      <c r="H55" s="4">
        <v>6.58</v>
      </c>
    </row>
    <row r="56" spans="3:8" x14ac:dyDescent="0.45">
      <c r="C56" s="3" t="s">
        <v>9</v>
      </c>
      <c r="D56" s="7">
        <v>11279.234</v>
      </c>
      <c r="E56" s="7">
        <f>8000+1900</f>
        <v>9900</v>
      </c>
      <c r="F56" s="7"/>
      <c r="G56" s="7">
        <v>2025.5462870379506</v>
      </c>
      <c r="H56" s="4">
        <v>5.93</v>
      </c>
    </row>
    <row r="57" spans="3:8" x14ac:dyDescent="0.45">
      <c r="C57" s="3" t="s">
        <v>10</v>
      </c>
      <c r="D57" s="7">
        <v>12847.014635250001</v>
      </c>
      <c r="E57" s="7">
        <v>10000</v>
      </c>
      <c r="F57" s="7"/>
      <c r="G57" s="7">
        <v>3637.6048670201944</v>
      </c>
      <c r="H57" s="4">
        <v>6.39</v>
      </c>
    </row>
    <row r="58" spans="3:8" x14ac:dyDescent="0.45">
      <c r="C58" s="3" t="s">
        <v>11</v>
      </c>
      <c r="D58" s="7"/>
      <c r="E58" s="7"/>
      <c r="F58" s="7"/>
      <c r="G58" s="7"/>
      <c r="H58" s="4"/>
    </row>
    <row r="59" spans="3:8" ht="14.65" thickBot="1" x14ac:dyDescent="0.5">
      <c r="C59" s="5" t="s">
        <v>0</v>
      </c>
      <c r="D59" s="30"/>
      <c r="E59" s="30"/>
      <c r="F59" s="30"/>
      <c r="G59" s="30"/>
      <c r="H59" s="6"/>
    </row>
    <row r="66" spans="3:4" ht="14.65" thickBot="1" x14ac:dyDescent="0.5"/>
    <row r="67" spans="3:4" ht="26.65" customHeight="1" thickBot="1" x14ac:dyDescent="0.5">
      <c r="C67" s="127" t="s">
        <v>18</v>
      </c>
      <c r="D67" s="128"/>
    </row>
    <row r="68" spans="3:4" ht="28.9" thickBot="1" x14ac:dyDescent="0.5">
      <c r="C68" s="27" t="s">
        <v>19</v>
      </c>
      <c r="D68" s="28" t="s">
        <v>17</v>
      </c>
    </row>
    <row r="69" spans="3:4" x14ac:dyDescent="0.45">
      <c r="C69" s="2" t="s">
        <v>0</v>
      </c>
      <c r="D69" s="29"/>
    </row>
    <row r="70" spans="3:4" x14ac:dyDescent="0.45">
      <c r="C70" s="3" t="s">
        <v>1</v>
      </c>
      <c r="D70" s="8">
        <v>320</v>
      </c>
    </row>
    <row r="71" spans="3:4" x14ac:dyDescent="0.45">
      <c r="C71" s="3" t="s">
        <v>2</v>
      </c>
      <c r="D71" s="8">
        <v>5037</v>
      </c>
    </row>
    <row r="72" spans="3:4" x14ac:dyDescent="0.45">
      <c r="C72" s="3" t="s">
        <v>3</v>
      </c>
      <c r="D72" s="8">
        <v>5633</v>
      </c>
    </row>
    <row r="73" spans="3:4" x14ac:dyDescent="0.45">
      <c r="C73" s="3" t="s">
        <v>4</v>
      </c>
      <c r="D73" s="8">
        <v>3269.3</v>
      </c>
    </row>
    <row r="74" spans="3:4" x14ac:dyDescent="0.45">
      <c r="C74" s="3" t="s">
        <v>5</v>
      </c>
      <c r="D74" s="8">
        <v>5012.8</v>
      </c>
    </row>
    <row r="75" spans="3:4" x14ac:dyDescent="0.45">
      <c r="C75" s="3" t="s">
        <v>6</v>
      </c>
      <c r="D75" s="8">
        <v>8475.1</v>
      </c>
    </row>
    <row r="76" spans="3:4" x14ac:dyDescent="0.45">
      <c r="C76" s="3" t="s">
        <v>7</v>
      </c>
      <c r="D76" s="8">
        <v>5935.5</v>
      </c>
    </row>
    <row r="77" spans="3:4" x14ac:dyDescent="0.45">
      <c r="C77" s="3" t="s">
        <v>8</v>
      </c>
      <c r="D77" s="8">
        <v>5254.7</v>
      </c>
    </row>
    <row r="78" spans="3:4" x14ac:dyDescent="0.45">
      <c r="C78" s="3" t="s">
        <v>9</v>
      </c>
      <c r="D78" s="8">
        <v>3016.7</v>
      </c>
    </row>
    <row r="79" spans="3:4" x14ac:dyDescent="0.45">
      <c r="C79" s="3" t="s">
        <v>10</v>
      </c>
      <c r="D79" s="8">
        <v>660</v>
      </c>
    </row>
    <row r="80" spans="3:4" x14ac:dyDescent="0.45">
      <c r="C80" s="3" t="s">
        <v>11</v>
      </c>
      <c r="D80" s="8"/>
    </row>
    <row r="81" spans="3:4" ht="14.65" thickBot="1" x14ac:dyDescent="0.5">
      <c r="C81" s="5" t="s">
        <v>0</v>
      </c>
      <c r="D81" s="26"/>
    </row>
  </sheetData>
  <mergeCells count="1">
    <mergeCell ref="C67:D6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CC4B-5137-4C46-8D1E-24ADD15A00E0}">
  <dimension ref="A4:H187"/>
  <sheetViews>
    <sheetView workbookViewId="0">
      <pane xSplit="1" ySplit="5" topLeftCell="B132" activePane="bottomRight" state="frozen"/>
      <selection pane="topRight" activeCell="B1" sqref="B1"/>
      <selection pane="bottomLeft" activeCell="A6" sqref="A6"/>
      <selection pane="bottomRight" activeCell="E180" sqref="E180"/>
    </sheetView>
  </sheetViews>
  <sheetFormatPr baseColWidth="10" defaultRowHeight="14.25" x14ac:dyDescent="0.45"/>
  <cols>
    <col min="2" max="2" width="10.59765625" style="32"/>
  </cols>
  <sheetData>
    <row r="4" spans="1:6" ht="14.65" thickBot="1" x14ac:dyDescent="0.5"/>
    <row r="5" spans="1:6" s="1" customFormat="1" ht="28.9" thickBot="1" x14ac:dyDescent="0.5">
      <c r="A5" s="16" t="s">
        <v>20</v>
      </c>
      <c r="B5" s="33" t="s">
        <v>21</v>
      </c>
      <c r="C5" s="17" t="s">
        <v>22</v>
      </c>
      <c r="D5" s="17" t="s">
        <v>24</v>
      </c>
      <c r="E5" s="17" t="s">
        <v>42</v>
      </c>
      <c r="F5" s="18" t="s">
        <v>23</v>
      </c>
    </row>
    <row r="6" spans="1:6" s="1" customFormat="1" x14ac:dyDescent="0.45">
      <c r="A6" s="19">
        <v>45470</v>
      </c>
      <c r="B6" s="34">
        <v>1200</v>
      </c>
      <c r="C6" s="14"/>
      <c r="D6" s="14">
        <v>6732.3</v>
      </c>
      <c r="E6" s="14">
        <v>9578.8322083599996</v>
      </c>
      <c r="F6" s="15">
        <v>1575.8531247463172</v>
      </c>
    </row>
    <row r="7" spans="1:6" s="1" customFormat="1" x14ac:dyDescent="0.45">
      <c r="A7" s="19">
        <v>45471</v>
      </c>
      <c r="B7" s="34">
        <v>1900</v>
      </c>
      <c r="C7" s="14"/>
      <c r="D7" s="14">
        <v>6732.3</v>
      </c>
      <c r="E7" s="14">
        <v>9112.1602041399983</v>
      </c>
      <c r="F7" s="15">
        <v>1109.1811205263175</v>
      </c>
    </row>
    <row r="8" spans="1:6" s="1" customFormat="1" x14ac:dyDescent="0.45">
      <c r="A8" s="19">
        <v>45474</v>
      </c>
      <c r="B8" s="34">
        <v>550</v>
      </c>
      <c r="C8" s="14"/>
      <c r="D8" s="14">
        <v>6732.3</v>
      </c>
      <c r="E8" s="14">
        <v>9607.6007744899998</v>
      </c>
      <c r="F8" s="15">
        <v>1604.6216908763179</v>
      </c>
    </row>
    <row r="9" spans="1:6" s="1" customFormat="1" x14ac:dyDescent="0.45">
      <c r="A9" s="19">
        <v>45475</v>
      </c>
      <c r="B9" s="34">
        <v>800</v>
      </c>
      <c r="C9" s="14"/>
      <c r="D9" s="14">
        <v>6732.3</v>
      </c>
      <c r="E9" s="14">
        <v>9737.7048205799983</v>
      </c>
      <c r="F9" s="15">
        <v>1734.7257369663173</v>
      </c>
    </row>
    <row r="10" spans="1:6" s="1" customFormat="1" x14ac:dyDescent="0.45">
      <c r="A10" s="19">
        <v>45476</v>
      </c>
      <c r="B10" s="34">
        <v>700</v>
      </c>
      <c r="C10" s="14"/>
      <c r="D10" s="14">
        <v>6732.3</v>
      </c>
      <c r="E10" s="14">
        <v>9541.4308542500003</v>
      </c>
      <c r="F10" s="15">
        <v>1538.4517706363176</v>
      </c>
    </row>
    <row r="11" spans="1:6" s="1" customFormat="1" x14ac:dyDescent="0.45">
      <c r="A11" s="19">
        <v>45477</v>
      </c>
      <c r="B11" s="34">
        <v>800</v>
      </c>
      <c r="C11" s="14"/>
      <c r="D11" s="14">
        <f>3300+1800</f>
        <v>5100</v>
      </c>
      <c r="E11" s="14">
        <v>12557.629508780001</v>
      </c>
      <c r="F11" s="15">
        <v>4554.6504251663164</v>
      </c>
    </row>
    <row r="12" spans="1:6" s="1" customFormat="1" x14ac:dyDescent="0.45">
      <c r="A12" s="19">
        <v>45478</v>
      </c>
      <c r="B12" s="34">
        <v>500</v>
      </c>
      <c r="C12" s="14"/>
      <c r="D12" s="14">
        <v>5100</v>
      </c>
      <c r="E12" s="14">
        <v>12820.834404039997</v>
      </c>
      <c r="F12" s="15">
        <v>4817.855320426318</v>
      </c>
    </row>
    <row r="13" spans="1:6" s="1" customFormat="1" x14ac:dyDescent="0.45">
      <c r="A13" s="19">
        <v>45482</v>
      </c>
      <c r="B13" s="34">
        <v>900</v>
      </c>
      <c r="C13" s="14"/>
      <c r="D13" s="14">
        <v>5100</v>
      </c>
      <c r="E13" s="14">
        <v>9182.264177709998</v>
      </c>
      <c r="F13" s="15">
        <v>1188.0237917770539</v>
      </c>
    </row>
    <row r="14" spans="1:6" s="1" customFormat="1" x14ac:dyDescent="0.45">
      <c r="A14" s="19">
        <v>45484</v>
      </c>
      <c r="B14" s="34">
        <v>700</v>
      </c>
      <c r="C14" s="14"/>
      <c r="D14" s="14">
        <f>3000+6000</f>
        <v>9000</v>
      </c>
      <c r="E14" s="14">
        <v>10490.132846120003</v>
      </c>
      <c r="F14" s="15">
        <v>2495.892460187054</v>
      </c>
    </row>
    <row r="15" spans="1:6" s="1" customFormat="1" x14ac:dyDescent="0.45">
      <c r="A15" s="19">
        <v>45485</v>
      </c>
      <c r="B15" s="34">
        <v>1500</v>
      </c>
      <c r="C15" s="14"/>
      <c r="D15" s="14">
        <v>9000</v>
      </c>
      <c r="E15" s="14">
        <v>9712.6734549400007</v>
      </c>
      <c r="F15" s="15">
        <v>1718.433069007054</v>
      </c>
    </row>
    <row r="16" spans="1:6" s="1" customFormat="1" x14ac:dyDescent="0.45">
      <c r="A16" s="19">
        <v>45488</v>
      </c>
      <c r="B16" s="34">
        <v>1850</v>
      </c>
      <c r="C16" s="14"/>
      <c r="D16" s="14">
        <v>9000</v>
      </c>
      <c r="E16" s="14">
        <v>9343.2690129099992</v>
      </c>
      <c r="F16" s="15">
        <v>1349.0286269770529</v>
      </c>
    </row>
    <row r="17" spans="1:6" s="1" customFormat="1" x14ac:dyDescent="0.45">
      <c r="A17" s="19">
        <v>45489</v>
      </c>
      <c r="B17" s="34">
        <v>1999.7982456200002</v>
      </c>
      <c r="C17" s="14"/>
      <c r="D17" s="14">
        <v>9000</v>
      </c>
      <c r="E17" s="14">
        <v>9538.2066357000003</v>
      </c>
      <c r="F17" s="15">
        <v>1543.9662497670538</v>
      </c>
    </row>
    <row r="18" spans="1:6" s="1" customFormat="1" x14ac:dyDescent="0.45">
      <c r="A18" s="19">
        <v>45490</v>
      </c>
      <c r="B18" s="34">
        <v>850</v>
      </c>
      <c r="C18" s="14"/>
      <c r="D18" s="14">
        <v>9000</v>
      </c>
      <c r="E18" s="14">
        <v>9976.3976749299982</v>
      </c>
      <c r="F18" s="15">
        <v>1982.1572889970535</v>
      </c>
    </row>
    <row r="19" spans="1:6" s="1" customFormat="1" x14ac:dyDescent="0.45">
      <c r="A19" s="19">
        <v>45491</v>
      </c>
      <c r="B19" s="34">
        <v>1100</v>
      </c>
      <c r="C19" s="14"/>
      <c r="D19" s="14">
        <f>2100+4780</f>
        <v>6880</v>
      </c>
      <c r="E19" s="14">
        <v>8597.9641998000006</v>
      </c>
      <c r="F19" s="15">
        <v>603.72381386705388</v>
      </c>
    </row>
    <row r="20" spans="1:6" s="1" customFormat="1" x14ac:dyDescent="0.45">
      <c r="A20" s="19">
        <v>45495</v>
      </c>
      <c r="B20" s="34">
        <v>800</v>
      </c>
      <c r="C20" s="14"/>
      <c r="D20" s="14">
        <v>6880</v>
      </c>
      <c r="E20" s="14">
        <v>8340.5336460499984</v>
      </c>
      <c r="F20" s="15">
        <v>346.29326011705376</v>
      </c>
    </row>
    <row r="21" spans="1:6" s="1" customFormat="1" x14ac:dyDescent="0.45">
      <c r="A21" s="19">
        <v>45496</v>
      </c>
      <c r="B21" s="34">
        <v>1080</v>
      </c>
      <c r="C21" s="14"/>
      <c r="D21" s="14">
        <v>6880</v>
      </c>
      <c r="E21" s="14">
        <v>9583.9717658999998</v>
      </c>
      <c r="F21" s="15">
        <v>1589.7313799670533</v>
      </c>
    </row>
    <row r="22" spans="1:6" s="1" customFormat="1" x14ac:dyDescent="0.45">
      <c r="A22" s="19">
        <v>45497</v>
      </c>
      <c r="B22" s="34">
        <v>830</v>
      </c>
      <c r="C22" s="14"/>
      <c r="D22" s="14">
        <v>6880</v>
      </c>
      <c r="E22" s="14">
        <v>10814.810425560001</v>
      </c>
      <c r="F22" s="15">
        <v>2820.5700396270536</v>
      </c>
    </row>
    <row r="23" spans="1:6" s="1" customFormat="1" x14ac:dyDescent="0.45">
      <c r="A23" s="19">
        <v>45498</v>
      </c>
      <c r="B23" s="34">
        <v>1980</v>
      </c>
      <c r="C23" s="14"/>
      <c r="D23" s="14">
        <f>2600+2500</f>
        <v>5100</v>
      </c>
      <c r="E23" s="14">
        <v>9590.3654193800012</v>
      </c>
      <c r="F23" s="15">
        <v>1596.125033447054</v>
      </c>
    </row>
    <row r="24" spans="1:6" s="1" customFormat="1" x14ac:dyDescent="0.45">
      <c r="A24" s="19">
        <v>45499</v>
      </c>
      <c r="B24" s="34">
        <v>1080</v>
      </c>
      <c r="C24" s="14"/>
      <c r="D24" s="14">
        <v>5100</v>
      </c>
      <c r="E24" s="14">
        <v>10192.13353162</v>
      </c>
      <c r="F24" s="15">
        <v>2197.8931456870537</v>
      </c>
    </row>
    <row r="25" spans="1:6" s="1" customFormat="1" x14ac:dyDescent="0.45">
      <c r="A25" s="19">
        <v>45502</v>
      </c>
      <c r="B25" s="34">
        <v>1680</v>
      </c>
      <c r="C25" s="14"/>
      <c r="D25" s="14">
        <v>5100</v>
      </c>
      <c r="E25" s="14">
        <v>9893.900796220003</v>
      </c>
      <c r="F25" s="15">
        <v>1899.6604102870538</v>
      </c>
    </row>
    <row r="26" spans="1:6" s="1" customFormat="1" x14ac:dyDescent="0.45">
      <c r="A26" s="19">
        <v>45503</v>
      </c>
      <c r="B26" s="34">
        <v>1580</v>
      </c>
      <c r="C26" s="14"/>
      <c r="D26" s="14">
        <v>5100</v>
      </c>
      <c r="E26" s="14">
        <v>10269.064198309999</v>
      </c>
      <c r="F26" s="15">
        <v>2274.8238123770534</v>
      </c>
    </row>
    <row r="27" spans="1:6" s="1" customFormat="1" x14ac:dyDescent="0.45">
      <c r="A27" s="19">
        <v>45504</v>
      </c>
      <c r="B27" s="34">
        <v>1680</v>
      </c>
      <c r="C27" s="14"/>
      <c r="D27" s="14">
        <v>5100</v>
      </c>
      <c r="E27" s="14">
        <v>9956.0861055999994</v>
      </c>
      <c r="F27" s="15">
        <v>1961.8457196670536</v>
      </c>
    </row>
    <row r="28" spans="1:6" s="1" customFormat="1" x14ac:dyDescent="0.45">
      <c r="A28" s="19">
        <v>45505</v>
      </c>
      <c r="B28" s="34">
        <v>1330</v>
      </c>
      <c r="C28" s="14"/>
      <c r="D28" s="14">
        <f>2500+5280</f>
        <v>7780</v>
      </c>
      <c r="E28" s="14">
        <v>7586.4048478899995</v>
      </c>
      <c r="F28" s="15">
        <v>-407.83553804294644</v>
      </c>
    </row>
    <row r="29" spans="1:6" s="1" customFormat="1" x14ac:dyDescent="0.45">
      <c r="A29" s="19">
        <v>45509</v>
      </c>
      <c r="B29" s="34">
        <v>2280</v>
      </c>
      <c r="C29" s="14"/>
      <c r="D29" s="14">
        <v>7780</v>
      </c>
      <c r="E29" s="14">
        <v>6940.910152559999</v>
      </c>
      <c r="F29" s="15">
        <v>-1412.9296561667538</v>
      </c>
    </row>
    <row r="30" spans="1:6" s="1" customFormat="1" x14ac:dyDescent="0.45">
      <c r="A30" s="19">
        <v>45510</v>
      </c>
      <c r="B30" s="34">
        <v>1330</v>
      </c>
      <c r="C30" s="14"/>
      <c r="D30" s="14">
        <v>7780</v>
      </c>
      <c r="E30" s="14">
        <v>8169.2771068999991</v>
      </c>
      <c r="F30" s="15">
        <v>-184.56270182675388</v>
      </c>
    </row>
    <row r="31" spans="1:6" s="1" customFormat="1" x14ac:dyDescent="0.45">
      <c r="A31" s="19">
        <v>45511</v>
      </c>
      <c r="B31" s="34">
        <v>1030</v>
      </c>
      <c r="C31" s="14"/>
      <c r="D31" s="14">
        <v>7780</v>
      </c>
      <c r="E31" s="14">
        <v>8413.9096315799998</v>
      </c>
      <c r="F31" s="15">
        <v>60.069822853246194</v>
      </c>
    </row>
    <row r="32" spans="1:6" s="1" customFormat="1" x14ac:dyDescent="0.45">
      <c r="A32" s="19">
        <v>45512</v>
      </c>
      <c r="B32" s="34">
        <v>2230</v>
      </c>
      <c r="C32" s="14"/>
      <c r="D32" s="14">
        <f>1000+4500</f>
        <v>5500</v>
      </c>
      <c r="E32" s="14">
        <v>8675.5328997899996</v>
      </c>
      <c r="F32" s="15">
        <v>321.69309106324596</v>
      </c>
    </row>
    <row r="33" spans="1:6" s="1" customFormat="1" x14ac:dyDescent="0.45">
      <c r="A33" s="19">
        <v>45513</v>
      </c>
      <c r="B33" s="34">
        <v>2775</v>
      </c>
      <c r="C33" s="14"/>
      <c r="D33" s="14">
        <v>5500</v>
      </c>
      <c r="E33" s="14">
        <v>8461.388259020001</v>
      </c>
      <c r="F33" s="15">
        <v>107.54845029324625</v>
      </c>
    </row>
    <row r="34" spans="1:6" s="1" customFormat="1" x14ac:dyDescent="0.45">
      <c r="A34" s="19">
        <v>45516</v>
      </c>
      <c r="B34" s="34">
        <v>2970</v>
      </c>
      <c r="C34" s="14"/>
      <c r="D34" s="14">
        <v>5500</v>
      </c>
      <c r="E34" s="14">
        <v>8202.2584836000005</v>
      </c>
      <c r="F34" s="15">
        <v>-151.581325126754</v>
      </c>
    </row>
    <row r="35" spans="1:6" s="1" customFormat="1" x14ac:dyDescent="0.45">
      <c r="A35" s="19">
        <v>45518</v>
      </c>
      <c r="B35" s="34">
        <v>2800</v>
      </c>
      <c r="C35" s="14"/>
      <c r="D35" s="14">
        <v>5500</v>
      </c>
      <c r="E35" s="14">
        <v>9735.5216783200012</v>
      </c>
      <c r="F35" s="15">
        <v>1381.6818695932463</v>
      </c>
    </row>
    <row r="36" spans="1:6" s="1" customFormat="1" x14ac:dyDescent="0.45">
      <c r="A36" s="19">
        <v>45519</v>
      </c>
      <c r="B36" s="34">
        <v>3300</v>
      </c>
      <c r="C36" s="14"/>
      <c r="D36" s="14">
        <f>1000+5280</f>
        <v>6280</v>
      </c>
      <c r="E36" s="14">
        <v>9118.2816085200011</v>
      </c>
      <c r="F36" s="15">
        <v>764.44179979324633</v>
      </c>
    </row>
    <row r="37" spans="1:6" s="1" customFormat="1" x14ac:dyDescent="0.45">
      <c r="A37" s="19">
        <v>45520</v>
      </c>
      <c r="B37" s="34">
        <v>2470</v>
      </c>
      <c r="C37" s="14"/>
      <c r="D37" s="14">
        <v>6280</v>
      </c>
      <c r="E37" s="14">
        <v>10318.971720630001</v>
      </c>
      <c r="F37" s="15">
        <v>1965.1319119032455</v>
      </c>
    </row>
    <row r="38" spans="1:6" s="1" customFormat="1" x14ac:dyDescent="0.45">
      <c r="A38" s="19">
        <v>45523</v>
      </c>
      <c r="B38" s="34">
        <v>4950</v>
      </c>
      <c r="C38" s="14"/>
      <c r="D38" s="14">
        <v>6280</v>
      </c>
      <c r="E38" s="14">
        <v>7900.3115198099986</v>
      </c>
      <c r="F38" s="15">
        <v>-453.52828891675398</v>
      </c>
    </row>
    <row r="39" spans="1:6" s="1" customFormat="1" x14ac:dyDescent="0.45">
      <c r="A39" s="19">
        <v>45524</v>
      </c>
      <c r="B39" s="34">
        <v>4980</v>
      </c>
      <c r="C39" s="14"/>
      <c r="D39" s="14">
        <v>6280</v>
      </c>
      <c r="E39" s="14">
        <v>7608.972541000001</v>
      </c>
      <c r="F39" s="15">
        <v>-744.86726772675388</v>
      </c>
    </row>
    <row r="40" spans="1:6" s="1" customFormat="1" x14ac:dyDescent="0.45">
      <c r="A40" s="19">
        <v>45525</v>
      </c>
      <c r="B40" s="34">
        <v>3570</v>
      </c>
      <c r="C40" s="14"/>
      <c r="D40" s="14">
        <v>6280</v>
      </c>
      <c r="E40" s="14">
        <v>7918.8890922700002</v>
      </c>
      <c r="F40" s="15">
        <v>-434.95071645675415</v>
      </c>
    </row>
    <row r="41" spans="1:6" s="1" customFormat="1" x14ac:dyDescent="0.45">
      <c r="A41" s="19">
        <v>45526</v>
      </c>
      <c r="B41" s="34">
        <v>3350</v>
      </c>
      <c r="C41" s="14"/>
      <c r="D41" s="14">
        <f>1000+3550</f>
        <v>4550</v>
      </c>
      <c r="E41" s="14">
        <v>9272.4185832099993</v>
      </c>
      <c r="F41" s="15">
        <v>918.57877448324575</v>
      </c>
    </row>
    <row r="42" spans="1:6" s="1" customFormat="1" x14ac:dyDescent="0.45">
      <c r="A42" s="19">
        <v>45527</v>
      </c>
      <c r="B42" s="34">
        <v>3000</v>
      </c>
      <c r="C42" s="14"/>
      <c r="D42" s="14">
        <v>4550</v>
      </c>
      <c r="E42" s="14">
        <v>10240.69711956</v>
      </c>
      <c r="F42" s="15">
        <v>1886.8573108332469</v>
      </c>
    </row>
    <row r="43" spans="1:6" s="1" customFormat="1" x14ac:dyDescent="0.45">
      <c r="A43" s="19">
        <v>45530</v>
      </c>
      <c r="B43" s="34">
        <v>4400</v>
      </c>
      <c r="C43" s="14"/>
      <c r="D43" s="14">
        <v>4550</v>
      </c>
      <c r="E43" s="14">
        <v>9569.1127342300024</v>
      </c>
      <c r="F43" s="15">
        <v>1215.2729255032459</v>
      </c>
    </row>
    <row r="44" spans="1:6" s="1" customFormat="1" x14ac:dyDescent="0.45">
      <c r="A44" s="19">
        <v>45531</v>
      </c>
      <c r="B44" s="34">
        <v>4500</v>
      </c>
      <c r="C44" s="14"/>
      <c r="D44" s="14">
        <v>4550</v>
      </c>
      <c r="E44" s="14">
        <v>9738.1958949399996</v>
      </c>
      <c r="F44" s="15">
        <v>1384.3560862132458</v>
      </c>
    </row>
    <row r="45" spans="1:6" s="1" customFormat="1" x14ac:dyDescent="0.45">
      <c r="A45" s="19">
        <v>45532</v>
      </c>
      <c r="B45" s="34">
        <v>4915</v>
      </c>
      <c r="C45" s="14"/>
      <c r="D45" s="14">
        <v>4550</v>
      </c>
      <c r="E45" s="14">
        <v>9636.8300115599995</v>
      </c>
      <c r="F45" s="15">
        <v>1282.9902028332456</v>
      </c>
    </row>
    <row r="46" spans="1:6" s="1" customFormat="1" x14ac:dyDescent="0.45">
      <c r="A46" s="19">
        <v>45533</v>
      </c>
      <c r="B46" s="34">
        <v>3070</v>
      </c>
      <c r="C46" s="14"/>
      <c r="D46" s="14">
        <v>4550</v>
      </c>
      <c r="E46" s="14">
        <v>13408.441855489998</v>
      </c>
      <c r="F46" s="15">
        <v>5054.6020467632461</v>
      </c>
    </row>
    <row r="47" spans="1:6" s="1" customFormat="1" x14ac:dyDescent="0.45">
      <c r="A47" s="19">
        <v>45534</v>
      </c>
      <c r="B47" s="34">
        <v>3172</v>
      </c>
      <c r="C47" s="14"/>
      <c r="D47" s="14">
        <f>3100+400</f>
        <v>3500</v>
      </c>
      <c r="E47" s="14">
        <v>13083.203082</v>
      </c>
      <c r="F47" s="15">
        <v>4729.3632732732458</v>
      </c>
    </row>
    <row r="48" spans="1:6" s="1" customFormat="1" x14ac:dyDescent="0.45">
      <c r="A48" s="19">
        <v>45537</v>
      </c>
      <c r="B48" s="34">
        <v>3280</v>
      </c>
      <c r="C48" s="14"/>
      <c r="D48" s="14">
        <v>3500</v>
      </c>
      <c r="E48" s="14">
        <v>12925.455328540003</v>
      </c>
      <c r="F48" s="15">
        <v>4675.1504320500499</v>
      </c>
    </row>
    <row r="49" spans="1:6" s="1" customFormat="1" x14ac:dyDescent="0.45">
      <c r="A49" s="19">
        <v>45538</v>
      </c>
      <c r="B49" s="34">
        <v>3008</v>
      </c>
      <c r="C49" s="14"/>
      <c r="D49" s="14">
        <v>3500</v>
      </c>
      <c r="E49" s="14">
        <v>13443.981810230003</v>
      </c>
      <c r="F49" s="15">
        <v>5193.6769137400524</v>
      </c>
    </row>
    <row r="50" spans="1:6" s="1" customFormat="1" x14ac:dyDescent="0.45">
      <c r="A50" s="19">
        <v>45539</v>
      </c>
      <c r="B50" s="34">
        <v>3002</v>
      </c>
      <c r="C50" s="14"/>
      <c r="D50" s="14">
        <v>3500</v>
      </c>
      <c r="E50" s="14">
        <v>12315.844773530001</v>
      </c>
      <c r="F50" s="15">
        <v>4065.5398770400511</v>
      </c>
    </row>
    <row r="51" spans="1:6" s="1" customFormat="1" x14ac:dyDescent="0.45">
      <c r="A51" s="19">
        <v>45540</v>
      </c>
      <c r="B51" s="34">
        <v>2506</v>
      </c>
      <c r="C51" s="14"/>
      <c r="D51" s="14">
        <f>5000+2200</f>
        <v>7200</v>
      </c>
      <c r="E51" s="14">
        <v>11781.60526348</v>
      </c>
      <c r="F51" s="15">
        <v>3531.3003669900513</v>
      </c>
    </row>
    <row r="52" spans="1:6" s="1" customFormat="1" x14ac:dyDescent="0.45">
      <c r="A52" s="19">
        <v>45541</v>
      </c>
      <c r="B52" s="34">
        <v>2250</v>
      </c>
      <c r="C52" s="14"/>
      <c r="D52" s="14">
        <v>7200</v>
      </c>
      <c r="E52" s="14">
        <v>10424.223774709999</v>
      </c>
      <c r="F52" s="15">
        <v>2173.9188782200508</v>
      </c>
    </row>
    <row r="53" spans="1:6" s="1" customFormat="1" x14ac:dyDescent="0.45">
      <c r="A53" s="19">
        <v>45544</v>
      </c>
      <c r="B53" s="34">
        <v>2651</v>
      </c>
      <c r="C53" s="14"/>
      <c r="D53" s="14">
        <v>7200</v>
      </c>
      <c r="E53" s="14">
        <v>9972.0656040199974</v>
      </c>
      <c r="F53" s="15">
        <v>1721.7607075300509</v>
      </c>
    </row>
    <row r="54" spans="1:6" s="1" customFormat="1" x14ac:dyDescent="0.45">
      <c r="A54" s="19">
        <v>45545</v>
      </c>
      <c r="B54" s="34">
        <v>2958</v>
      </c>
      <c r="C54" s="14"/>
      <c r="D54" s="14">
        <v>7200</v>
      </c>
      <c r="E54" s="14">
        <v>9825.060852139999</v>
      </c>
      <c r="F54" s="15">
        <v>1574.7559556500505</v>
      </c>
    </row>
    <row r="55" spans="1:6" s="1" customFormat="1" x14ac:dyDescent="0.45">
      <c r="A55" s="19">
        <v>45546</v>
      </c>
      <c r="B55" s="34">
        <v>2745.3939999999998</v>
      </c>
      <c r="C55" s="14"/>
      <c r="D55" s="14">
        <v>7200</v>
      </c>
      <c r="E55" s="14">
        <v>9722.3236563499995</v>
      </c>
      <c r="F55" s="15">
        <v>1472.0187598600512</v>
      </c>
    </row>
    <row r="56" spans="1:6" s="1" customFormat="1" x14ac:dyDescent="0.45">
      <c r="A56" s="19">
        <v>45547</v>
      </c>
      <c r="B56" s="34">
        <v>2432</v>
      </c>
      <c r="C56" s="14"/>
      <c r="D56" s="14">
        <f>2400+6100</f>
        <v>8500</v>
      </c>
      <c r="E56" s="14">
        <v>11408.68239751</v>
      </c>
      <c r="F56" s="15">
        <v>3158.3775010200507</v>
      </c>
    </row>
    <row r="57" spans="1:6" s="1" customFormat="1" x14ac:dyDescent="0.45">
      <c r="A57" s="19">
        <v>45548</v>
      </c>
      <c r="B57" s="34">
        <v>4784</v>
      </c>
      <c r="C57" s="14"/>
      <c r="D57" s="14">
        <v>8500</v>
      </c>
      <c r="E57" s="14">
        <v>9149.1406692500004</v>
      </c>
      <c r="F57" s="15">
        <v>898.83577276005099</v>
      </c>
    </row>
    <row r="58" spans="1:6" s="1" customFormat="1" x14ac:dyDescent="0.45">
      <c r="A58" s="19">
        <v>45552</v>
      </c>
      <c r="B58" s="34">
        <v>2444</v>
      </c>
      <c r="C58" s="14"/>
      <c r="D58" s="14">
        <v>8500</v>
      </c>
      <c r="E58" s="14">
        <v>10671.510864889999</v>
      </c>
      <c r="F58" s="15">
        <v>2421.2059684000519</v>
      </c>
    </row>
    <row r="59" spans="1:6" s="1" customFormat="1" x14ac:dyDescent="0.45">
      <c r="A59" s="19">
        <v>45553</v>
      </c>
      <c r="B59" s="34">
        <v>2046</v>
      </c>
      <c r="C59" s="14"/>
      <c r="D59" s="14">
        <v>8500</v>
      </c>
      <c r="E59" s="14">
        <v>11178.8396144</v>
      </c>
      <c r="F59" s="15">
        <v>2928.5347179100518</v>
      </c>
    </row>
    <row r="60" spans="1:6" s="1" customFormat="1" x14ac:dyDescent="0.45">
      <c r="A60" s="19">
        <v>45554</v>
      </c>
      <c r="B60" s="34">
        <v>2148</v>
      </c>
      <c r="C60" s="14"/>
      <c r="D60" s="14">
        <f>1800+7500</f>
        <v>9300</v>
      </c>
      <c r="E60" s="14">
        <v>9753.7081025200005</v>
      </c>
      <c r="F60" s="15">
        <v>1503.403206030051</v>
      </c>
    </row>
    <row r="61" spans="1:6" s="1" customFormat="1" x14ac:dyDescent="0.45">
      <c r="A61" s="19">
        <v>45555</v>
      </c>
      <c r="B61" s="34">
        <v>2244</v>
      </c>
      <c r="C61" s="14"/>
      <c r="D61" s="14">
        <v>9300</v>
      </c>
      <c r="E61" s="14">
        <v>9582.1409513600011</v>
      </c>
      <c r="F61" s="15">
        <v>1331.8360548700512</v>
      </c>
    </row>
    <row r="62" spans="1:6" s="1" customFormat="1" x14ac:dyDescent="0.45">
      <c r="A62" s="19">
        <v>45558</v>
      </c>
      <c r="B62" s="34">
        <v>3306</v>
      </c>
      <c r="C62" s="14"/>
      <c r="D62" s="14">
        <v>9300</v>
      </c>
      <c r="E62" s="14">
        <v>8444.8356720700012</v>
      </c>
      <c r="F62" s="15">
        <v>194.53077558005145</v>
      </c>
    </row>
    <row r="63" spans="1:6" s="1" customFormat="1" x14ac:dyDescent="0.45">
      <c r="A63" s="19">
        <v>45559</v>
      </c>
      <c r="B63" s="34">
        <v>3201</v>
      </c>
      <c r="C63" s="14"/>
      <c r="D63" s="14">
        <v>9300</v>
      </c>
      <c r="E63" s="14">
        <v>10231.961827890002</v>
      </c>
      <c r="F63" s="15">
        <v>1981.6569314000515</v>
      </c>
    </row>
    <row r="64" spans="1:6" s="1" customFormat="1" x14ac:dyDescent="0.45">
      <c r="A64" s="19">
        <v>45560</v>
      </c>
      <c r="B64" s="34">
        <v>3355</v>
      </c>
      <c r="C64" s="14"/>
      <c r="D64" s="14">
        <v>9300</v>
      </c>
      <c r="E64" s="14">
        <v>10448.923128500002</v>
      </c>
      <c r="F64" s="15">
        <v>2198.6182320100511</v>
      </c>
    </row>
    <row r="65" spans="1:6" s="1" customFormat="1" x14ac:dyDescent="0.45">
      <c r="A65" s="19">
        <v>45561</v>
      </c>
      <c r="B65" s="34">
        <v>3151</v>
      </c>
      <c r="C65" s="14"/>
      <c r="D65" s="14">
        <v>9300</v>
      </c>
      <c r="E65" s="14">
        <v>11331.254289910001</v>
      </c>
      <c r="F65" s="15">
        <v>3080.9493934200509</v>
      </c>
    </row>
    <row r="66" spans="1:6" s="1" customFormat="1" x14ac:dyDescent="0.45">
      <c r="A66" s="19">
        <v>45562</v>
      </c>
      <c r="B66" s="34">
        <v>3829</v>
      </c>
      <c r="C66" s="14"/>
      <c r="D66" s="14">
        <v>9300</v>
      </c>
      <c r="E66" s="14">
        <v>10508.720000000003</v>
      </c>
      <c r="F66" s="15">
        <v>2258.4151035100508</v>
      </c>
    </row>
    <row r="67" spans="1:6" s="1" customFormat="1" x14ac:dyDescent="0.45">
      <c r="A67" s="19">
        <v>45565</v>
      </c>
      <c r="B67" s="34">
        <v>4197</v>
      </c>
      <c r="C67" s="14"/>
      <c r="D67" s="14">
        <v>9300</v>
      </c>
      <c r="E67" s="14">
        <v>9406.538151499999</v>
      </c>
      <c r="F67" s="15">
        <v>513.3713809059127</v>
      </c>
    </row>
    <row r="68" spans="1:6" s="1" customFormat="1" x14ac:dyDescent="0.45">
      <c r="A68" s="19">
        <v>45566</v>
      </c>
      <c r="B68" s="34">
        <v>3201</v>
      </c>
      <c r="C68" s="14"/>
      <c r="D68" s="14">
        <v>9300</v>
      </c>
      <c r="E68" s="14">
        <v>10403.175623390001</v>
      </c>
      <c r="F68" s="15">
        <v>1510.0088527959124</v>
      </c>
    </row>
    <row r="69" spans="1:6" s="1" customFormat="1" x14ac:dyDescent="0.45">
      <c r="A69" s="19">
        <v>45567</v>
      </c>
      <c r="B69" s="34">
        <v>2175</v>
      </c>
      <c r="C69" s="14"/>
      <c r="D69" s="14">
        <v>9300</v>
      </c>
      <c r="E69" s="14">
        <v>11517.305664580001</v>
      </c>
      <c r="F69" s="15">
        <v>2624.1388939859125</v>
      </c>
    </row>
    <row r="70" spans="1:6" s="1" customFormat="1" x14ac:dyDescent="0.45">
      <c r="A70" s="19">
        <v>45568</v>
      </c>
      <c r="B70" s="34">
        <v>4354</v>
      </c>
      <c r="C70" s="14"/>
      <c r="D70" s="14">
        <f>1000+6000</f>
        <v>7000</v>
      </c>
      <c r="E70" s="14">
        <v>11381.981557880001</v>
      </c>
      <c r="F70" s="15">
        <v>2488.8147872859131</v>
      </c>
    </row>
    <row r="71" spans="1:6" s="1" customFormat="1" x14ac:dyDescent="0.45">
      <c r="A71" s="19">
        <v>45569</v>
      </c>
      <c r="B71" s="34">
        <v>2862</v>
      </c>
      <c r="C71" s="14"/>
      <c r="D71" s="14">
        <v>7000</v>
      </c>
      <c r="E71" s="14">
        <v>13009.325999999997</v>
      </c>
      <c r="F71" s="15">
        <v>4116.1592294059119</v>
      </c>
    </row>
    <row r="72" spans="1:6" s="1" customFormat="1" x14ac:dyDescent="0.45">
      <c r="A72" s="19">
        <v>45572</v>
      </c>
      <c r="B72" s="34">
        <v>3532</v>
      </c>
      <c r="C72" s="14"/>
      <c r="D72" s="14">
        <v>7000</v>
      </c>
      <c r="E72" s="14">
        <v>11888.418999999998</v>
      </c>
      <c r="F72" s="15">
        <v>2995.2522294059117</v>
      </c>
    </row>
    <row r="73" spans="1:6" s="1" customFormat="1" x14ac:dyDescent="0.45">
      <c r="A73" s="19">
        <v>45573</v>
      </c>
      <c r="B73" s="34">
        <v>3643</v>
      </c>
      <c r="C73" s="14"/>
      <c r="D73" s="14">
        <v>7000</v>
      </c>
      <c r="E73" s="14">
        <v>12269.119999999999</v>
      </c>
      <c r="F73" s="15">
        <v>3375.9532294059122</v>
      </c>
    </row>
    <row r="74" spans="1:6" s="1" customFormat="1" x14ac:dyDescent="0.45">
      <c r="A74" s="19">
        <v>45574</v>
      </c>
      <c r="B74" s="34">
        <v>3952</v>
      </c>
      <c r="C74" s="14"/>
      <c r="D74" s="14">
        <v>7000</v>
      </c>
      <c r="E74" s="14">
        <v>12259.36425533</v>
      </c>
      <c r="F74" s="15">
        <v>3366.197484735912</v>
      </c>
    </row>
    <row r="75" spans="1:6" s="1" customFormat="1" x14ac:dyDescent="0.45">
      <c r="A75" s="19">
        <v>45575</v>
      </c>
      <c r="B75" s="34">
        <v>2928</v>
      </c>
      <c r="C75" s="14"/>
      <c r="D75" s="14">
        <f>1000+8000</f>
        <v>9000</v>
      </c>
      <c r="E75" s="14">
        <v>10833.96079728</v>
      </c>
      <c r="F75" s="15">
        <v>1940.7940266859127</v>
      </c>
    </row>
    <row r="76" spans="1:6" s="1" customFormat="1" x14ac:dyDescent="0.45">
      <c r="A76" s="19">
        <v>45576</v>
      </c>
      <c r="B76" s="34">
        <v>3167</v>
      </c>
      <c r="C76" s="14"/>
      <c r="D76" s="14">
        <v>9000</v>
      </c>
      <c r="E76" s="14">
        <v>10840.327977410003</v>
      </c>
      <c r="F76" s="15">
        <v>1947.1612068159125</v>
      </c>
    </row>
    <row r="77" spans="1:6" s="1" customFormat="1" x14ac:dyDescent="0.45">
      <c r="A77" s="19">
        <v>45579</v>
      </c>
      <c r="B77" s="34">
        <v>4002</v>
      </c>
      <c r="C77" s="14"/>
      <c r="D77" s="14">
        <v>9000</v>
      </c>
      <c r="E77" s="14">
        <v>10379.09964251</v>
      </c>
      <c r="F77" s="15">
        <v>1485.9328719159125</v>
      </c>
    </row>
    <row r="78" spans="1:6" s="1" customFormat="1" x14ac:dyDescent="0.45">
      <c r="A78" s="19">
        <v>45580</v>
      </c>
      <c r="B78" s="34">
        <v>3456</v>
      </c>
      <c r="C78" s="14"/>
      <c r="D78" s="14">
        <v>9000</v>
      </c>
      <c r="E78" s="14">
        <v>10720.855401690002</v>
      </c>
      <c r="F78" s="15">
        <v>1827.6886310959126</v>
      </c>
    </row>
    <row r="79" spans="1:6" s="1" customFormat="1" x14ac:dyDescent="0.45">
      <c r="A79" s="19">
        <v>45581</v>
      </c>
      <c r="B79" s="34">
        <v>3380</v>
      </c>
      <c r="C79" s="14"/>
      <c r="D79" s="14">
        <v>9000</v>
      </c>
      <c r="E79" s="14">
        <v>10560.5390477</v>
      </c>
      <c r="F79" s="15">
        <v>1667.372277105912</v>
      </c>
    </row>
    <row r="80" spans="1:6" s="1" customFormat="1" x14ac:dyDescent="0.45">
      <c r="A80" s="19">
        <v>45582</v>
      </c>
      <c r="B80" s="34">
        <v>4075</v>
      </c>
      <c r="C80" s="14"/>
      <c r="D80" s="14">
        <f>1200+6000</f>
        <v>7200</v>
      </c>
      <c r="E80" s="14">
        <v>10482.740249549999</v>
      </c>
      <c r="F80" s="15">
        <v>1589.5734789559126</v>
      </c>
    </row>
    <row r="81" spans="1:6" s="1" customFormat="1" x14ac:dyDescent="0.45">
      <c r="A81" s="19">
        <v>45583</v>
      </c>
      <c r="B81" s="34">
        <v>3178</v>
      </c>
      <c r="C81" s="14"/>
      <c r="D81" s="14">
        <v>7200</v>
      </c>
      <c r="E81" s="14">
        <v>10870.467196309999</v>
      </c>
      <c r="F81" s="15">
        <v>1977.3004257159123</v>
      </c>
    </row>
    <row r="82" spans="1:6" s="1" customFormat="1" x14ac:dyDescent="0.45">
      <c r="A82" s="19">
        <v>45586</v>
      </c>
      <c r="B82" s="34">
        <v>4110</v>
      </c>
      <c r="C82" s="14"/>
      <c r="D82" s="14">
        <v>7200</v>
      </c>
      <c r="E82" s="14">
        <v>10702.640463149999</v>
      </c>
      <c r="F82" s="15">
        <v>1809.4736925559123</v>
      </c>
    </row>
    <row r="83" spans="1:6" s="1" customFormat="1" x14ac:dyDescent="0.45">
      <c r="A83" s="19">
        <v>45587</v>
      </c>
      <c r="B83" s="34">
        <v>4220</v>
      </c>
      <c r="C83" s="14"/>
      <c r="D83" s="14">
        <v>7200</v>
      </c>
      <c r="E83" s="14">
        <v>10965.130106479999</v>
      </c>
      <c r="F83" s="15">
        <v>2071.9633358859128</v>
      </c>
    </row>
    <row r="84" spans="1:6" s="1" customFormat="1" x14ac:dyDescent="0.45">
      <c r="A84" s="19">
        <v>45588</v>
      </c>
      <c r="B84" s="34">
        <v>3320</v>
      </c>
      <c r="C84" s="14"/>
      <c r="D84" s="14">
        <v>7200</v>
      </c>
      <c r="E84" s="14">
        <v>12634.72813071</v>
      </c>
      <c r="F84" s="15">
        <v>3741.561360115913</v>
      </c>
    </row>
    <row r="85" spans="1:6" s="1" customFormat="1" x14ac:dyDescent="0.45">
      <c r="A85" s="19">
        <v>45589</v>
      </c>
      <c r="B85" s="34">
        <v>4540</v>
      </c>
      <c r="C85" s="14"/>
      <c r="D85" s="14">
        <f>1000+7000</f>
        <v>8000</v>
      </c>
      <c r="E85" s="14">
        <v>11840.98800786</v>
      </c>
      <c r="F85" s="15">
        <v>2947.8212372659127</v>
      </c>
    </row>
    <row r="86" spans="1:6" s="1" customFormat="1" x14ac:dyDescent="0.45">
      <c r="A86" s="19">
        <v>45590</v>
      </c>
      <c r="B86" s="34">
        <v>5721</v>
      </c>
      <c r="C86" s="14"/>
      <c r="D86" s="14">
        <v>8000</v>
      </c>
      <c r="E86" s="14">
        <v>11036.806000000002</v>
      </c>
      <c r="F86" s="15">
        <v>2143.6392294059124</v>
      </c>
    </row>
    <row r="87" spans="1:6" s="1" customFormat="1" x14ac:dyDescent="0.45">
      <c r="A87" s="19">
        <v>45593</v>
      </c>
      <c r="B87" s="34">
        <v>4340</v>
      </c>
      <c r="C87" s="14"/>
      <c r="D87" s="14">
        <v>8000</v>
      </c>
      <c r="E87" s="14">
        <v>12634.705000000002</v>
      </c>
      <c r="F87" s="15">
        <v>3381.017287037952</v>
      </c>
    </row>
    <row r="88" spans="1:6" s="1" customFormat="1" x14ac:dyDescent="0.45">
      <c r="A88" s="19">
        <v>45594</v>
      </c>
      <c r="B88" s="34">
        <v>4940</v>
      </c>
      <c r="C88" s="14"/>
      <c r="D88" s="14">
        <v>8000</v>
      </c>
      <c r="E88" s="14">
        <v>12375.119999999997</v>
      </c>
      <c r="F88" s="15">
        <v>3121.432287037951</v>
      </c>
    </row>
    <row r="89" spans="1:6" s="1" customFormat="1" x14ac:dyDescent="0.45">
      <c r="A89" s="19">
        <v>45595</v>
      </c>
      <c r="B89" s="34">
        <v>4185</v>
      </c>
      <c r="C89" s="14"/>
      <c r="D89" s="1">
        <v>8000</v>
      </c>
      <c r="E89" s="14">
        <v>13367.950142240001</v>
      </c>
      <c r="F89" s="15">
        <v>4114.2624292779501</v>
      </c>
    </row>
    <row r="90" spans="1:6" s="1" customFormat="1" x14ac:dyDescent="0.45">
      <c r="A90" s="19">
        <v>45596</v>
      </c>
      <c r="B90" s="34">
        <v>3600</v>
      </c>
      <c r="C90" s="14"/>
      <c r="D90" s="14">
        <f>1900+8000</f>
        <v>9900</v>
      </c>
      <c r="E90" s="14">
        <v>11279.234</v>
      </c>
      <c r="F90" s="15">
        <v>2025.5462870379506</v>
      </c>
    </row>
    <row r="91" spans="1:6" s="1" customFormat="1" x14ac:dyDescent="0.45">
      <c r="A91" s="19">
        <v>45597</v>
      </c>
      <c r="B91" s="34">
        <v>4052</v>
      </c>
      <c r="C91" s="14"/>
      <c r="D91" s="14">
        <v>9900</v>
      </c>
      <c r="E91" s="14">
        <v>11299.88122856</v>
      </c>
      <c r="F91" s="15">
        <v>2046.1935155979509</v>
      </c>
    </row>
    <row r="92" spans="1:6" s="1" customFormat="1" x14ac:dyDescent="0.45">
      <c r="A92" s="19">
        <v>45600</v>
      </c>
      <c r="B92" s="34">
        <v>3072</v>
      </c>
      <c r="C92" s="14"/>
      <c r="D92" s="14">
        <v>9900</v>
      </c>
      <c r="E92" s="14">
        <v>12302.807398739998</v>
      </c>
      <c r="F92" s="15">
        <v>3049.1196857779501</v>
      </c>
    </row>
    <row r="93" spans="1:6" s="1" customFormat="1" x14ac:dyDescent="0.45">
      <c r="A93" s="19">
        <v>45601</v>
      </c>
      <c r="B93" s="34">
        <v>4271</v>
      </c>
      <c r="C93" s="14"/>
      <c r="D93" s="14">
        <v>9900</v>
      </c>
      <c r="E93" s="14">
        <v>11384.235658109998</v>
      </c>
      <c r="F93" s="15">
        <v>2130.5479451479509</v>
      </c>
    </row>
    <row r="94" spans="1:6" s="1" customFormat="1" x14ac:dyDescent="0.45">
      <c r="A94" s="19">
        <v>45602</v>
      </c>
      <c r="B94" s="34">
        <v>4492</v>
      </c>
      <c r="C94" s="14"/>
      <c r="D94" s="14">
        <v>9900</v>
      </c>
      <c r="E94" s="14">
        <v>10730.216</v>
      </c>
      <c r="F94" s="15">
        <v>1476.5282870379506</v>
      </c>
    </row>
    <row r="95" spans="1:6" s="1" customFormat="1" x14ac:dyDescent="0.45">
      <c r="A95" s="19">
        <v>45603</v>
      </c>
      <c r="B95" s="34">
        <v>6089</v>
      </c>
      <c r="C95" s="14"/>
      <c r="D95" s="14">
        <f>900+9500</f>
        <v>10400</v>
      </c>
      <c r="E95" s="14">
        <v>9728.2641011600008</v>
      </c>
      <c r="F95" s="15">
        <v>474.57638819795096</v>
      </c>
    </row>
    <row r="96" spans="1:6" s="1" customFormat="1" x14ac:dyDescent="0.45">
      <c r="A96" s="19">
        <v>45604</v>
      </c>
      <c r="B96" s="34">
        <v>5600</v>
      </c>
      <c r="C96" s="14"/>
      <c r="D96" s="14">
        <v>10400</v>
      </c>
      <c r="E96" s="14">
        <v>10485.684335959999</v>
      </c>
      <c r="F96" s="15">
        <v>1231.9966229979505</v>
      </c>
    </row>
    <row r="97" spans="1:6" s="1" customFormat="1" x14ac:dyDescent="0.45">
      <c r="A97" s="19">
        <v>45607</v>
      </c>
      <c r="B97" s="34">
        <v>5920</v>
      </c>
      <c r="C97" s="14"/>
      <c r="D97" s="14">
        <v>10400</v>
      </c>
      <c r="E97" s="14">
        <v>10031.886617069998</v>
      </c>
      <c r="F97" s="15">
        <v>778.19890410795006</v>
      </c>
    </row>
    <row r="98" spans="1:6" s="1" customFormat="1" x14ac:dyDescent="0.45">
      <c r="A98" s="19">
        <v>45608</v>
      </c>
      <c r="B98" s="34">
        <v>6342</v>
      </c>
      <c r="C98" s="14"/>
      <c r="D98" s="14">
        <v>10400</v>
      </c>
      <c r="E98" s="14">
        <v>9486.5953877499996</v>
      </c>
      <c r="F98" s="15">
        <v>232.90767478795041</v>
      </c>
    </row>
    <row r="99" spans="1:6" s="1" customFormat="1" x14ac:dyDescent="0.45">
      <c r="A99" s="19">
        <v>45609</v>
      </c>
      <c r="B99" s="34">
        <v>5902</v>
      </c>
      <c r="C99" s="14"/>
      <c r="D99" s="14">
        <v>10400</v>
      </c>
      <c r="E99" s="14">
        <v>8991.6264455399996</v>
      </c>
      <c r="F99" s="15">
        <v>-262.06126742204935</v>
      </c>
    </row>
    <row r="100" spans="1:6" s="1" customFormat="1" x14ac:dyDescent="0.45">
      <c r="A100" s="19">
        <v>45610</v>
      </c>
      <c r="B100" s="34">
        <v>5875</v>
      </c>
      <c r="C100" s="14"/>
      <c r="D100" s="14">
        <f>6000+1000</f>
        <v>7000</v>
      </c>
      <c r="E100" s="14">
        <v>12505.981828969998</v>
      </c>
      <c r="F100" s="15">
        <v>3252.2941160079508</v>
      </c>
    </row>
    <row r="101" spans="1:6" s="1" customFormat="1" x14ac:dyDescent="0.45">
      <c r="A101" s="19">
        <v>45611</v>
      </c>
      <c r="B101" s="34">
        <v>5339</v>
      </c>
      <c r="C101" s="14"/>
      <c r="D101" s="14">
        <v>7000</v>
      </c>
      <c r="E101" s="14">
        <v>13550.310575970001</v>
      </c>
      <c r="F101" s="15">
        <v>4296.6228630079504</v>
      </c>
    </row>
    <row r="102" spans="1:6" s="1" customFormat="1" x14ac:dyDescent="0.45">
      <c r="A102" s="19">
        <v>45614</v>
      </c>
      <c r="B102" s="34">
        <v>5122</v>
      </c>
      <c r="C102" s="14"/>
      <c r="D102" s="14">
        <v>7000</v>
      </c>
      <c r="E102" s="14">
        <v>13630.138948569998</v>
      </c>
      <c r="F102" s="15">
        <v>4376.4512356079504</v>
      </c>
    </row>
    <row r="103" spans="1:6" s="1" customFormat="1" x14ac:dyDescent="0.45">
      <c r="A103" s="19">
        <v>45615</v>
      </c>
      <c r="B103" s="34">
        <v>5230.5</v>
      </c>
      <c r="C103" s="14"/>
      <c r="D103" s="14">
        <v>7000</v>
      </c>
      <c r="E103" s="14">
        <v>13728.578058370003</v>
      </c>
      <c r="F103" s="15">
        <v>4474.8903454079509</v>
      </c>
    </row>
    <row r="104" spans="1:6" s="1" customFormat="1" x14ac:dyDescent="0.45">
      <c r="A104" s="19">
        <v>45616</v>
      </c>
      <c r="B104" s="34">
        <v>5567</v>
      </c>
      <c r="C104" s="14"/>
      <c r="D104" s="14">
        <v>7000</v>
      </c>
      <c r="E104" s="14">
        <v>12805.440247219998</v>
      </c>
      <c r="F104" s="15">
        <v>3551.7525342579506</v>
      </c>
    </row>
    <row r="105" spans="1:6" s="1" customFormat="1" x14ac:dyDescent="0.45">
      <c r="A105" s="19">
        <v>45617</v>
      </c>
      <c r="B105" s="34">
        <v>3044</v>
      </c>
      <c r="C105" s="14"/>
      <c r="D105" s="14">
        <f>7000+3000</f>
        <v>10000</v>
      </c>
      <c r="E105" s="14">
        <v>12007.701899329999</v>
      </c>
      <c r="F105" s="15">
        <v>2754.0141863679514</v>
      </c>
    </row>
    <row r="106" spans="1:6" s="1" customFormat="1" x14ac:dyDescent="0.45">
      <c r="A106" s="19">
        <v>45618</v>
      </c>
      <c r="B106" s="34">
        <v>3277</v>
      </c>
      <c r="C106" s="14"/>
      <c r="D106" s="14">
        <v>10000</v>
      </c>
      <c r="E106" s="14">
        <v>12086.508000000002</v>
      </c>
      <c r="F106" s="15">
        <v>2832.8202870379505</v>
      </c>
    </row>
    <row r="107" spans="1:6" s="1" customFormat="1" x14ac:dyDescent="0.45">
      <c r="A107" s="19">
        <v>45621</v>
      </c>
      <c r="B107" s="34">
        <v>3140.63</v>
      </c>
      <c r="C107" s="14"/>
      <c r="D107" s="14">
        <v>10000</v>
      </c>
      <c r="E107" s="14">
        <v>13173.48573007</v>
      </c>
      <c r="F107" s="15">
        <v>3964.0759618401944</v>
      </c>
    </row>
    <row r="108" spans="1:6" s="1" customFormat="1" x14ac:dyDescent="0.45">
      <c r="A108" s="19">
        <v>45622</v>
      </c>
      <c r="B108" s="34">
        <v>3678.52</v>
      </c>
      <c r="C108" s="14"/>
      <c r="D108" s="14">
        <v>10000</v>
      </c>
      <c r="E108" s="14">
        <v>12804.543966099998</v>
      </c>
      <c r="F108" s="15">
        <v>3595.1341978701935</v>
      </c>
    </row>
    <row r="109" spans="1:6" s="1" customFormat="1" x14ac:dyDescent="0.45">
      <c r="A109" s="19">
        <v>45623</v>
      </c>
      <c r="B109" s="34">
        <v>3479.25</v>
      </c>
      <c r="C109" s="14"/>
      <c r="D109" s="14">
        <f>8500+3000</f>
        <v>11500</v>
      </c>
      <c r="E109" s="14">
        <v>12847.014635250001</v>
      </c>
      <c r="F109" s="15">
        <v>3637.6048670201944</v>
      </c>
    </row>
    <row r="110" spans="1:6" s="1" customFormat="1" x14ac:dyDescent="0.45">
      <c r="A110" s="19">
        <v>45628</v>
      </c>
      <c r="B110" s="34">
        <v>4132</v>
      </c>
      <c r="C110" s="14"/>
      <c r="D110" s="14">
        <v>11500</v>
      </c>
      <c r="E110" s="14">
        <v>11100.809687159997</v>
      </c>
      <c r="F110" s="15">
        <v>1891.3999189301937</v>
      </c>
    </row>
    <row r="111" spans="1:6" s="1" customFormat="1" x14ac:dyDescent="0.45">
      <c r="A111" s="19">
        <v>45629</v>
      </c>
      <c r="B111" s="34">
        <v>3881</v>
      </c>
      <c r="C111" s="14"/>
      <c r="D111" s="14">
        <v>11500</v>
      </c>
      <c r="E111" s="14">
        <v>11516.298790729999</v>
      </c>
      <c r="F111" s="15">
        <v>2306.8890225001937</v>
      </c>
    </row>
    <row r="112" spans="1:6" s="1" customFormat="1" x14ac:dyDescent="0.45">
      <c r="A112" s="19">
        <v>45630</v>
      </c>
      <c r="B112" s="34">
        <v>3666</v>
      </c>
      <c r="C112" s="14"/>
      <c r="D112" s="14">
        <v>11500</v>
      </c>
      <c r="E112" s="14">
        <v>10874.666203029999</v>
      </c>
      <c r="F112" s="15">
        <v>1665.2564348001938</v>
      </c>
    </row>
    <row r="113" spans="1:6" s="1" customFormat="1" x14ac:dyDescent="0.45">
      <c r="A113" s="19">
        <v>45631</v>
      </c>
      <c r="B113" s="34">
        <v>3682</v>
      </c>
      <c r="C113" s="14"/>
      <c r="D113" s="14">
        <f>8500+2000</f>
        <v>10500</v>
      </c>
      <c r="E113" s="14">
        <v>10475.624</v>
      </c>
      <c r="F113" s="15">
        <v>1266.2142317701939</v>
      </c>
    </row>
    <row r="114" spans="1:6" s="1" customFormat="1" x14ac:dyDescent="0.45">
      <c r="A114" s="19">
        <v>45632</v>
      </c>
      <c r="B114" s="34">
        <v>3688</v>
      </c>
      <c r="C114" s="14"/>
      <c r="D114" s="14">
        <v>10500</v>
      </c>
      <c r="E114" s="14">
        <v>11577.706169269999</v>
      </c>
      <c r="F114" s="15">
        <v>2368.2964010401938</v>
      </c>
    </row>
    <row r="115" spans="1:6" s="1" customFormat="1" x14ac:dyDescent="0.45">
      <c r="A115" s="19">
        <v>45635</v>
      </c>
      <c r="B115" s="34">
        <v>3866</v>
      </c>
      <c r="C115" s="14"/>
      <c r="D115" s="14">
        <v>10500</v>
      </c>
      <c r="E115" s="14">
        <v>11760.217531779999</v>
      </c>
      <c r="F115" s="15">
        <v>2550.8077635501932</v>
      </c>
    </row>
    <row r="116" spans="1:6" s="1" customFormat="1" x14ac:dyDescent="0.45">
      <c r="A116" s="19">
        <v>45636</v>
      </c>
      <c r="B116" s="34">
        <v>3862</v>
      </c>
      <c r="C116" s="14"/>
      <c r="D116" s="14">
        <v>10500</v>
      </c>
      <c r="E116" s="14">
        <v>11818.983464150002</v>
      </c>
      <c r="F116" s="15">
        <v>2609.573695920194</v>
      </c>
    </row>
    <row r="117" spans="1:6" s="1" customFormat="1" x14ac:dyDescent="0.45">
      <c r="A117" s="19">
        <v>45637</v>
      </c>
      <c r="B117" s="34">
        <v>3852</v>
      </c>
      <c r="C117" s="14"/>
      <c r="D117" s="14">
        <v>10500</v>
      </c>
      <c r="E117" s="14">
        <v>11207.20392812</v>
      </c>
      <c r="F117" s="15">
        <v>1997.7941598901939</v>
      </c>
    </row>
    <row r="118" spans="1:6" s="1" customFormat="1" x14ac:dyDescent="0.45">
      <c r="A118" s="19">
        <v>45638</v>
      </c>
      <c r="B118" s="34">
        <v>4070</v>
      </c>
      <c r="C118" s="14"/>
      <c r="D118" s="14">
        <f>9000+2200</f>
        <v>11200</v>
      </c>
      <c r="E118" s="14">
        <v>9972.751280829998</v>
      </c>
      <c r="F118" s="15">
        <v>763.34151260019382</v>
      </c>
    </row>
    <row r="119" spans="1:6" s="1" customFormat="1" x14ac:dyDescent="0.45">
      <c r="A119" s="19">
        <v>45639</v>
      </c>
      <c r="B119" s="34">
        <v>4157</v>
      </c>
      <c r="C119" s="14"/>
      <c r="D119" s="14">
        <v>11200</v>
      </c>
      <c r="E119" s="14">
        <v>10023.923417180002</v>
      </c>
      <c r="F119" s="15">
        <v>814.51364895019424</v>
      </c>
    </row>
    <row r="120" spans="1:6" s="1" customFormat="1" x14ac:dyDescent="0.45">
      <c r="A120" s="19">
        <v>45642</v>
      </c>
      <c r="B120" s="34">
        <v>4192</v>
      </c>
      <c r="C120" s="14"/>
      <c r="D120" s="14">
        <v>11200</v>
      </c>
      <c r="E120" s="14">
        <v>9582.6912057299996</v>
      </c>
      <c r="F120" s="15">
        <v>373.28143750019444</v>
      </c>
    </row>
    <row r="121" spans="1:6" s="1" customFormat="1" x14ac:dyDescent="0.45">
      <c r="A121" s="19">
        <v>45643</v>
      </c>
      <c r="B121" s="34">
        <v>4262.0271249999996</v>
      </c>
      <c r="C121" s="14"/>
      <c r="D121" s="14">
        <v>11200</v>
      </c>
      <c r="E121" s="14">
        <v>9852.196617560001</v>
      </c>
      <c r="F121" s="15">
        <v>642.78684933019406</v>
      </c>
    </row>
    <row r="122" spans="1:6" s="1" customFormat="1" x14ac:dyDescent="0.45">
      <c r="A122" s="19">
        <v>45644</v>
      </c>
      <c r="B122" s="34">
        <v>4321.0069999999996</v>
      </c>
      <c r="C122" s="14"/>
      <c r="D122" s="14">
        <v>11200</v>
      </c>
      <c r="E122" s="14">
        <v>8955.6749160799991</v>
      </c>
      <c r="F122" s="15">
        <v>-253.73485214980622</v>
      </c>
    </row>
    <row r="123" spans="1:6" s="1" customFormat="1" x14ac:dyDescent="0.45">
      <c r="A123" s="19">
        <v>45645</v>
      </c>
      <c r="B123" s="34">
        <v>4719.66</v>
      </c>
      <c r="C123" s="14"/>
      <c r="D123" s="14">
        <f>8500+1500</f>
        <v>10000</v>
      </c>
      <c r="E123" s="14">
        <v>9417.78193483</v>
      </c>
      <c r="F123" s="15">
        <v>208.3721666001947</v>
      </c>
    </row>
    <row r="124" spans="1:6" s="1" customFormat="1" x14ac:dyDescent="0.45">
      <c r="A124" s="19">
        <v>45646</v>
      </c>
      <c r="B124" s="34">
        <v>4230</v>
      </c>
      <c r="C124" s="14"/>
      <c r="D124" s="14">
        <v>10000</v>
      </c>
      <c r="E124" s="14">
        <v>9758.6008532699998</v>
      </c>
      <c r="F124" s="15">
        <v>549.19108504019346</v>
      </c>
    </row>
    <row r="125" spans="1:6" s="1" customFormat="1" x14ac:dyDescent="0.45">
      <c r="A125" s="19">
        <v>45649</v>
      </c>
      <c r="B125" s="34">
        <v>2886.2</v>
      </c>
      <c r="C125" s="14"/>
      <c r="D125" s="14">
        <v>10000</v>
      </c>
      <c r="E125" s="14">
        <v>12564.530501650002</v>
      </c>
      <c r="F125" s="15">
        <v>3246.4552018695986</v>
      </c>
    </row>
    <row r="126" spans="1:6" s="1" customFormat="1" x14ac:dyDescent="0.45">
      <c r="A126" s="19">
        <v>45650</v>
      </c>
      <c r="B126" s="34">
        <v>4555.74</v>
      </c>
      <c r="C126" s="14"/>
      <c r="D126" s="14">
        <v>10000</v>
      </c>
      <c r="E126" s="14">
        <v>11056.80564886</v>
      </c>
      <c r="F126" s="15">
        <v>1738.7256488599996</v>
      </c>
    </row>
    <row r="127" spans="1:6" s="1" customFormat="1" x14ac:dyDescent="0.45">
      <c r="A127" s="20">
        <v>45652</v>
      </c>
      <c r="B127" s="35">
        <v>4491</v>
      </c>
      <c r="C127" s="10"/>
      <c r="D127" s="10">
        <f>1500+8000</f>
        <v>9500</v>
      </c>
      <c r="E127" s="10">
        <v>12310.060892320002</v>
      </c>
      <c r="F127" s="12">
        <v>2991.9808923200017</v>
      </c>
    </row>
    <row r="128" spans="1:6" s="1" customFormat="1" x14ac:dyDescent="0.45">
      <c r="A128" s="20">
        <v>45653</v>
      </c>
      <c r="B128" s="35">
        <v>4337.21</v>
      </c>
      <c r="C128" s="10"/>
      <c r="D128" s="10">
        <f t="shared" ref="D128:D130" si="0">1500+8000</f>
        <v>9500</v>
      </c>
      <c r="E128" s="10">
        <v>12346.873283199999</v>
      </c>
      <c r="F128" s="12">
        <v>3028.7932831999988</v>
      </c>
    </row>
    <row r="129" spans="1:8" s="1" customFormat="1" x14ac:dyDescent="0.45">
      <c r="A129" s="20">
        <v>45656</v>
      </c>
      <c r="B129" s="35">
        <v>4416.1719999999996</v>
      </c>
      <c r="C129" s="10"/>
      <c r="D129" s="10">
        <f t="shared" si="0"/>
        <v>9500</v>
      </c>
      <c r="E129" s="10">
        <v>12775.121000000001</v>
      </c>
      <c r="F129" s="12">
        <v>3457.0410000000011</v>
      </c>
    </row>
    <row r="130" spans="1:8" x14ac:dyDescent="0.45">
      <c r="A130" s="20">
        <v>45657</v>
      </c>
      <c r="B130" s="35">
        <v>3880</v>
      </c>
      <c r="C130" s="11">
        <v>2740</v>
      </c>
      <c r="D130" s="10">
        <f t="shared" si="0"/>
        <v>9500</v>
      </c>
      <c r="E130" s="11">
        <v>10757.19410538</v>
      </c>
      <c r="F130" s="12">
        <v>1439.1141053800002</v>
      </c>
      <c r="H130" s="38">
        <f>B130+C130</f>
        <v>6620</v>
      </c>
    </row>
    <row r="131" spans="1:8" x14ac:dyDescent="0.45">
      <c r="A131" s="20">
        <v>45659</v>
      </c>
      <c r="B131" s="36">
        <v>2800</v>
      </c>
      <c r="C131" s="11">
        <v>6220</v>
      </c>
      <c r="D131" s="11">
        <f>1500+6000</f>
        <v>7500</v>
      </c>
      <c r="E131" s="11">
        <v>10080.411153809999</v>
      </c>
      <c r="F131" s="12">
        <v>762.3311538099988</v>
      </c>
    </row>
    <row r="132" spans="1:8" x14ac:dyDescent="0.45">
      <c r="A132" s="20">
        <v>45660</v>
      </c>
      <c r="B132" s="36">
        <v>4090.223</v>
      </c>
      <c r="C132" s="11">
        <v>6420</v>
      </c>
      <c r="D132" s="11">
        <f t="shared" ref="D132:D134" si="1">1500+6000</f>
        <v>7500</v>
      </c>
      <c r="E132" s="11">
        <v>8359.1611000000012</v>
      </c>
      <c r="F132" s="12">
        <v>-958.91889999999876</v>
      </c>
    </row>
    <row r="133" spans="1:8" x14ac:dyDescent="0.45">
      <c r="A133" s="20">
        <v>45663</v>
      </c>
      <c r="B133" s="36">
        <v>4215.24</v>
      </c>
      <c r="C133" s="11">
        <v>6260</v>
      </c>
      <c r="D133" s="11">
        <f t="shared" si="1"/>
        <v>7500</v>
      </c>
      <c r="E133" s="11">
        <v>7631.6799999999994</v>
      </c>
      <c r="F133" s="12">
        <v>-1686.4000000000005</v>
      </c>
    </row>
    <row r="134" spans="1:8" x14ac:dyDescent="0.45">
      <c r="A134" s="20">
        <v>45664</v>
      </c>
      <c r="B134" s="36">
        <v>4291.88</v>
      </c>
      <c r="C134" s="11">
        <v>6140</v>
      </c>
      <c r="D134" s="11">
        <f t="shared" si="1"/>
        <v>7500</v>
      </c>
      <c r="E134" s="11">
        <v>7894.9537503599995</v>
      </c>
      <c r="F134" s="12">
        <v>-1423.1262496400004</v>
      </c>
    </row>
    <row r="135" spans="1:8" x14ac:dyDescent="0.45">
      <c r="A135" s="20">
        <v>45665</v>
      </c>
      <c r="B135" s="36">
        <v>4161.165</v>
      </c>
      <c r="C135" s="11">
        <v>6160</v>
      </c>
      <c r="D135" s="11">
        <f>1000+3500</f>
        <v>4500</v>
      </c>
      <c r="E135" s="11">
        <v>7890.6547757000008</v>
      </c>
      <c r="F135" s="12">
        <v>-1427.4252242999992</v>
      </c>
    </row>
    <row r="136" spans="1:8" x14ac:dyDescent="0.45">
      <c r="A136" s="20">
        <v>45666</v>
      </c>
      <c r="B136" s="36">
        <v>4519.8280000000004</v>
      </c>
      <c r="C136" s="11">
        <v>300</v>
      </c>
      <c r="D136" s="11">
        <f t="shared" ref="D136:D139" si="2">1000+3500</f>
        <v>4500</v>
      </c>
      <c r="E136" s="11">
        <v>16612.876994169997</v>
      </c>
      <c r="F136" s="12">
        <v>7294.7969941699976</v>
      </c>
    </row>
    <row r="137" spans="1:8" x14ac:dyDescent="0.45">
      <c r="A137" s="20">
        <v>45667</v>
      </c>
      <c r="B137" s="36">
        <v>5343.47</v>
      </c>
      <c r="C137" s="11">
        <v>8800</v>
      </c>
      <c r="D137" s="11">
        <f t="shared" si="2"/>
        <v>4500</v>
      </c>
      <c r="E137" s="11">
        <v>7451.5406208499999</v>
      </c>
      <c r="F137" s="12">
        <v>-1866.5393791500001</v>
      </c>
    </row>
    <row r="138" spans="1:8" x14ac:dyDescent="0.45">
      <c r="A138" s="20">
        <v>45670</v>
      </c>
      <c r="B138" s="37">
        <v>4521.1180000000004</v>
      </c>
      <c r="C138" s="11">
        <v>8650</v>
      </c>
      <c r="D138" s="11">
        <f t="shared" si="2"/>
        <v>4500</v>
      </c>
      <c r="E138" s="11">
        <v>8407.7501839899996</v>
      </c>
      <c r="F138" s="12">
        <v>-910.32981601000029</v>
      </c>
    </row>
    <row r="139" spans="1:8" x14ac:dyDescent="0.45">
      <c r="A139" s="20">
        <v>45671</v>
      </c>
      <c r="B139" s="36">
        <v>4963.17</v>
      </c>
      <c r="C139" s="11">
        <v>8700</v>
      </c>
      <c r="D139" s="11">
        <f t="shared" si="2"/>
        <v>4500</v>
      </c>
      <c r="E139" s="11">
        <v>7882.52265704</v>
      </c>
      <c r="F139" s="12">
        <v>-1435.5573429599999</v>
      </c>
    </row>
    <row r="140" spans="1:8" x14ac:dyDescent="0.45">
      <c r="A140" s="20">
        <v>45672</v>
      </c>
      <c r="B140" s="36">
        <v>5096.6000000000004</v>
      </c>
      <c r="C140" s="11">
        <v>8650</v>
      </c>
      <c r="D140" s="11">
        <f>500+2000</f>
        <v>2500</v>
      </c>
      <c r="E140" s="11">
        <v>7064.4673992800008</v>
      </c>
      <c r="F140" s="12">
        <v>-2253.6126007199991</v>
      </c>
    </row>
    <row r="141" spans="1:8" x14ac:dyDescent="0.45">
      <c r="A141" s="20">
        <v>45673</v>
      </c>
      <c r="B141" s="36">
        <v>6100</v>
      </c>
      <c r="C141" s="11">
        <v>8900</v>
      </c>
      <c r="D141" s="11">
        <f t="shared" ref="D141:D144" si="3">500+2000</f>
        <v>2500</v>
      </c>
      <c r="E141" s="11">
        <v>8608.4328954600005</v>
      </c>
      <c r="F141" s="12">
        <v>-709.64710453999942</v>
      </c>
    </row>
    <row r="142" spans="1:8" x14ac:dyDescent="0.45">
      <c r="A142" s="20">
        <v>45674</v>
      </c>
      <c r="B142" s="36">
        <v>6222</v>
      </c>
      <c r="C142" s="11">
        <v>9050</v>
      </c>
      <c r="D142" s="11">
        <f t="shared" si="3"/>
        <v>2500</v>
      </c>
      <c r="E142" s="11">
        <v>7720.4611712200003</v>
      </c>
      <c r="F142" s="12">
        <v>-1597.6188287799996</v>
      </c>
    </row>
    <row r="143" spans="1:8" x14ac:dyDescent="0.45">
      <c r="A143" s="20">
        <v>45677</v>
      </c>
      <c r="B143" s="36">
        <v>4520</v>
      </c>
      <c r="C143" s="11">
        <v>8650</v>
      </c>
      <c r="D143" s="11">
        <f t="shared" si="3"/>
        <v>2500</v>
      </c>
      <c r="E143" s="11">
        <v>9702.17</v>
      </c>
      <c r="F143" s="13">
        <v>700.40999999999985</v>
      </c>
    </row>
    <row r="144" spans="1:8" x14ac:dyDescent="0.45">
      <c r="A144" s="20">
        <v>45678</v>
      </c>
      <c r="B144" s="36">
        <v>5110</v>
      </c>
      <c r="C144" s="11">
        <v>5170</v>
      </c>
      <c r="D144" s="11">
        <f t="shared" si="3"/>
        <v>2500</v>
      </c>
      <c r="E144" s="11">
        <v>12584.91</v>
      </c>
      <c r="F144" s="13">
        <v>3583.1499999999996</v>
      </c>
    </row>
    <row r="145" spans="1:8" x14ac:dyDescent="0.45">
      <c r="A145" s="20">
        <v>45679</v>
      </c>
      <c r="B145" s="36">
        <v>5380</v>
      </c>
      <c r="C145" s="11">
        <v>7800</v>
      </c>
      <c r="D145" s="11">
        <f>500+1500</f>
        <v>2000</v>
      </c>
      <c r="E145" s="11">
        <v>9568.89</v>
      </c>
      <c r="F145" s="13">
        <v>567.1299999999992</v>
      </c>
    </row>
    <row r="146" spans="1:8" x14ac:dyDescent="0.45">
      <c r="A146" s="20">
        <v>45680</v>
      </c>
      <c r="B146" s="36">
        <v>4900</v>
      </c>
      <c r="C146" s="11">
        <v>9415</v>
      </c>
      <c r="D146" s="11">
        <f t="shared" ref="D146:D151" si="4">500+1500</f>
        <v>2000</v>
      </c>
      <c r="E146" s="11">
        <v>8318.17</v>
      </c>
      <c r="F146" s="13">
        <v>-683.59000000000015</v>
      </c>
    </row>
    <row r="147" spans="1:8" x14ac:dyDescent="0.45">
      <c r="A147" s="20">
        <v>45681</v>
      </c>
      <c r="B147" s="36">
        <v>3880</v>
      </c>
      <c r="C147" s="11">
        <v>10515</v>
      </c>
      <c r="D147" s="11">
        <f t="shared" si="4"/>
        <v>2000</v>
      </c>
      <c r="E147" s="11">
        <v>8947.61</v>
      </c>
      <c r="F147" s="13">
        <v>-54.149999999999636</v>
      </c>
    </row>
    <row r="148" spans="1:8" x14ac:dyDescent="0.45">
      <c r="A148" s="20">
        <v>45684</v>
      </c>
      <c r="B148" s="36">
        <v>5510</v>
      </c>
      <c r="C148" s="11">
        <v>5950</v>
      </c>
      <c r="D148" s="11">
        <f t="shared" si="4"/>
        <v>2000</v>
      </c>
      <c r="E148" s="11">
        <v>13441.024867890001</v>
      </c>
      <c r="F148" s="41">
        <v>4412.5360876620416</v>
      </c>
      <c r="G148" s="40"/>
    </row>
    <row r="149" spans="1:8" x14ac:dyDescent="0.45">
      <c r="A149" s="20">
        <v>45685</v>
      </c>
      <c r="B149" s="36">
        <v>6630</v>
      </c>
      <c r="C149" s="11">
        <v>10080</v>
      </c>
      <c r="D149" s="11">
        <f t="shared" si="4"/>
        <v>2000</v>
      </c>
      <c r="E149" s="11">
        <v>8540.2489302699996</v>
      </c>
      <c r="F149" s="41">
        <v>-488.23984995795945</v>
      </c>
      <c r="G149" s="40"/>
    </row>
    <row r="150" spans="1:8" x14ac:dyDescent="0.45">
      <c r="A150" s="20">
        <v>45686</v>
      </c>
      <c r="B150" s="36">
        <v>6640</v>
      </c>
      <c r="C150" s="11">
        <v>10580</v>
      </c>
      <c r="D150" s="11">
        <f t="shared" si="4"/>
        <v>2000</v>
      </c>
      <c r="E150" s="11">
        <v>7784.6900890699999</v>
      </c>
      <c r="F150" s="41">
        <v>-1243.7986911579592</v>
      </c>
      <c r="G150" s="40"/>
    </row>
    <row r="151" spans="1:8" x14ac:dyDescent="0.45">
      <c r="A151" s="20">
        <v>45687</v>
      </c>
      <c r="B151" s="36">
        <v>7322</v>
      </c>
      <c r="C151" s="11">
        <v>9370</v>
      </c>
      <c r="D151" s="11">
        <f t="shared" si="4"/>
        <v>2000</v>
      </c>
      <c r="E151" s="11">
        <v>9008.6341019200026</v>
      </c>
      <c r="F151" s="41">
        <v>-19.854678307956419</v>
      </c>
      <c r="G151" s="40"/>
      <c r="H151" s="9"/>
    </row>
    <row r="152" spans="1:8" x14ac:dyDescent="0.45">
      <c r="A152" s="20">
        <v>45688</v>
      </c>
      <c r="B152" s="36">
        <v>7470</v>
      </c>
      <c r="C152" s="11">
        <v>10450</v>
      </c>
      <c r="D152" s="11">
        <v>1500</v>
      </c>
      <c r="E152" s="11">
        <v>7541.8220859899993</v>
      </c>
      <c r="F152" s="41">
        <v>-1486.6666942379597</v>
      </c>
      <c r="G152" s="40"/>
    </row>
    <row r="153" spans="1:8" x14ac:dyDescent="0.45">
      <c r="A153" s="20">
        <v>45691</v>
      </c>
      <c r="B153" s="36">
        <v>7220</v>
      </c>
      <c r="C153" s="11">
        <v>6800</v>
      </c>
      <c r="D153" s="11">
        <v>1500</v>
      </c>
      <c r="E153" s="11">
        <v>11550.195511110001</v>
      </c>
      <c r="F153" s="41">
        <v>2521.7067308820424</v>
      </c>
      <c r="G153" s="40"/>
    </row>
    <row r="154" spans="1:8" x14ac:dyDescent="0.45">
      <c r="A154" s="20">
        <v>45692</v>
      </c>
      <c r="B154" s="36">
        <v>7192</v>
      </c>
      <c r="C154" s="11">
        <v>10300</v>
      </c>
      <c r="D154" s="11">
        <v>1500</v>
      </c>
      <c r="E154" s="11">
        <v>7937.9960000000001</v>
      </c>
      <c r="F154" s="41">
        <v>-1090.492780227959</v>
      </c>
      <c r="G154" s="40"/>
    </row>
    <row r="155" spans="1:8" x14ac:dyDescent="0.45">
      <c r="A155" s="20">
        <v>45693</v>
      </c>
      <c r="B155" s="36">
        <v>6730</v>
      </c>
      <c r="C155" s="11">
        <v>10300</v>
      </c>
      <c r="D155" s="11">
        <v>1500</v>
      </c>
      <c r="E155" s="11">
        <v>8159.5586407800001</v>
      </c>
      <c r="F155" s="41">
        <v>-868.93013944795894</v>
      </c>
      <c r="G155" s="40"/>
    </row>
    <row r="156" spans="1:8" x14ac:dyDescent="0.45">
      <c r="A156" s="20">
        <v>45694</v>
      </c>
      <c r="B156" s="36">
        <v>7150</v>
      </c>
      <c r="C156" s="11">
        <v>10800</v>
      </c>
      <c r="D156" s="11">
        <v>1500</v>
      </c>
      <c r="E156" s="11">
        <v>7847.1270000000004</v>
      </c>
      <c r="F156" s="41">
        <v>-1181.3617802279587</v>
      </c>
      <c r="G156" s="40"/>
    </row>
    <row r="157" spans="1:8" x14ac:dyDescent="0.45">
      <c r="A157" s="20">
        <v>45695</v>
      </c>
      <c r="B157" s="36">
        <v>7440</v>
      </c>
      <c r="C157" s="11">
        <v>10765</v>
      </c>
      <c r="D157" s="11">
        <v>0</v>
      </c>
      <c r="E157" s="11">
        <v>7728.9639344799989</v>
      </c>
      <c r="F157" s="41">
        <v>-1299.5248457479602</v>
      </c>
      <c r="G157" s="40"/>
    </row>
    <row r="158" spans="1:8" x14ac:dyDescent="0.45">
      <c r="A158" s="20">
        <v>45698</v>
      </c>
      <c r="B158" s="36">
        <v>7860</v>
      </c>
      <c r="C158" s="11">
        <v>10735</v>
      </c>
      <c r="D158" s="11">
        <v>0</v>
      </c>
      <c r="E158" s="11">
        <v>7860.5059624199994</v>
      </c>
      <c r="F158" s="41">
        <v>-1167.9828178079597</v>
      </c>
      <c r="G158" s="40"/>
    </row>
    <row r="159" spans="1:8" x14ac:dyDescent="0.45">
      <c r="A159" s="20">
        <v>45699</v>
      </c>
      <c r="B159" s="36">
        <v>5920</v>
      </c>
      <c r="C159" s="11">
        <v>10765</v>
      </c>
      <c r="D159" s="11">
        <v>0</v>
      </c>
      <c r="E159" s="11">
        <v>10529.377894160001</v>
      </c>
      <c r="F159" s="41">
        <v>1500.8891139320422</v>
      </c>
      <c r="G159" s="40"/>
    </row>
    <row r="160" spans="1:8" x14ac:dyDescent="0.45">
      <c r="A160" s="20">
        <v>45700</v>
      </c>
      <c r="B160" s="36">
        <v>6020</v>
      </c>
      <c r="C160" s="11">
        <v>10600</v>
      </c>
      <c r="D160" s="11">
        <v>1000</v>
      </c>
      <c r="E160" s="11">
        <v>10460.35005967</v>
      </c>
      <c r="F160" s="41">
        <v>1431.8612794420405</v>
      </c>
      <c r="G160" s="40"/>
    </row>
    <row r="161" spans="1:7" x14ac:dyDescent="0.45">
      <c r="A161" s="20">
        <v>45701</v>
      </c>
      <c r="B161" s="36">
        <v>7390</v>
      </c>
      <c r="C161" s="11">
        <v>10100</v>
      </c>
      <c r="D161" s="11">
        <v>1000</v>
      </c>
      <c r="E161" s="11">
        <v>7311.3783940400008</v>
      </c>
      <c r="F161" s="41">
        <v>-1717.1103861879583</v>
      </c>
      <c r="G161" s="40"/>
    </row>
    <row r="162" spans="1:7" x14ac:dyDescent="0.45">
      <c r="A162" s="20">
        <v>45702</v>
      </c>
      <c r="B162" s="36">
        <v>6880</v>
      </c>
      <c r="C162" s="11">
        <v>6850</v>
      </c>
      <c r="D162" s="11">
        <v>1000</v>
      </c>
      <c r="E162" s="11">
        <v>10878.479085020002</v>
      </c>
      <c r="F162" s="41">
        <v>1849.9903047920434</v>
      </c>
      <c r="G162" s="40"/>
    </row>
    <row r="163" spans="1:7" x14ac:dyDescent="0.45">
      <c r="A163" s="20">
        <v>45705</v>
      </c>
      <c r="B163" s="36">
        <v>4990</v>
      </c>
      <c r="C163" s="11">
        <v>10080</v>
      </c>
      <c r="D163" s="11">
        <v>1000</v>
      </c>
      <c r="E163" s="11">
        <v>9462.78357426</v>
      </c>
      <c r="F163" s="41">
        <v>434.29479403204095</v>
      </c>
      <c r="G163" s="40"/>
    </row>
    <row r="164" spans="1:7" x14ac:dyDescent="0.45">
      <c r="A164" s="20">
        <v>45706</v>
      </c>
      <c r="B164" s="36">
        <v>6430</v>
      </c>
      <c r="C164" s="11">
        <v>10000</v>
      </c>
      <c r="D164" s="11">
        <v>1000</v>
      </c>
      <c r="E164" s="11">
        <v>8368.4731578499996</v>
      </c>
      <c r="F164" s="41">
        <v>-660.01562237795952</v>
      </c>
      <c r="G164" s="40"/>
    </row>
    <row r="165" spans="1:7" x14ac:dyDescent="0.45">
      <c r="A165" s="20">
        <v>45707</v>
      </c>
      <c r="B165" s="36">
        <v>5760</v>
      </c>
      <c r="C165" s="11">
        <v>10080</v>
      </c>
      <c r="D165" s="11">
        <v>1000</v>
      </c>
      <c r="E165" s="11">
        <v>8340.6497463800006</v>
      </c>
      <c r="F165" s="41">
        <v>-687.83903384795849</v>
      </c>
      <c r="G165" s="40"/>
    </row>
    <row r="166" spans="1:7" x14ac:dyDescent="0.45">
      <c r="A166" s="20">
        <v>45708</v>
      </c>
      <c r="B166" s="36">
        <v>6254</v>
      </c>
      <c r="C166" s="11">
        <v>10500</v>
      </c>
      <c r="D166" s="11">
        <v>1000</v>
      </c>
      <c r="E166" s="11">
        <v>8015.5659999999998</v>
      </c>
      <c r="F166" s="41">
        <v>-1012.9227802279593</v>
      </c>
      <c r="G166" s="40"/>
    </row>
    <row r="167" spans="1:7" x14ac:dyDescent="0.45">
      <c r="A167" s="20">
        <v>45709</v>
      </c>
      <c r="B167" s="36">
        <v>6490</v>
      </c>
      <c r="C167" s="11">
        <v>10500</v>
      </c>
      <c r="D167" s="11">
        <v>0</v>
      </c>
      <c r="E167" s="11">
        <v>8312.8542820800012</v>
      </c>
      <c r="F167" s="41">
        <v>-715.63449814795786</v>
      </c>
      <c r="G167" s="40"/>
    </row>
    <row r="168" spans="1:7" x14ac:dyDescent="0.45">
      <c r="A168" s="20">
        <v>45712</v>
      </c>
      <c r="B168" s="36">
        <v>6880</v>
      </c>
      <c r="C168" s="11">
        <v>10500</v>
      </c>
      <c r="D168" s="11">
        <v>0</v>
      </c>
      <c r="E168" s="11">
        <v>9138.1180000000004</v>
      </c>
      <c r="F168" s="41">
        <v>109.62921977204132</v>
      </c>
      <c r="G168" s="40"/>
    </row>
    <row r="169" spans="1:7" x14ac:dyDescent="0.45">
      <c r="A169" s="20">
        <v>45713</v>
      </c>
      <c r="B169" s="36">
        <v>7775</v>
      </c>
      <c r="C169" s="11">
        <v>10620</v>
      </c>
      <c r="D169" s="11">
        <v>0</v>
      </c>
      <c r="E169" s="11">
        <v>8585.1169727500001</v>
      </c>
      <c r="F169" s="41">
        <v>-443.37180747795901</v>
      </c>
      <c r="G169" s="40"/>
    </row>
    <row r="170" spans="1:7" x14ac:dyDescent="0.45">
      <c r="A170" s="20">
        <v>45714</v>
      </c>
      <c r="B170" s="36">
        <v>8060</v>
      </c>
      <c r="C170" s="11">
        <v>10950</v>
      </c>
      <c r="D170" s="11">
        <v>0</v>
      </c>
      <c r="E170" s="11">
        <v>8277.40556234</v>
      </c>
      <c r="F170" s="41">
        <v>-751.08321788795911</v>
      </c>
      <c r="G170" s="40"/>
    </row>
    <row r="171" spans="1:7" x14ac:dyDescent="0.45">
      <c r="A171" s="20">
        <v>45715</v>
      </c>
      <c r="B171" s="36">
        <v>7615</v>
      </c>
      <c r="C171" s="11">
        <v>10850</v>
      </c>
      <c r="D171" s="11">
        <v>0</v>
      </c>
      <c r="E171" s="11">
        <v>7794.1179999999995</v>
      </c>
      <c r="F171" s="41">
        <v>-1234.3707802279596</v>
      </c>
      <c r="G171" s="40"/>
    </row>
    <row r="172" spans="1:7" x14ac:dyDescent="0.45">
      <c r="A172" s="20">
        <v>45716</v>
      </c>
      <c r="B172" s="36">
        <v>7340</v>
      </c>
      <c r="C172" s="11">
        <v>10950</v>
      </c>
      <c r="D172" s="11">
        <v>0</v>
      </c>
      <c r="E172" s="11">
        <v>8263.5882226700014</v>
      </c>
      <c r="F172" s="41">
        <v>-764.90055755795765</v>
      </c>
      <c r="G172" s="40"/>
    </row>
    <row r="173" spans="1:7" x14ac:dyDescent="0.45">
      <c r="A173" s="20">
        <v>45719</v>
      </c>
      <c r="B173" s="36">
        <v>7716</v>
      </c>
      <c r="C173" s="11">
        <v>10950</v>
      </c>
      <c r="D173" s="11">
        <v>0</v>
      </c>
      <c r="E173" s="11">
        <v>7753.8141287800008</v>
      </c>
      <c r="F173" s="41">
        <v>-1274.6746514479582</v>
      </c>
      <c r="G173" s="40"/>
    </row>
    <row r="174" spans="1:7" x14ac:dyDescent="0.45">
      <c r="A174" s="20">
        <v>45720</v>
      </c>
      <c r="B174" s="36">
        <v>7920</v>
      </c>
      <c r="C174" s="11">
        <v>10950</v>
      </c>
      <c r="D174" s="11">
        <v>0</v>
      </c>
      <c r="E174" s="11">
        <v>7496.8990000000003</v>
      </c>
      <c r="F174" s="41">
        <v>-1531.5897802279587</v>
      </c>
      <c r="G174" s="40"/>
    </row>
    <row r="175" spans="1:7" x14ac:dyDescent="0.45">
      <c r="A175" s="20">
        <v>45721</v>
      </c>
      <c r="B175" s="36">
        <v>7890</v>
      </c>
      <c r="C175" s="11">
        <v>10950</v>
      </c>
      <c r="D175" s="11">
        <v>0</v>
      </c>
      <c r="E175" s="11">
        <v>7126.1401843000003</v>
      </c>
      <c r="F175" s="41">
        <v>-1902.3485959279587</v>
      </c>
      <c r="G175" s="40"/>
    </row>
    <row r="176" spans="1:7" x14ac:dyDescent="0.45">
      <c r="A176" s="20">
        <v>45722</v>
      </c>
      <c r="B176" s="36">
        <v>7730</v>
      </c>
      <c r="C176" s="11">
        <v>10800</v>
      </c>
      <c r="D176" s="11">
        <v>0</v>
      </c>
      <c r="E176" s="11">
        <v>7221.4302697099993</v>
      </c>
      <c r="F176" s="41">
        <v>-1807.0585105179598</v>
      </c>
      <c r="G176" s="40"/>
    </row>
    <row r="177" spans="1:7" x14ac:dyDescent="0.45">
      <c r="A177" s="20">
        <v>45723</v>
      </c>
      <c r="B177" s="36">
        <v>7830</v>
      </c>
      <c r="C177" s="11">
        <v>10900</v>
      </c>
      <c r="D177" s="11">
        <v>0</v>
      </c>
      <c r="E177" s="11">
        <v>6886.5367151700011</v>
      </c>
      <c r="F177" s="41">
        <v>-2141.952065057958</v>
      </c>
      <c r="G177" s="40"/>
    </row>
    <row r="178" spans="1:7" x14ac:dyDescent="0.45">
      <c r="A178" s="20">
        <v>45726</v>
      </c>
      <c r="B178" s="36">
        <v>8170</v>
      </c>
      <c r="C178" s="11">
        <v>10750</v>
      </c>
      <c r="D178" s="11">
        <v>0</v>
      </c>
      <c r="E178" s="11">
        <v>7353.6860000000006</v>
      </c>
      <c r="F178" s="41">
        <v>-1674.8027802279585</v>
      </c>
      <c r="G178" s="40"/>
    </row>
    <row r="179" spans="1:7" x14ac:dyDescent="0.45">
      <c r="A179" s="20">
        <v>45727</v>
      </c>
      <c r="B179" s="36">
        <v>8320</v>
      </c>
      <c r="C179" s="11">
        <v>10750</v>
      </c>
      <c r="D179" s="11">
        <v>0</v>
      </c>
      <c r="E179" s="11">
        <v>7332.1621105899994</v>
      </c>
      <c r="F179" s="41">
        <v>-1696.3266696379596</v>
      </c>
      <c r="G179" s="40"/>
    </row>
    <row r="180" spans="1:7" x14ac:dyDescent="0.45">
      <c r="A180" s="20">
        <v>45728</v>
      </c>
      <c r="B180" s="36">
        <v>7990</v>
      </c>
      <c r="C180" s="11">
        <v>9650</v>
      </c>
      <c r="D180" s="11">
        <v>0</v>
      </c>
      <c r="E180" s="11">
        <v>8271.7099999999991</v>
      </c>
      <c r="F180" s="41">
        <v>-756.77878022795994</v>
      </c>
      <c r="G180" s="40"/>
    </row>
    <row r="181" spans="1:7" x14ac:dyDescent="0.45">
      <c r="A181" s="20">
        <v>45729</v>
      </c>
      <c r="B181" s="36">
        <v>7267</v>
      </c>
      <c r="C181" s="11">
        <v>9700</v>
      </c>
      <c r="D181" s="11">
        <v>0</v>
      </c>
      <c r="E181" s="11">
        <v>8075.56</v>
      </c>
      <c r="F181" s="41">
        <v>-952.92878022795867</v>
      </c>
      <c r="G181" s="40"/>
    </row>
    <row r="182" spans="1:7" x14ac:dyDescent="0.45">
      <c r="A182" s="20">
        <v>45730</v>
      </c>
    </row>
    <row r="183" spans="1:7" x14ac:dyDescent="0.45">
      <c r="A183" s="20">
        <v>45733</v>
      </c>
    </row>
    <row r="184" spans="1:7" x14ac:dyDescent="0.45">
      <c r="A184" s="20">
        <v>45734</v>
      </c>
    </row>
    <row r="185" spans="1:7" x14ac:dyDescent="0.45">
      <c r="A185" s="20">
        <v>45735</v>
      </c>
    </row>
    <row r="186" spans="1:7" x14ac:dyDescent="0.45">
      <c r="A186" s="20">
        <v>45736</v>
      </c>
    </row>
    <row r="187" spans="1:7" x14ac:dyDescent="0.45">
      <c r="A187" s="20">
        <v>45737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2755-47FB-4F0E-B7D9-EA120B5925C1}">
  <dimension ref="B12:K26"/>
  <sheetViews>
    <sheetView workbookViewId="0">
      <selection activeCell="P36" sqref="P36"/>
    </sheetView>
  </sheetViews>
  <sheetFormatPr baseColWidth="10" defaultRowHeight="14.25" x14ac:dyDescent="0.45"/>
  <cols>
    <col min="2" max="2" width="14.06640625" bestFit="1" customWidth="1"/>
    <col min="3" max="3" width="17.33203125" bestFit="1" customWidth="1"/>
    <col min="4" max="4" width="15.06640625" customWidth="1"/>
    <col min="8" max="8" width="17.59765625" bestFit="1" customWidth="1"/>
  </cols>
  <sheetData>
    <row r="12" spans="8:11" ht="14.65" thickBot="1" x14ac:dyDescent="0.5"/>
    <row r="13" spans="8:11" ht="29.65" customHeight="1" thickBot="1" x14ac:dyDescent="0.5">
      <c r="H13" s="129" t="s">
        <v>27</v>
      </c>
      <c r="I13" s="130"/>
      <c r="J13" s="130"/>
      <c r="K13" s="131"/>
    </row>
    <row r="14" spans="8:11" x14ac:dyDescent="0.45">
      <c r="H14" s="47" t="s">
        <v>20</v>
      </c>
      <c r="I14" s="45">
        <v>45730</v>
      </c>
      <c r="J14" s="45">
        <v>45723</v>
      </c>
      <c r="K14" s="46">
        <v>45365</v>
      </c>
    </row>
    <row r="15" spans="8:11" x14ac:dyDescent="0.45">
      <c r="H15" s="48" t="s">
        <v>28</v>
      </c>
      <c r="I15" s="11">
        <v>16436.62</v>
      </c>
      <c r="J15" s="11">
        <v>6886.5367151700011</v>
      </c>
      <c r="K15" s="42">
        <v>8360.7979402000001</v>
      </c>
    </row>
    <row r="16" spans="8:11" x14ac:dyDescent="0.45">
      <c r="H16" s="48" t="s">
        <v>29</v>
      </c>
      <c r="I16" s="11">
        <v>9028.4887802279591</v>
      </c>
      <c r="J16" s="11">
        <v>9028.4887802279591</v>
      </c>
      <c r="K16" s="42">
        <v>7499.8643890666544</v>
      </c>
    </row>
    <row r="17" spans="2:11" ht="14.65" thickBot="1" x14ac:dyDescent="0.5">
      <c r="H17" s="49" t="s">
        <v>30</v>
      </c>
      <c r="I17" s="43">
        <v>7408.13</v>
      </c>
      <c r="J17" s="43">
        <v>-2141.9520650579607</v>
      </c>
      <c r="K17" s="44">
        <v>860.93355113334587</v>
      </c>
    </row>
    <row r="20" spans="2:11" ht="14.65" thickBot="1" x14ac:dyDescent="0.5"/>
    <row r="21" spans="2:11" ht="29.65" customHeight="1" x14ac:dyDescent="0.45">
      <c r="B21" s="134" t="s">
        <v>40</v>
      </c>
      <c r="C21" s="135"/>
      <c r="D21" s="54" t="s">
        <v>41</v>
      </c>
      <c r="E21" s="55" t="s">
        <v>39</v>
      </c>
    </row>
    <row r="22" spans="2:11" x14ac:dyDescent="0.45">
      <c r="B22" s="132" t="s">
        <v>36</v>
      </c>
      <c r="C22" s="57" t="s">
        <v>31</v>
      </c>
      <c r="D22" s="50">
        <v>0</v>
      </c>
      <c r="E22" s="51"/>
    </row>
    <row r="23" spans="2:11" x14ac:dyDescent="0.45">
      <c r="B23" s="132"/>
      <c r="C23" s="57" t="s">
        <v>32</v>
      </c>
      <c r="D23" s="50">
        <v>0</v>
      </c>
      <c r="E23" s="51"/>
    </row>
    <row r="24" spans="2:11" x14ac:dyDescent="0.45">
      <c r="B24" s="133" t="s">
        <v>37</v>
      </c>
      <c r="C24" s="57" t="s">
        <v>33</v>
      </c>
      <c r="D24" s="50">
        <v>1411</v>
      </c>
      <c r="E24" s="51">
        <v>3.3599999999999998E-2</v>
      </c>
    </row>
    <row r="25" spans="2:11" x14ac:dyDescent="0.45">
      <c r="B25" s="133"/>
      <c r="C25" s="57" t="s">
        <v>34</v>
      </c>
      <c r="D25" s="50">
        <v>1660</v>
      </c>
      <c r="E25" s="51">
        <v>4.6699999999999998E-2</v>
      </c>
    </row>
    <row r="26" spans="2:11" ht="14.65" thickBot="1" x14ac:dyDescent="0.5">
      <c r="B26" s="56" t="s">
        <v>38</v>
      </c>
      <c r="C26" s="58" t="s">
        <v>35</v>
      </c>
      <c r="D26" s="52">
        <v>160</v>
      </c>
      <c r="E26" s="53">
        <v>8.2000000000000003E-2</v>
      </c>
    </row>
  </sheetData>
  <mergeCells count="4">
    <mergeCell ref="H13:K13"/>
    <mergeCell ref="B22:B23"/>
    <mergeCell ref="B24:B25"/>
    <mergeCell ref="B21:C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FF7F-305B-4C43-96AD-B6E1E6CF7A10}">
  <dimension ref="D9:L28"/>
  <sheetViews>
    <sheetView topLeftCell="D1" zoomScale="140" zoomScaleNormal="140" workbookViewId="0">
      <selection activeCell="G71" sqref="G71"/>
    </sheetView>
  </sheetViews>
  <sheetFormatPr baseColWidth="10" defaultRowHeight="14.25" x14ac:dyDescent="0.45"/>
  <cols>
    <col min="4" max="4" width="17.59765625" bestFit="1" customWidth="1"/>
    <col min="5" max="5" width="16.46484375" bestFit="1" customWidth="1"/>
    <col min="6" max="6" width="15.33203125" customWidth="1"/>
    <col min="7" max="7" width="15.33203125" bestFit="1" customWidth="1"/>
  </cols>
  <sheetData>
    <row r="9" spans="4:12" ht="14.65" thickBot="1" x14ac:dyDescent="0.5"/>
    <row r="10" spans="4:12" ht="14.65" thickBot="1" x14ac:dyDescent="0.5">
      <c r="D10" s="136" t="s">
        <v>48</v>
      </c>
      <c r="E10" s="137"/>
      <c r="F10" s="137"/>
      <c r="G10" s="137"/>
      <c r="H10" s="137"/>
      <c r="I10" s="137"/>
      <c r="J10" s="138"/>
    </row>
    <row r="11" spans="4:12" ht="14.65" thickBot="1" x14ac:dyDescent="0.5">
      <c r="D11" s="60"/>
      <c r="E11" s="61"/>
      <c r="F11" s="62"/>
      <c r="G11" s="62"/>
      <c r="H11" s="61"/>
      <c r="I11" s="61"/>
      <c r="J11" s="26"/>
    </row>
    <row r="12" spans="4:12" ht="14.65" thickBot="1" x14ac:dyDescent="0.5">
      <c r="D12" s="63" t="s">
        <v>20</v>
      </c>
      <c r="E12" s="64" t="s">
        <v>35</v>
      </c>
      <c r="F12" s="64" t="s">
        <v>43</v>
      </c>
      <c r="G12" s="64" t="s">
        <v>44</v>
      </c>
      <c r="H12" s="64" t="s">
        <v>45</v>
      </c>
      <c r="I12" s="64" t="s">
        <v>46</v>
      </c>
      <c r="J12" s="65" t="s">
        <v>47</v>
      </c>
    </row>
    <row r="13" spans="4:12" x14ac:dyDescent="0.45">
      <c r="D13" s="66">
        <v>45292</v>
      </c>
      <c r="E13" s="67">
        <v>300</v>
      </c>
      <c r="F13" s="67">
        <v>3670</v>
      </c>
      <c r="G13" s="67">
        <v>500</v>
      </c>
      <c r="H13" s="67">
        <v>0</v>
      </c>
      <c r="I13" s="67">
        <v>9160</v>
      </c>
      <c r="J13" s="68">
        <v>13800</v>
      </c>
    </row>
    <row r="14" spans="4:12" x14ac:dyDescent="0.45">
      <c r="D14" s="69">
        <v>45323</v>
      </c>
      <c r="E14" s="50">
        <v>350</v>
      </c>
      <c r="F14" s="50">
        <v>7145</v>
      </c>
      <c r="G14" s="50">
        <v>100</v>
      </c>
      <c r="H14" s="50">
        <v>400</v>
      </c>
      <c r="I14" s="50">
        <v>9080</v>
      </c>
      <c r="J14" s="70">
        <v>13950</v>
      </c>
    </row>
    <row r="15" spans="4:12" x14ac:dyDescent="0.45">
      <c r="D15" s="69">
        <v>45352</v>
      </c>
      <c r="E15" s="50">
        <v>350</v>
      </c>
      <c r="F15" s="50">
        <v>5825</v>
      </c>
      <c r="G15" s="50">
        <v>600</v>
      </c>
      <c r="H15" s="50">
        <v>0</v>
      </c>
      <c r="I15" s="50">
        <v>6380</v>
      </c>
      <c r="J15" s="70">
        <v>22360</v>
      </c>
    </row>
    <row r="16" spans="4:12" x14ac:dyDescent="0.45">
      <c r="D16" s="69">
        <v>45383</v>
      </c>
      <c r="E16" s="50">
        <v>818.5</v>
      </c>
      <c r="F16" s="50">
        <v>4090.4</v>
      </c>
      <c r="G16" s="50">
        <v>500</v>
      </c>
      <c r="H16" s="50">
        <v>0</v>
      </c>
      <c r="I16" s="50">
        <v>7120</v>
      </c>
      <c r="J16" s="70">
        <v>24140</v>
      </c>
      <c r="L16" s="38"/>
    </row>
    <row r="17" spans="4:12" x14ac:dyDescent="0.45">
      <c r="D17" s="69">
        <v>45413</v>
      </c>
      <c r="E17" s="50">
        <v>574</v>
      </c>
      <c r="F17" s="50">
        <v>4974.68</v>
      </c>
      <c r="G17" s="50">
        <v>300</v>
      </c>
      <c r="H17" s="50">
        <v>0</v>
      </c>
      <c r="I17" s="50">
        <v>30485</v>
      </c>
      <c r="J17" s="70">
        <v>24260</v>
      </c>
      <c r="L17" s="38"/>
    </row>
    <row r="18" spans="4:12" x14ac:dyDescent="0.45">
      <c r="D18" s="69">
        <v>45444</v>
      </c>
      <c r="E18" s="50">
        <v>929.6</v>
      </c>
      <c r="F18" s="50">
        <v>4640.3999999999996</v>
      </c>
      <c r="G18" s="50">
        <v>600</v>
      </c>
      <c r="H18" s="50">
        <v>500</v>
      </c>
      <c r="I18" s="50">
        <v>19722.3</v>
      </c>
      <c r="J18" s="70">
        <v>20450</v>
      </c>
      <c r="L18" s="38"/>
    </row>
    <row r="19" spans="4:12" x14ac:dyDescent="0.45">
      <c r="D19" s="69">
        <v>45474</v>
      </c>
      <c r="E19" s="50">
        <v>1615</v>
      </c>
      <c r="F19" s="50">
        <v>3723.2</v>
      </c>
      <c r="G19" s="50">
        <v>500</v>
      </c>
      <c r="H19" s="50">
        <v>0</v>
      </c>
      <c r="I19" s="50">
        <v>11000</v>
      </c>
      <c r="J19" s="70">
        <v>18580</v>
      </c>
      <c r="L19" s="38"/>
    </row>
    <row r="20" spans="4:12" x14ac:dyDescent="0.45">
      <c r="D20" s="69">
        <v>45505</v>
      </c>
      <c r="E20" s="50">
        <v>650</v>
      </c>
      <c r="F20" s="50">
        <v>5009.97</v>
      </c>
      <c r="G20" s="50">
        <v>900</v>
      </c>
      <c r="H20" s="50">
        <v>1500</v>
      </c>
      <c r="I20" s="50">
        <v>8600</v>
      </c>
      <c r="J20" s="70">
        <v>21160</v>
      </c>
      <c r="L20" s="38"/>
    </row>
    <row r="21" spans="4:12" x14ac:dyDescent="0.45">
      <c r="D21" s="69">
        <v>45536</v>
      </c>
      <c r="E21" s="50">
        <v>520</v>
      </c>
      <c r="F21" s="50">
        <v>3906.8</v>
      </c>
      <c r="G21" s="50">
        <v>400</v>
      </c>
      <c r="H21" s="50">
        <v>0</v>
      </c>
      <c r="I21" s="50">
        <v>6400</v>
      </c>
      <c r="J21" s="70">
        <v>20300</v>
      </c>
      <c r="L21" s="38"/>
    </row>
    <row r="22" spans="4:12" x14ac:dyDescent="0.45">
      <c r="D22" s="69">
        <v>45566</v>
      </c>
      <c r="E22" s="50">
        <v>770</v>
      </c>
      <c r="F22" s="50">
        <v>4575</v>
      </c>
      <c r="G22" s="50">
        <v>715</v>
      </c>
      <c r="H22" s="50">
        <v>1500</v>
      </c>
      <c r="I22" s="50">
        <v>6100</v>
      </c>
      <c r="J22" s="70">
        <v>35000</v>
      </c>
      <c r="L22" s="38"/>
    </row>
    <row r="23" spans="4:12" x14ac:dyDescent="0.45">
      <c r="D23" s="69">
        <v>45597</v>
      </c>
      <c r="E23" s="50">
        <v>340</v>
      </c>
      <c r="F23" s="50">
        <v>4521.2</v>
      </c>
      <c r="G23" s="50">
        <v>600</v>
      </c>
      <c r="H23" s="50">
        <v>0</v>
      </c>
      <c r="I23" s="50">
        <v>7899.93333334</v>
      </c>
      <c r="J23" s="70">
        <v>31000</v>
      </c>
      <c r="L23" s="38"/>
    </row>
    <row r="24" spans="4:12" x14ac:dyDescent="0.45">
      <c r="D24" s="69">
        <v>45627</v>
      </c>
      <c r="E24" s="50">
        <v>1800</v>
      </c>
      <c r="F24" s="50">
        <v>5302</v>
      </c>
      <c r="G24" s="50">
        <v>1270</v>
      </c>
      <c r="H24" s="50">
        <v>0</v>
      </c>
      <c r="I24" s="50">
        <v>7199.9444444500004</v>
      </c>
      <c r="J24" s="70">
        <v>34000</v>
      </c>
      <c r="L24" s="38"/>
    </row>
    <row r="25" spans="4:12" x14ac:dyDescent="0.45">
      <c r="D25" s="69">
        <v>45658</v>
      </c>
      <c r="E25" s="50">
        <v>810</v>
      </c>
      <c r="F25" s="50">
        <v>5876</v>
      </c>
      <c r="G25" s="50">
        <v>500</v>
      </c>
      <c r="H25" s="50">
        <v>0</v>
      </c>
      <c r="I25" s="50">
        <v>3999.9461293899999</v>
      </c>
      <c r="J25" s="70">
        <v>13999.98571429</v>
      </c>
      <c r="L25" s="38"/>
    </row>
    <row r="26" spans="4:12" x14ac:dyDescent="0.45">
      <c r="D26" s="69">
        <v>45689</v>
      </c>
      <c r="E26" s="50">
        <v>1075</v>
      </c>
      <c r="F26" s="50">
        <v>6490</v>
      </c>
      <c r="G26" s="50">
        <v>500</v>
      </c>
      <c r="H26" s="50">
        <v>0</v>
      </c>
      <c r="I26" s="50">
        <v>500</v>
      </c>
      <c r="J26" s="70">
        <v>500</v>
      </c>
      <c r="L26" s="38"/>
    </row>
    <row r="27" spans="4:12" ht="14.65" thickBot="1" x14ac:dyDescent="0.5">
      <c r="D27" s="71">
        <v>45717</v>
      </c>
      <c r="E27" s="52">
        <v>650</v>
      </c>
      <c r="F27" s="52">
        <v>5154</v>
      </c>
      <c r="G27" s="52">
        <v>500</v>
      </c>
      <c r="H27" s="52">
        <v>1760</v>
      </c>
      <c r="I27" s="52">
        <v>0</v>
      </c>
      <c r="J27" s="72">
        <v>0</v>
      </c>
      <c r="L27" s="38"/>
    </row>
    <row r="28" spans="4:12" x14ac:dyDescent="0.45">
      <c r="D28" s="59"/>
    </row>
  </sheetData>
  <mergeCells count="1">
    <mergeCell ref="D10:J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137F-43FF-4734-AD6C-0FF518A74FD3}">
  <dimension ref="B3:R299"/>
  <sheetViews>
    <sheetView showGridLines="0" tabSelected="1" zoomScale="80" zoomScaleNormal="80" workbookViewId="0">
      <pane xSplit="2" ySplit="4" topLeftCell="C269" activePane="bottomRight" state="frozen"/>
      <selection pane="topRight" activeCell="C1" sqref="C1"/>
      <selection pane="bottomLeft" activeCell="A5" sqref="A5"/>
      <selection pane="bottomRight" activeCell="V317" sqref="V317"/>
    </sheetView>
  </sheetViews>
  <sheetFormatPr baseColWidth="10" defaultRowHeight="14.25" x14ac:dyDescent="0.45"/>
  <cols>
    <col min="6" max="9" width="10.59765625" style="73"/>
  </cols>
  <sheetData>
    <row r="3" spans="2:17" ht="14.65" thickBot="1" x14ac:dyDescent="0.5">
      <c r="F3" s="139"/>
      <c r="G3" s="139"/>
      <c r="H3" s="139"/>
      <c r="I3" s="139"/>
    </row>
    <row r="4" spans="2:17" s="1" customFormat="1" ht="57.4" thickBot="1" x14ac:dyDescent="0.5">
      <c r="B4" s="74" t="s">
        <v>20</v>
      </c>
      <c r="C4" s="75" t="s">
        <v>57</v>
      </c>
      <c r="D4" s="75" t="s">
        <v>58</v>
      </c>
      <c r="E4" s="75" t="s">
        <v>59</v>
      </c>
      <c r="F4" s="76" t="s">
        <v>49</v>
      </c>
      <c r="G4" s="76" t="s">
        <v>50</v>
      </c>
      <c r="H4" s="76" t="s">
        <v>51</v>
      </c>
      <c r="I4" s="76" t="s">
        <v>52</v>
      </c>
      <c r="J4" s="76" t="s">
        <v>53</v>
      </c>
      <c r="K4" s="76" t="s">
        <v>54</v>
      </c>
      <c r="L4" s="76" t="s">
        <v>55</v>
      </c>
      <c r="M4" s="76" t="s">
        <v>56</v>
      </c>
      <c r="N4" s="76" t="s">
        <v>80</v>
      </c>
      <c r="O4" s="76" t="s">
        <v>81</v>
      </c>
      <c r="P4" s="77" t="s">
        <v>82</v>
      </c>
      <c r="Q4" s="77" t="s">
        <v>60</v>
      </c>
    </row>
    <row r="5" spans="2:17" x14ac:dyDescent="0.45">
      <c r="B5" s="87">
        <v>44567</v>
      </c>
      <c r="C5" s="82">
        <v>5</v>
      </c>
      <c r="D5" s="83">
        <v>0</v>
      </c>
      <c r="E5" s="82">
        <v>6.5</v>
      </c>
      <c r="F5" s="82"/>
      <c r="G5" s="82"/>
      <c r="H5" s="82">
        <v>1.8</v>
      </c>
      <c r="I5" s="82"/>
      <c r="J5" s="84"/>
      <c r="K5" s="84"/>
      <c r="L5" s="84"/>
      <c r="M5" s="84"/>
      <c r="N5" s="84"/>
      <c r="O5" s="84"/>
      <c r="P5" s="85"/>
      <c r="Q5" s="73">
        <f>+AVERAGE(F5:M5)</f>
        <v>1.8</v>
      </c>
    </row>
    <row r="6" spans="2:17" x14ac:dyDescent="0.45">
      <c r="B6" s="86">
        <v>44574</v>
      </c>
      <c r="C6" s="78">
        <v>5</v>
      </c>
      <c r="D6" s="67">
        <v>0</v>
      </c>
      <c r="E6" s="78">
        <v>6.5</v>
      </c>
      <c r="F6" s="79"/>
      <c r="G6" s="79"/>
      <c r="H6" s="79">
        <v>1.7385714285714287</v>
      </c>
      <c r="I6" s="79"/>
      <c r="J6" s="80"/>
      <c r="K6" s="80"/>
      <c r="L6" s="80"/>
      <c r="M6" s="80"/>
      <c r="N6" s="80"/>
      <c r="O6" s="80"/>
      <c r="P6" s="81"/>
      <c r="Q6" s="73">
        <f>+AVERAGE(F6:M6)</f>
        <v>1.7385714285714287</v>
      </c>
    </row>
    <row r="7" spans="2:17" x14ac:dyDescent="0.45">
      <c r="B7" s="86">
        <v>44581</v>
      </c>
      <c r="C7" s="78">
        <v>5</v>
      </c>
      <c r="D7" s="67">
        <v>0</v>
      </c>
      <c r="E7" s="78">
        <v>6.5</v>
      </c>
      <c r="F7" s="79"/>
      <c r="G7" s="79"/>
      <c r="H7" s="79">
        <v>1.52</v>
      </c>
      <c r="I7" s="79"/>
      <c r="J7" s="80"/>
      <c r="K7" s="80"/>
      <c r="L7" s="80"/>
      <c r="M7" s="80"/>
      <c r="N7" s="80"/>
      <c r="O7" s="80"/>
      <c r="P7" s="81"/>
      <c r="Q7" s="73">
        <f t="shared" ref="Q7:Q69" si="0">+AVERAGE(F7:M7)</f>
        <v>1.52</v>
      </c>
    </row>
    <row r="8" spans="2:17" x14ac:dyDescent="0.45">
      <c r="B8" s="86">
        <v>44588</v>
      </c>
      <c r="C8" s="78">
        <v>5</v>
      </c>
      <c r="D8" s="67">
        <v>0</v>
      </c>
      <c r="E8" s="78">
        <v>6.5</v>
      </c>
      <c r="F8" s="79"/>
      <c r="G8" s="79"/>
      <c r="H8" s="79">
        <v>1.4630769230769232</v>
      </c>
      <c r="I8" s="79"/>
      <c r="J8" s="80"/>
      <c r="K8" s="80"/>
      <c r="L8" s="80"/>
      <c r="M8" s="80"/>
      <c r="N8" s="80"/>
      <c r="O8" s="80"/>
      <c r="P8" s="81"/>
      <c r="Q8" s="73">
        <f t="shared" si="0"/>
        <v>1.4630769230769232</v>
      </c>
    </row>
    <row r="9" spans="2:17" x14ac:dyDescent="0.45">
      <c r="B9" s="86">
        <v>44595</v>
      </c>
      <c r="C9" s="78">
        <v>5</v>
      </c>
      <c r="D9" s="67">
        <v>0</v>
      </c>
      <c r="E9" s="78">
        <v>6.5</v>
      </c>
      <c r="F9" s="79"/>
      <c r="G9" s="79"/>
      <c r="H9" s="79">
        <v>1.8142361111111112</v>
      </c>
      <c r="I9" s="79"/>
      <c r="J9" s="80"/>
      <c r="K9" s="80"/>
      <c r="L9" s="80"/>
      <c r="M9" s="80"/>
      <c r="N9" s="80"/>
      <c r="O9" s="80"/>
      <c r="P9" s="81"/>
      <c r="Q9" s="73">
        <f t="shared" si="0"/>
        <v>1.8142361111111112</v>
      </c>
    </row>
    <row r="10" spans="2:17" x14ac:dyDescent="0.45">
      <c r="B10" s="86">
        <v>44602</v>
      </c>
      <c r="C10" s="78">
        <v>5</v>
      </c>
      <c r="D10" s="67">
        <v>0</v>
      </c>
      <c r="E10" s="78">
        <v>6.5</v>
      </c>
      <c r="F10" s="79"/>
      <c r="G10" s="79"/>
      <c r="H10" s="79">
        <v>1.7</v>
      </c>
      <c r="I10" s="79"/>
      <c r="J10" s="80"/>
      <c r="K10" s="80"/>
      <c r="L10" s="80"/>
      <c r="M10" s="80"/>
      <c r="N10" s="80"/>
      <c r="O10" s="80"/>
      <c r="P10" s="81"/>
      <c r="Q10" s="73">
        <f t="shared" si="0"/>
        <v>1.7</v>
      </c>
    </row>
    <row r="11" spans="2:17" x14ac:dyDescent="0.45">
      <c r="B11" s="86">
        <v>44609</v>
      </c>
      <c r="C11" s="78">
        <v>5</v>
      </c>
      <c r="D11" s="67">
        <v>0</v>
      </c>
      <c r="E11" s="78">
        <v>6.5</v>
      </c>
      <c r="F11" s="79"/>
      <c r="G11" s="79"/>
      <c r="H11" s="79">
        <v>1.67</v>
      </c>
      <c r="I11" s="79"/>
      <c r="J11" s="80"/>
      <c r="K11" s="80"/>
      <c r="L11" s="80"/>
      <c r="M11" s="80"/>
      <c r="N11" s="80"/>
      <c r="O11" s="80"/>
      <c r="P11" s="81"/>
      <c r="Q11" s="73">
        <f t="shared" si="0"/>
        <v>1.67</v>
      </c>
    </row>
    <row r="12" spans="2:17" x14ac:dyDescent="0.45">
      <c r="B12" s="86">
        <v>44623</v>
      </c>
      <c r="C12" s="78">
        <v>5</v>
      </c>
      <c r="D12" s="67">
        <v>0</v>
      </c>
      <c r="E12" s="78">
        <v>6.5</v>
      </c>
      <c r="F12" s="79"/>
      <c r="G12" s="79"/>
      <c r="H12" s="79">
        <v>1.925</v>
      </c>
      <c r="I12" s="79"/>
      <c r="J12" s="80"/>
      <c r="K12" s="80"/>
      <c r="L12" s="80"/>
      <c r="M12" s="80"/>
      <c r="N12" s="80"/>
      <c r="O12" s="80"/>
      <c r="P12" s="81"/>
      <c r="Q12" s="73">
        <f t="shared" si="0"/>
        <v>1.925</v>
      </c>
    </row>
    <row r="13" spans="2:17" x14ac:dyDescent="0.45">
      <c r="B13" s="86">
        <v>44637</v>
      </c>
      <c r="C13" s="78">
        <v>5</v>
      </c>
      <c r="D13" s="67">
        <v>0</v>
      </c>
      <c r="E13" s="78">
        <v>6.5</v>
      </c>
      <c r="F13" s="79"/>
      <c r="G13" s="79"/>
      <c r="H13" s="79">
        <v>1.62</v>
      </c>
      <c r="I13" s="79"/>
      <c r="J13" s="80"/>
      <c r="K13" s="80"/>
      <c r="L13" s="80"/>
      <c r="M13" s="80"/>
      <c r="N13" s="80"/>
      <c r="O13" s="80"/>
      <c r="P13" s="81"/>
      <c r="Q13" s="73">
        <f t="shared" si="0"/>
        <v>1.62</v>
      </c>
    </row>
    <row r="14" spans="2:17" x14ac:dyDescent="0.45">
      <c r="B14" s="86">
        <v>44644</v>
      </c>
      <c r="C14" s="78">
        <v>5</v>
      </c>
      <c r="D14" s="67">
        <v>0</v>
      </c>
      <c r="E14" s="78">
        <v>6.5</v>
      </c>
      <c r="F14" s="79"/>
      <c r="G14" s="79"/>
      <c r="H14" s="79">
        <v>1.76</v>
      </c>
      <c r="I14" s="79"/>
      <c r="J14" s="80"/>
      <c r="K14" s="80"/>
      <c r="L14" s="80"/>
      <c r="M14" s="80"/>
      <c r="N14" s="80"/>
      <c r="O14" s="80"/>
      <c r="P14" s="81"/>
      <c r="Q14" s="73">
        <f t="shared" si="0"/>
        <v>1.76</v>
      </c>
    </row>
    <row r="15" spans="2:17" x14ac:dyDescent="0.45">
      <c r="B15" s="86">
        <v>44651</v>
      </c>
      <c r="C15" s="78">
        <v>5</v>
      </c>
      <c r="D15" s="67">
        <v>0</v>
      </c>
      <c r="E15" s="78">
        <v>6.5</v>
      </c>
      <c r="F15" s="79"/>
      <c r="G15" s="79"/>
      <c r="H15" s="79">
        <v>1.86</v>
      </c>
      <c r="I15" s="79"/>
      <c r="J15" s="80"/>
      <c r="K15" s="80"/>
      <c r="L15" s="80"/>
      <c r="M15" s="80"/>
      <c r="N15" s="80"/>
      <c r="O15" s="80"/>
      <c r="P15" s="81"/>
      <c r="Q15" s="73">
        <f t="shared" si="0"/>
        <v>1.86</v>
      </c>
    </row>
    <row r="16" spans="2:17" x14ac:dyDescent="0.45">
      <c r="B16" s="86">
        <v>44693</v>
      </c>
      <c r="C16" s="78">
        <v>5</v>
      </c>
      <c r="D16" s="67">
        <v>0</v>
      </c>
      <c r="E16" s="78">
        <v>6.5</v>
      </c>
      <c r="F16" s="79"/>
      <c r="G16" s="79"/>
      <c r="H16" s="79">
        <v>1.5</v>
      </c>
      <c r="I16" s="79"/>
      <c r="J16" s="80"/>
      <c r="K16" s="80"/>
      <c r="L16" s="80"/>
      <c r="M16" s="80"/>
      <c r="N16" s="80"/>
      <c r="O16" s="80"/>
      <c r="P16" s="81"/>
      <c r="Q16" s="73">
        <f t="shared" si="0"/>
        <v>1.5</v>
      </c>
    </row>
    <row r="17" spans="2:17" x14ac:dyDescent="0.45">
      <c r="B17" s="86">
        <v>44700</v>
      </c>
      <c r="C17" s="78">
        <v>5</v>
      </c>
      <c r="D17" s="67">
        <v>0</v>
      </c>
      <c r="E17" s="78">
        <v>6.5</v>
      </c>
      <c r="F17" s="79"/>
      <c r="G17" s="79"/>
      <c r="H17" s="79">
        <v>1.7136807817589577</v>
      </c>
      <c r="I17" s="79"/>
      <c r="J17" s="80"/>
      <c r="K17" s="80"/>
      <c r="L17" s="80"/>
      <c r="M17" s="80"/>
      <c r="N17" s="80"/>
      <c r="O17" s="80"/>
      <c r="P17" s="81"/>
      <c r="Q17" s="73">
        <f t="shared" si="0"/>
        <v>1.7136807817589577</v>
      </c>
    </row>
    <row r="18" spans="2:17" x14ac:dyDescent="0.45">
      <c r="B18" s="86">
        <v>44721</v>
      </c>
      <c r="C18" s="78">
        <v>5</v>
      </c>
      <c r="D18" s="67">
        <v>0</v>
      </c>
      <c r="E18" s="78">
        <v>6.5</v>
      </c>
      <c r="F18" s="79"/>
      <c r="G18" s="79"/>
      <c r="H18" s="79">
        <v>1.6793774319066148</v>
      </c>
      <c r="I18" s="79"/>
      <c r="J18" s="80"/>
      <c r="K18" s="80"/>
      <c r="L18" s="80"/>
      <c r="M18" s="80"/>
      <c r="N18" s="80"/>
      <c r="O18" s="80"/>
      <c r="P18" s="81"/>
      <c r="Q18" s="73">
        <f t="shared" si="0"/>
        <v>1.6793774319066148</v>
      </c>
    </row>
    <row r="19" spans="2:17" x14ac:dyDescent="0.45">
      <c r="B19" s="86">
        <v>44728</v>
      </c>
      <c r="C19" s="78">
        <v>5</v>
      </c>
      <c r="D19" s="67">
        <v>0</v>
      </c>
      <c r="E19" s="78">
        <v>6.5</v>
      </c>
      <c r="F19" s="79"/>
      <c r="G19" s="79"/>
      <c r="H19" s="79">
        <v>1.9742857142857142</v>
      </c>
      <c r="I19" s="79"/>
      <c r="J19" s="80"/>
      <c r="K19" s="80"/>
      <c r="L19" s="80"/>
      <c r="M19" s="80"/>
      <c r="N19" s="80"/>
      <c r="O19" s="80"/>
      <c r="P19" s="81"/>
      <c r="Q19" s="73">
        <f t="shared" si="0"/>
        <v>1.9742857142857142</v>
      </c>
    </row>
    <row r="20" spans="2:17" x14ac:dyDescent="0.45">
      <c r="B20" s="86">
        <v>44735</v>
      </c>
      <c r="C20" s="78">
        <v>5</v>
      </c>
      <c r="D20" s="67">
        <v>0</v>
      </c>
      <c r="E20" s="78">
        <v>6.5</v>
      </c>
      <c r="F20" s="79"/>
      <c r="G20" s="79"/>
      <c r="H20" s="79">
        <v>1.8566666666666667</v>
      </c>
      <c r="I20" s="79"/>
      <c r="J20" s="80"/>
      <c r="K20" s="80"/>
      <c r="L20" s="80"/>
      <c r="M20" s="80"/>
      <c r="N20" s="80"/>
      <c r="O20" s="80"/>
      <c r="P20" s="81"/>
      <c r="Q20" s="73">
        <f t="shared" si="0"/>
        <v>1.8566666666666667</v>
      </c>
    </row>
    <row r="21" spans="2:17" x14ac:dyDescent="0.45">
      <c r="B21" s="86">
        <v>44742</v>
      </c>
      <c r="C21" s="78">
        <v>5</v>
      </c>
      <c r="D21" s="67">
        <v>0</v>
      </c>
      <c r="E21" s="78">
        <v>6.5</v>
      </c>
      <c r="F21" s="79"/>
      <c r="G21" s="79"/>
      <c r="H21" s="79">
        <v>1.96</v>
      </c>
      <c r="I21" s="79"/>
      <c r="J21" s="80"/>
      <c r="K21" s="80"/>
      <c r="L21" s="80"/>
      <c r="M21" s="80"/>
      <c r="N21" s="80"/>
      <c r="O21" s="80"/>
      <c r="P21" s="81"/>
      <c r="Q21" s="73">
        <f t="shared" si="0"/>
        <v>1.96</v>
      </c>
    </row>
    <row r="22" spans="2:17" x14ac:dyDescent="0.45">
      <c r="B22" s="86">
        <v>44749</v>
      </c>
      <c r="C22" s="78">
        <v>5</v>
      </c>
      <c r="D22" s="67">
        <v>0</v>
      </c>
      <c r="E22" s="78">
        <v>6.5</v>
      </c>
      <c r="F22" s="79"/>
      <c r="G22" s="79"/>
      <c r="H22" s="79">
        <v>1.8</v>
      </c>
      <c r="I22" s="79"/>
      <c r="J22" s="80"/>
      <c r="K22" s="80"/>
      <c r="L22" s="80"/>
      <c r="M22" s="80"/>
      <c r="N22" s="80"/>
      <c r="O22" s="80"/>
      <c r="P22" s="81"/>
      <c r="Q22" s="73">
        <f t="shared" si="0"/>
        <v>1.8</v>
      </c>
    </row>
    <row r="23" spans="2:17" x14ac:dyDescent="0.45">
      <c r="B23" s="86">
        <v>44756</v>
      </c>
      <c r="C23" s="78">
        <v>5</v>
      </c>
      <c r="D23" s="67">
        <v>0</v>
      </c>
      <c r="E23" s="78">
        <v>6.5</v>
      </c>
      <c r="F23" s="79"/>
      <c r="G23" s="79"/>
      <c r="H23" s="79">
        <v>1.9207142857142858</v>
      </c>
      <c r="I23" s="79"/>
      <c r="J23" s="80"/>
      <c r="K23" s="80"/>
      <c r="L23" s="80"/>
      <c r="M23" s="80"/>
      <c r="N23" s="80"/>
      <c r="O23" s="80"/>
      <c r="P23" s="81"/>
      <c r="Q23" s="73">
        <f t="shared" si="0"/>
        <v>1.9207142857142858</v>
      </c>
    </row>
    <row r="24" spans="2:17" x14ac:dyDescent="0.45">
      <c r="B24" s="86">
        <v>44763</v>
      </c>
      <c r="C24" s="78">
        <v>5</v>
      </c>
      <c r="D24" s="67">
        <v>0</v>
      </c>
      <c r="E24" s="78">
        <v>6.5</v>
      </c>
      <c r="F24" s="79"/>
      <c r="G24" s="79"/>
      <c r="H24" s="79">
        <v>1.87</v>
      </c>
      <c r="I24" s="79"/>
      <c r="J24" s="80"/>
      <c r="K24" s="80"/>
      <c r="L24" s="80"/>
      <c r="M24" s="80"/>
      <c r="N24" s="80"/>
      <c r="O24" s="80"/>
      <c r="P24" s="81"/>
      <c r="Q24" s="73">
        <f t="shared" si="0"/>
        <v>1.87</v>
      </c>
    </row>
    <row r="25" spans="2:17" x14ac:dyDescent="0.45">
      <c r="B25" s="86">
        <v>44777</v>
      </c>
      <c r="C25" s="78">
        <v>7</v>
      </c>
      <c r="D25" s="67">
        <v>0</v>
      </c>
      <c r="E25" s="78">
        <v>6.5</v>
      </c>
      <c r="F25" s="79"/>
      <c r="G25" s="79"/>
      <c r="H25" s="79">
        <v>1.9387739463601532</v>
      </c>
      <c r="I25" s="79"/>
      <c r="J25" s="80"/>
      <c r="K25" s="80"/>
      <c r="L25" s="80"/>
      <c r="M25" s="80"/>
      <c r="N25" s="80"/>
      <c r="O25" s="80"/>
      <c r="P25" s="81"/>
      <c r="Q25" s="73">
        <f t="shared" si="0"/>
        <v>1.9387739463601532</v>
      </c>
    </row>
    <row r="26" spans="2:17" x14ac:dyDescent="0.45">
      <c r="B26" s="86">
        <v>44784</v>
      </c>
      <c r="C26" s="78">
        <v>7</v>
      </c>
      <c r="D26" s="67">
        <v>0</v>
      </c>
      <c r="E26" s="78">
        <v>6.5</v>
      </c>
      <c r="F26" s="79"/>
      <c r="G26" s="79"/>
      <c r="H26" s="79">
        <v>1.7</v>
      </c>
      <c r="I26" s="79"/>
      <c r="J26" s="80"/>
      <c r="K26" s="80"/>
      <c r="L26" s="80"/>
      <c r="M26" s="80"/>
      <c r="N26" s="80"/>
      <c r="O26" s="80"/>
      <c r="P26" s="81"/>
      <c r="Q26" s="73">
        <f t="shared" si="0"/>
        <v>1.7</v>
      </c>
    </row>
    <row r="27" spans="2:17" x14ac:dyDescent="0.45">
      <c r="B27" s="86">
        <v>44791</v>
      </c>
      <c r="C27" s="78">
        <v>7</v>
      </c>
      <c r="D27" s="67">
        <v>0</v>
      </c>
      <c r="E27" s="78">
        <v>6.5</v>
      </c>
      <c r="F27" s="79"/>
      <c r="G27" s="79"/>
      <c r="H27" s="79">
        <v>1.67</v>
      </c>
      <c r="I27" s="79"/>
      <c r="J27" s="80"/>
      <c r="K27" s="80"/>
      <c r="L27" s="80"/>
      <c r="M27" s="80"/>
      <c r="N27" s="80"/>
      <c r="O27" s="80"/>
      <c r="P27" s="81"/>
      <c r="Q27" s="73">
        <f t="shared" si="0"/>
        <v>1.67</v>
      </c>
    </row>
    <row r="28" spans="2:17" x14ac:dyDescent="0.45">
      <c r="B28" s="86">
        <v>44833</v>
      </c>
      <c r="C28" s="78">
        <v>7</v>
      </c>
      <c r="D28" s="67">
        <v>0</v>
      </c>
      <c r="E28" s="78">
        <v>6.5</v>
      </c>
      <c r="F28" s="79"/>
      <c r="G28" s="79"/>
      <c r="H28" s="79">
        <v>1.56</v>
      </c>
      <c r="I28" s="79"/>
      <c r="J28" s="80"/>
      <c r="K28" s="80"/>
      <c r="L28" s="80"/>
      <c r="M28" s="80"/>
      <c r="N28" s="80"/>
      <c r="O28" s="80"/>
      <c r="P28" s="81"/>
      <c r="Q28" s="73">
        <f t="shared" si="0"/>
        <v>1.56</v>
      </c>
    </row>
    <row r="29" spans="2:17" x14ac:dyDescent="0.45">
      <c r="B29" s="86">
        <v>44840</v>
      </c>
      <c r="C29" s="78">
        <v>7</v>
      </c>
      <c r="D29" s="67">
        <v>0</v>
      </c>
      <c r="E29" s="78">
        <v>6.5</v>
      </c>
      <c r="F29" s="79">
        <v>1.96</v>
      </c>
      <c r="G29" s="79"/>
      <c r="H29" s="79">
        <v>1.56</v>
      </c>
      <c r="I29" s="79"/>
      <c r="J29" s="80"/>
      <c r="K29" s="80"/>
      <c r="L29" s="80"/>
      <c r="M29" s="80"/>
      <c r="N29" s="80"/>
      <c r="O29" s="80"/>
      <c r="P29" s="81"/>
      <c r="Q29" s="73">
        <f t="shared" si="0"/>
        <v>1.76</v>
      </c>
    </row>
    <row r="30" spans="2:17" x14ac:dyDescent="0.45">
      <c r="B30" s="86">
        <v>44847</v>
      </c>
      <c r="C30" s="78">
        <v>7</v>
      </c>
      <c r="D30" s="67">
        <v>0</v>
      </c>
      <c r="E30" s="78">
        <v>6.5</v>
      </c>
      <c r="F30" s="79">
        <v>1.96</v>
      </c>
      <c r="G30" s="79"/>
      <c r="H30" s="79">
        <v>1.56</v>
      </c>
      <c r="I30" s="79"/>
      <c r="J30" s="80"/>
      <c r="K30" s="80"/>
      <c r="L30" s="80"/>
      <c r="M30" s="80"/>
      <c r="N30" s="80"/>
      <c r="O30" s="80"/>
      <c r="P30" s="81"/>
      <c r="Q30" s="73">
        <f t="shared" si="0"/>
        <v>1.76</v>
      </c>
    </row>
    <row r="31" spans="2:17" x14ac:dyDescent="0.45">
      <c r="B31" s="86">
        <v>44868</v>
      </c>
      <c r="C31" s="78">
        <v>7</v>
      </c>
      <c r="D31" s="67">
        <v>0</v>
      </c>
      <c r="E31" s="78">
        <v>6.5</v>
      </c>
      <c r="F31" s="79">
        <v>1.96</v>
      </c>
      <c r="G31" s="79"/>
      <c r="H31" s="79">
        <v>1.56</v>
      </c>
      <c r="I31" s="79"/>
      <c r="J31" s="80"/>
      <c r="K31" s="80"/>
      <c r="L31" s="80"/>
      <c r="M31" s="80"/>
      <c r="N31" s="80"/>
      <c r="O31" s="80"/>
      <c r="P31" s="81"/>
      <c r="Q31" s="73">
        <f t="shared" si="0"/>
        <v>1.76</v>
      </c>
    </row>
    <row r="32" spans="2:17" x14ac:dyDescent="0.45">
      <c r="B32" s="86">
        <v>44875</v>
      </c>
      <c r="C32" s="78">
        <v>7</v>
      </c>
      <c r="D32" s="67">
        <v>0</v>
      </c>
      <c r="E32" s="78">
        <v>6.5</v>
      </c>
      <c r="F32" s="79">
        <v>1.96</v>
      </c>
      <c r="G32" s="79"/>
      <c r="H32" s="79">
        <v>1.78</v>
      </c>
      <c r="I32" s="79"/>
      <c r="J32" s="80"/>
      <c r="K32" s="80"/>
      <c r="L32" s="80"/>
      <c r="M32" s="80"/>
      <c r="N32" s="80"/>
      <c r="O32" s="80"/>
      <c r="P32" s="81"/>
      <c r="Q32" s="73">
        <f t="shared" si="0"/>
        <v>1.87</v>
      </c>
    </row>
    <row r="33" spans="2:17" x14ac:dyDescent="0.45">
      <c r="B33" s="86">
        <v>44882</v>
      </c>
      <c r="C33" s="78">
        <v>7</v>
      </c>
      <c r="D33" s="67">
        <v>0</v>
      </c>
      <c r="E33" s="78">
        <v>6.5</v>
      </c>
      <c r="F33" s="79">
        <v>1.96</v>
      </c>
      <c r="G33" s="79"/>
      <c r="H33" s="79">
        <v>1.94</v>
      </c>
      <c r="I33" s="79"/>
      <c r="J33" s="80"/>
      <c r="K33" s="80"/>
      <c r="L33" s="80"/>
      <c r="M33" s="80"/>
      <c r="N33" s="80"/>
      <c r="O33" s="80"/>
      <c r="P33" s="81"/>
      <c r="Q33" s="73">
        <f t="shared" si="0"/>
        <v>1.95</v>
      </c>
    </row>
    <row r="34" spans="2:17" x14ac:dyDescent="0.45">
      <c r="B34" s="86">
        <v>44889</v>
      </c>
      <c r="C34" s="78">
        <v>7</v>
      </c>
      <c r="D34" s="67">
        <v>0</v>
      </c>
      <c r="E34" s="78">
        <v>6.5</v>
      </c>
      <c r="F34" s="79">
        <v>1.96</v>
      </c>
      <c r="G34" s="79"/>
      <c r="H34" s="79">
        <v>1.94</v>
      </c>
      <c r="I34" s="79">
        <v>3.2083612040133778</v>
      </c>
      <c r="J34" s="80"/>
      <c r="K34" s="80"/>
      <c r="L34" s="80"/>
      <c r="M34" s="80"/>
      <c r="N34" s="80"/>
      <c r="O34" s="80"/>
      <c r="P34" s="81"/>
      <c r="Q34" s="73">
        <f t="shared" si="0"/>
        <v>2.3694537346711257</v>
      </c>
    </row>
    <row r="35" spans="2:17" x14ac:dyDescent="0.45">
      <c r="B35" s="86">
        <v>44896</v>
      </c>
      <c r="C35" s="78">
        <v>8</v>
      </c>
      <c r="D35" s="67">
        <v>0</v>
      </c>
      <c r="E35" s="78">
        <v>9.5</v>
      </c>
      <c r="F35" s="79">
        <v>3.86</v>
      </c>
      <c r="G35" s="79"/>
      <c r="H35" s="79">
        <v>1.94</v>
      </c>
      <c r="I35" s="79">
        <v>3.2083612040133778</v>
      </c>
      <c r="J35" s="80"/>
      <c r="K35" s="80"/>
      <c r="L35" s="80"/>
      <c r="M35" s="80"/>
      <c r="N35" s="80"/>
      <c r="O35" s="80"/>
      <c r="P35" s="81"/>
      <c r="Q35" s="73">
        <f t="shared" si="0"/>
        <v>3.002787068004459</v>
      </c>
    </row>
    <row r="36" spans="2:17" x14ac:dyDescent="0.45">
      <c r="B36" s="86">
        <v>44903</v>
      </c>
      <c r="C36" s="78">
        <v>8</v>
      </c>
      <c r="D36" s="67">
        <v>0</v>
      </c>
      <c r="E36" s="78">
        <v>9.5</v>
      </c>
      <c r="F36" s="79">
        <v>3.8212121212121213</v>
      </c>
      <c r="G36" s="79"/>
      <c r="H36" s="79">
        <v>3.6898832684824905</v>
      </c>
      <c r="I36" s="79">
        <v>3.69</v>
      </c>
      <c r="J36" s="80"/>
      <c r="K36" s="80"/>
      <c r="L36" s="80"/>
      <c r="M36" s="80"/>
      <c r="N36" s="80"/>
      <c r="O36" s="80"/>
      <c r="P36" s="81"/>
      <c r="Q36" s="73">
        <f t="shared" si="0"/>
        <v>3.7336984632315371</v>
      </c>
    </row>
    <row r="37" spans="2:17" x14ac:dyDescent="0.45">
      <c r="B37" s="86">
        <v>44910</v>
      </c>
      <c r="C37" s="78">
        <v>8</v>
      </c>
      <c r="D37" s="67">
        <v>0</v>
      </c>
      <c r="E37" s="78">
        <v>9.5</v>
      </c>
      <c r="F37" s="79">
        <v>3.86</v>
      </c>
      <c r="G37" s="79"/>
      <c r="H37" s="79">
        <v>3.8542857142857141</v>
      </c>
      <c r="I37" s="79">
        <v>3.69</v>
      </c>
      <c r="J37" s="80"/>
      <c r="K37" s="80"/>
      <c r="L37" s="80"/>
      <c r="M37" s="80"/>
      <c r="N37" s="80"/>
      <c r="O37" s="80"/>
      <c r="P37" s="81"/>
      <c r="Q37" s="73">
        <f t="shared" si="0"/>
        <v>3.8014285714285712</v>
      </c>
    </row>
    <row r="38" spans="2:17" x14ac:dyDescent="0.45">
      <c r="B38" s="86">
        <v>44917</v>
      </c>
      <c r="C38" s="78">
        <v>8</v>
      </c>
      <c r="D38" s="67">
        <v>0</v>
      </c>
      <c r="E38" s="78">
        <v>9.5</v>
      </c>
      <c r="F38" s="79">
        <v>3.86</v>
      </c>
      <c r="G38" s="79"/>
      <c r="H38" s="79">
        <v>3.75</v>
      </c>
      <c r="I38" s="79">
        <v>3.69</v>
      </c>
      <c r="J38" s="80"/>
      <c r="K38" s="80"/>
      <c r="L38" s="80"/>
      <c r="M38" s="80"/>
      <c r="N38" s="80"/>
      <c r="O38" s="80"/>
      <c r="P38" s="81"/>
      <c r="Q38" s="73">
        <f t="shared" si="0"/>
        <v>3.7666666666666662</v>
      </c>
    </row>
    <row r="39" spans="2:17" x14ac:dyDescent="0.45">
      <c r="B39" s="86">
        <v>44924</v>
      </c>
      <c r="C39" s="78">
        <v>8</v>
      </c>
      <c r="D39" s="67">
        <v>0</v>
      </c>
      <c r="E39" s="78">
        <v>9.5</v>
      </c>
      <c r="F39" s="79">
        <v>4.04</v>
      </c>
      <c r="G39" s="79"/>
      <c r="H39" s="79">
        <v>3.75</v>
      </c>
      <c r="I39" s="79">
        <v>3.69</v>
      </c>
      <c r="J39" s="80"/>
      <c r="K39" s="80"/>
      <c r="L39" s="80"/>
      <c r="M39" s="80"/>
      <c r="N39" s="80"/>
      <c r="O39" s="80"/>
      <c r="P39" s="81"/>
      <c r="Q39" s="73">
        <f t="shared" si="0"/>
        <v>3.8266666666666667</v>
      </c>
    </row>
    <row r="40" spans="2:17" x14ac:dyDescent="0.45">
      <c r="B40" s="86">
        <v>44931</v>
      </c>
      <c r="C40" s="78">
        <v>8</v>
      </c>
      <c r="D40" s="67">
        <v>0</v>
      </c>
      <c r="E40" s="78">
        <v>9.5</v>
      </c>
      <c r="F40" s="79">
        <v>3.9480365296803654</v>
      </c>
      <c r="G40" s="79"/>
      <c r="H40" s="79">
        <v>3.84</v>
      </c>
      <c r="I40" s="79">
        <v>3.69</v>
      </c>
      <c r="J40" s="80"/>
      <c r="K40" s="80"/>
      <c r="L40" s="80"/>
      <c r="M40" s="80"/>
      <c r="N40" s="80"/>
      <c r="O40" s="80"/>
      <c r="P40" s="81"/>
      <c r="Q40" s="73">
        <f t="shared" si="0"/>
        <v>3.8260121765601216</v>
      </c>
    </row>
    <row r="41" spans="2:17" x14ac:dyDescent="0.45">
      <c r="B41" s="86">
        <v>44938</v>
      </c>
      <c r="C41" s="78">
        <v>8</v>
      </c>
      <c r="D41" s="67">
        <v>0</v>
      </c>
      <c r="E41" s="78">
        <v>9.5</v>
      </c>
      <c r="F41" s="79">
        <v>4.0466666666666669</v>
      </c>
      <c r="G41" s="79"/>
      <c r="H41" s="79">
        <v>3.8252631578947369</v>
      </c>
      <c r="I41" s="79">
        <v>3.69</v>
      </c>
      <c r="J41" s="80"/>
      <c r="K41" s="80"/>
      <c r="L41" s="80"/>
      <c r="M41" s="80"/>
      <c r="N41" s="80"/>
      <c r="O41" s="80"/>
      <c r="P41" s="81"/>
      <c r="Q41" s="73">
        <f t="shared" si="0"/>
        <v>3.8539766081871343</v>
      </c>
    </row>
    <row r="42" spans="2:17" x14ac:dyDescent="0.45">
      <c r="B42" s="86">
        <v>44945</v>
      </c>
      <c r="C42" s="78">
        <v>8</v>
      </c>
      <c r="D42" s="67">
        <v>0</v>
      </c>
      <c r="E42" s="78">
        <v>9.5</v>
      </c>
      <c r="F42" s="79">
        <v>4.0466666666666669</v>
      </c>
      <c r="G42" s="79"/>
      <c r="H42" s="79">
        <v>3.87</v>
      </c>
      <c r="I42" s="79">
        <v>3.69</v>
      </c>
      <c r="J42" s="80"/>
      <c r="K42" s="80"/>
      <c r="L42" s="80"/>
      <c r="M42" s="80"/>
      <c r="N42" s="80"/>
      <c r="O42" s="80"/>
      <c r="P42" s="81"/>
      <c r="Q42" s="73">
        <f t="shared" si="0"/>
        <v>3.8688888888888893</v>
      </c>
    </row>
    <row r="43" spans="2:17" x14ac:dyDescent="0.45">
      <c r="B43" s="86">
        <v>44952</v>
      </c>
      <c r="C43" s="78">
        <v>8</v>
      </c>
      <c r="D43" s="67">
        <v>0</v>
      </c>
      <c r="E43" s="78">
        <v>9.5</v>
      </c>
      <c r="F43" s="79">
        <v>4.0466666666666669</v>
      </c>
      <c r="G43" s="79"/>
      <c r="H43" s="79">
        <v>3.87</v>
      </c>
      <c r="I43" s="79">
        <v>3.69</v>
      </c>
      <c r="J43" s="80"/>
      <c r="K43" s="80"/>
      <c r="L43" s="80"/>
      <c r="M43" s="80"/>
      <c r="N43" s="80"/>
      <c r="O43" s="80"/>
      <c r="P43" s="81"/>
      <c r="Q43" s="73">
        <f t="shared" si="0"/>
        <v>3.8688888888888893</v>
      </c>
    </row>
    <row r="44" spans="2:17" x14ac:dyDescent="0.45">
      <c r="B44" s="86">
        <v>44959</v>
      </c>
      <c r="C44" s="78">
        <v>8</v>
      </c>
      <c r="D44" s="67">
        <v>0</v>
      </c>
      <c r="E44" s="78">
        <v>9.5</v>
      </c>
      <c r="F44" s="79">
        <v>3.8580000000000001</v>
      </c>
      <c r="G44" s="79"/>
      <c r="H44" s="79">
        <v>3.87</v>
      </c>
      <c r="I44" s="79">
        <v>3.69</v>
      </c>
      <c r="J44" s="80"/>
      <c r="K44" s="80"/>
      <c r="L44" s="80"/>
      <c r="M44" s="80"/>
      <c r="N44" s="80"/>
      <c r="O44" s="80"/>
      <c r="P44" s="81"/>
      <c r="Q44" s="73">
        <f t="shared" si="0"/>
        <v>3.8059999999999996</v>
      </c>
    </row>
    <row r="45" spans="2:17" x14ac:dyDescent="0.45">
      <c r="B45" s="86">
        <v>44966</v>
      </c>
      <c r="C45" s="78">
        <v>8</v>
      </c>
      <c r="D45" s="67">
        <v>0</v>
      </c>
      <c r="E45" s="78">
        <v>9.5</v>
      </c>
      <c r="F45" s="79">
        <v>3.96</v>
      </c>
      <c r="G45" s="79"/>
      <c r="H45" s="79">
        <v>3.84</v>
      </c>
      <c r="I45" s="79">
        <v>3.69</v>
      </c>
      <c r="J45" s="80"/>
      <c r="K45" s="80"/>
      <c r="L45" s="80"/>
      <c r="M45" s="80"/>
      <c r="N45" s="80"/>
      <c r="O45" s="80"/>
      <c r="P45" s="81"/>
      <c r="Q45" s="73">
        <f t="shared" si="0"/>
        <v>3.83</v>
      </c>
    </row>
    <row r="46" spans="2:17" x14ac:dyDescent="0.45">
      <c r="B46" s="86">
        <v>44973</v>
      </c>
      <c r="C46" s="78">
        <v>8</v>
      </c>
      <c r="D46" s="67">
        <v>0</v>
      </c>
      <c r="E46" s="78">
        <v>9.5</v>
      </c>
      <c r="F46" s="79">
        <v>3.96</v>
      </c>
      <c r="G46" s="79"/>
      <c r="H46" s="79">
        <v>3.8298637602179837</v>
      </c>
      <c r="I46" s="79">
        <v>3.69</v>
      </c>
      <c r="J46" s="80"/>
      <c r="K46" s="80"/>
      <c r="L46" s="80"/>
      <c r="M46" s="80"/>
      <c r="N46" s="80"/>
      <c r="O46" s="80"/>
      <c r="P46" s="81"/>
      <c r="Q46" s="73">
        <f t="shared" si="0"/>
        <v>3.8266212534059942</v>
      </c>
    </row>
    <row r="47" spans="2:17" x14ac:dyDescent="0.45">
      <c r="B47" s="86">
        <v>44987</v>
      </c>
      <c r="C47" s="78">
        <v>8</v>
      </c>
      <c r="D47" s="67">
        <v>0</v>
      </c>
      <c r="E47" s="78">
        <v>9.5</v>
      </c>
      <c r="F47" s="79">
        <v>4.5966666666666667</v>
      </c>
      <c r="G47" s="79"/>
      <c r="H47" s="79">
        <v>3.8298637602179837</v>
      </c>
      <c r="I47" s="79">
        <v>3.69</v>
      </c>
      <c r="J47" s="80"/>
      <c r="K47" s="80"/>
      <c r="L47" s="80"/>
      <c r="M47" s="80"/>
      <c r="N47" s="80"/>
      <c r="O47" s="80"/>
      <c r="P47" s="81"/>
      <c r="Q47" s="73">
        <f t="shared" si="0"/>
        <v>4.0388434756282168</v>
      </c>
    </row>
    <row r="48" spans="2:17" x14ac:dyDescent="0.45">
      <c r="B48" s="86">
        <v>44994</v>
      </c>
      <c r="C48" s="78">
        <v>8</v>
      </c>
      <c r="D48" s="67">
        <v>0</v>
      </c>
      <c r="E48" s="78">
        <v>9.5</v>
      </c>
      <c r="F48" s="79">
        <v>4.96</v>
      </c>
      <c r="G48" s="79"/>
      <c r="H48" s="79">
        <v>3.8298637602179837</v>
      </c>
      <c r="I48" s="79">
        <v>3.69</v>
      </c>
      <c r="J48" s="80"/>
      <c r="K48" s="80"/>
      <c r="L48" s="80"/>
      <c r="M48" s="80"/>
      <c r="N48" s="80"/>
      <c r="O48" s="80"/>
      <c r="P48" s="81"/>
      <c r="Q48" s="73">
        <f t="shared" si="0"/>
        <v>4.1599545867393273</v>
      </c>
    </row>
    <row r="49" spans="2:17" x14ac:dyDescent="0.45">
      <c r="B49" s="86">
        <v>45001</v>
      </c>
      <c r="C49" s="78">
        <v>8</v>
      </c>
      <c r="D49" s="67">
        <v>0</v>
      </c>
      <c r="E49" s="78">
        <v>9.5</v>
      </c>
      <c r="F49" s="79">
        <v>4.96</v>
      </c>
      <c r="G49" s="79"/>
      <c r="H49" s="79">
        <v>3.8298637602179837</v>
      </c>
      <c r="I49" s="79">
        <v>3.69</v>
      </c>
      <c r="J49" s="80"/>
      <c r="K49" s="80"/>
      <c r="L49" s="80"/>
      <c r="M49" s="80"/>
      <c r="N49" s="80"/>
      <c r="O49" s="80"/>
      <c r="P49" s="81"/>
      <c r="Q49" s="73">
        <f t="shared" si="0"/>
        <v>4.1599545867393273</v>
      </c>
    </row>
    <row r="50" spans="2:17" x14ac:dyDescent="0.45">
      <c r="B50" s="86">
        <v>45015</v>
      </c>
      <c r="C50" s="78">
        <v>8</v>
      </c>
      <c r="D50" s="67">
        <v>0</v>
      </c>
      <c r="E50" s="78">
        <v>9.5</v>
      </c>
      <c r="F50" s="79">
        <v>4.9399999999999986</v>
      </c>
      <c r="G50" s="79"/>
      <c r="H50" s="79">
        <v>3.8298637602179837</v>
      </c>
      <c r="I50" s="79">
        <v>3.69</v>
      </c>
      <c r="J50" s="80"/>
      <c r="K50" s="80"/>
      <c r="L50" s="80"/>
      <c r="M50" s="80"/>
      <c r="N50" s="80"/>
      <c r="O50" s="80"/>
      <c r="P50" s="81"/>
      <c r="Q50" s="73">
        <f t="shared" si="0"/>
        <v>4.1532879200726605</v>
      </c>
    </row>
    <row r="51" spans="2:17" x14ac:dyDescent="0.45">
      <c r="B51" s="86">
        <v>45022</v>
      </c>
      <c r="C51" s="78">
        <v>8</v>
      </c>
      <c r="D51" s="67">
        <v>0</v>
      </c>
      <c r="E51" s="78">
        <v>9.5</v>
      </c>
      <c r="F51" s="79">
        <v>5.2374999999999998</v>
      </c>
      <c r="G51" s="79"/>
      <c r="H51" s="79">
        <v>3.8298637602179837</v>
      </c>
      <c r="I51" s="79">
        <v>3.69</v>
      </c>
      <c r="J51" s="80"/>
      <c r="K51" s="80"/>
      <c r="L51" s="80"/>
      <c r="M51" s="80"/>
      <c r="N51" s="80"/>
      <c r="O51" s="80"/>
      <c r="P51" s="81"/>
      <c r="Q51" s="73">
        <f t="shared" si="0"/>
        <v>4.2524545867393275</v>
      </c>
    </row>
    <row r="52" spans="2:17" x14ac:dyDescent="0.45">
      <c r="B52" s="86">
        <v>45029</v>
      </c>
      <c r="C52" s="78">
        <v>8</v>
      </c>
      <c r="D52" s="67">
        <v>0</v>
      </c>
      <c r="E52" s="78">
        <v>9.5</v>
      </c>
      <c r="F52" s="79">
        <v>4.6100000000000003</v>
      </c>
      <c r="G52" s="79"/>
      <c r="H52" s="79">
        <v>3.8298637602179837</v>
      </c>
      <c r="I52" s="79">
        <v>3.69</v>
      </c>
      <c r="J52" s="80"/>
      <c r="K52" s="80"/>
      <c r="L52" s="80"/>
      <c r="M52" s="80"/>
      <c r="N52" s="80"/>
      <c r="O52" s="80"/>
      <c r="P52" s="81"/>
      <c r="Q52" s="73">
        <f t="shared" si="0"/>
        <v>4.043287920072661</v>
      </c>
    </row>
    <row r="53" spans="2:17" x14ac:dyDescent="0.45">
      <c r="B53" s="86">
        <v>45036</v>
      </c>
      <c r="C53" s="78">
        <v>8</v>
      </c>
      <c r="D53" s="67">
        <v>0</v>
      </c>
      <c r="E53" s="78">
        <v>9.5</v>
      </c>
      <c r="F53" s="79">
        <v>4.26</v>
      </c>
      <c r="G53" s="79"/>
      <c r="H53" s="79">
        <v>3.8298637602179837</v>
      </c>
      <c r="I53" s="79">
        <v>3.69</v>
      </c>
      <c r="J53" s="80"/>
      <c r="K53" s="80"/>
      <c r="L53" s="80"/>
      <c r="M53" s="80"/>
      <c r="N53" s="80"/>
      <c r="O53" s="80"/>
      <c r="P53" s="81"/>
      <c r="Q53" s="73">
        <f t="shared" si="0"/>
        <v>3.9266212534059943</v>
      </c>
    </row>
    <row r="54" spans="2:17" x14ac:dyDescent="0.45">
      <c r="B54" s="86">
        <v>45043</v>
      </c>
      <c r="C54" s="78">
        <v>8</v>
      </c>
      <c r="D54" s="67">
        <v>0</v>
      </c>
      <c r="E54" s="78">
        <v>9.5</v>
      </c>
      <c r="F54" s="79">
        <v>5.1928205128205125</v>
      </c>
      <c r="G54" s="79"/>
      <c r="H54" s="79">
        <v>3.8298637602179837</v>
      </c>
      <c r="I54" s="79">
        <v>3.69</v>
      </c>
      <c r="J54" s="80"/>
      <c r="K54" s="80"/>
      <c r="L54" s="80"/>
      <c r="M54" s="80"/>
      <c r="N54" s="80"/>
      <c r="O54" s="80"/>
      <c r="P54" s="81"/>
      <c r="Q54" s="73">
        <f t="shared" si="0"/>
        <v>4.2375614243461657</v>
      </c>
    </row>
    <row r="55" spans="2:17" x14ac:dyDescent="0.45">
      <c r="B55" s="86">
        <v>45050</v>
      </c>
      <c r="C55" s="78">
        <v>8</v>
      </c>
      <c r="D55" s="67">
        <v>0</v>
      </c>
      <c r="E55" s="78">
        <v>9.5</v>
      </c>
      <c r="F55" s="79">
        <v>5.26</v>
      </c>
      <c r="G55" s="79"/>
      <c r="H55" s="79">
        <v>3.8298637602179837</v>
      </c>
      <c r="I55" s="79">
        <v>3.69</v>
      </c>
      <c r="J55" s="80"/>
      <c r="K55" s="80"/>
      <c r="L55" s="80"/>
      <c r="M55" s="80"/>
      <c r="N55" s="80"/>
      <c r="O55" s="80"/>
      <c r="P55" s="81"/>
      <c r="Q55" s="73">
        <f t="shared" si="0"/>
        <v>4.2599545867393278</v>
      </c>
    </row>
    <row r="56" spans="2:17" x14ac:dyDescent="0.45">
      <c r="B56" s="86">
        <v>45057</v>
      </c>
      <c r="C56" s="78">
        <v>8</v>
      </c>
      <c r="D56" s="67">
        <v>0</v>
      </c>
      <c r="E56" s="78">
        <v>9.5</v>
      </c>
      <c r="F56" s="79">
        <v>5.5246666666666675</v>
      </c>
      <c r="G56" s="79"/>
      <c r="H56" s="79">
        <v>5.0199999999999987</v>
      </c>
      <c r="I56" s="79">
        <v>3.69</v>
      </c>
      <c r="J56" s="80"/>
      <c r="K56" s="80"/>
      <c r="L56" s="80"/>
      <c r="M56" s="80"/>
      <c r="N56" s="80"/>
      <c r="O56" s="80"/>
      <c r="P56" s="81"/>
      <c r="Q56" s="73">
        <f t="shared" si="0"/>
        <v>4.7448888888888883</v>
      </c>
    </row>
    <row r="57" spans="2:17" x14ac:dyDescent="0.45">
      <c r="B57" s="86">
        <v>45064</v>
      </c>
      <c r="C57" s="78">
        <v>8</v>
      </c>
      <c r="D57" s="67">
        <v>0</v>
      </c>
      <c r="E57" s="78">
        <v>9.5</v>
      </c>
      <c r="F57" s="79">
        <v>4.8072727272727276</v>
      </c>
      <c r="G57" s="79"/>
      <c r="H57" s="79">
        <v>5.0199999999999987</v>
      </c>
      <c r="I57" s="79">
        <v>3.69</v>
      </c>
      <c r="J57" s="80"/>
      <c r="K57" s="80"/>
      <c r="L57" s="80"/>
      <c r="M57" s="80"/>
      <c r="N57" s="80"/>
      <c r="O57" s="80"/>
      <c r="P57" s="81"/>
      <c r="Q57" s="73">
        <f t="shared" si="0"/>
        <v>4.505757575757575</v>
      </c>
    </row>
    <row r="58" spans="2:17" x14ac:dyDescent="0.45">
      <c r="B58" s="86">
        <v>45071</v>
      </c>
      <c r="C58" s="78">
        <v>8</v>
      </c>
      <c r="D58" s="67">
        <v>0</v>
      </c>
      <c r="E58" s="78">
        <v>9.5</v>
      </c>
      <c r="F58" s="79">
        <v>6.0082407407407414</v>
      </c>
      <c r="G58" s="79"/>
      <c r="H58" s="79">
        <v>5.0199999999999987</v>
      </c>
      <c r="I58" s="79">
        <v>3.69</v>
      </c>
      <c r="J58" s="80"/>
      <c r="K58" s="80"/>
      <c r="L58" s="80"/>
      <c r="M58" s="80"/>
      <c r="N58" s="80"/>
      <c r="O58" s="80"/>
      <c r="P58" s="81"/>
      <c r="Q58" s="73">
        <f t="shared" si="0"/>
        <v>4.9060802469135796</v>
      </c>
    </row>
    <row r="59" spans="2:17" x14ac:dyDescent="0.45">
      <c r="B59" s="86">
        <v>45078</v>
      </c>
      <c r="C59" s="78">
        <v>8</v>
      </c>
      <c r="D59" s="67">
        <v>0</v>
      </c>
      <c r="E59" s="78">
        <v>9.5</v>
      </c>
      <c r="F59" s="79">
        <v>5.6933333333333334</v>
      </c>
      <c r="G59" s="79"/>
      <c r="H59" s="79">
        <v>5.0199999999999987</v>
      </c>
      <c r="I59" s="79">
        <v>3.69</v>
      </c>
      <c r="J59" s="80"/>
      <c r="K59" s="80"/>
      <c r="L59" s="80"/>
      <c r="M59" s="80"/>
      <c r="N59" s="80"/>
      <c r="O59" s="80"/>
      <c r="P59" s="81"/>
      <c r="Q59" s="73">
        <f t="shared" si="0"/>
        <v>4.8011111111111102</v>
      </c>
    </row>
    <row r="60" spans="2:17" x14ac:dyDescent="0.45">
      <c r="B60" s="86">
        <v>45085</v>
      </c>
      <c r="C60" s="78">
        <v>8</v>
      </c>
      <c r="D60" s="67">
        <v>0</v>
      </c>
      <c r="E60" s="78">
        <v>9.5</v>
      </c>
      <c r="F60" s="79">
        <v>6.1025380710659896</v>
      </c>
      <c r="G60" s="79"/>
      <c r="H60" s="79">
        <v>5.0199999999999987</v>
      </c>
      <c r="I60" s="79">
        <v>3.69</v>
      </c>
      <c r="J60" s="80"/>
      <c r="K60" s="80"/>
      <c r="L60" s="80"/>
      <c r="M60" s="80"/>
      <c r="N60" s="80"/>
      <c r="O60" s="80"/>
      <c r="P60" s="81"/>
      <c r="Q60" s="73">
        <f t="shared" si="0"/>
        <v>4.9375126903553292</v>
      </c>
    </row>
    <row r="61" spans="2:17" x14ac:dyDescent="0.45">
      <c r="B61" s="86">
        <v>45092</v>
      </c>
      <c r="C61" s="78">
        <v>8</v>
      </c>
      <c r="D61" s="67">
        <v>0</v>
      </c>
      <c r="E61" s="78">
        <v>9.5</v>
      </c>
      <c r="F61" s="79">
        <v>6.3696153846153845</v>
      </c>
      <c r="G61" s="79"/>
      <c r="H61" s="79">
        <v>6.1742857142857144</v>
      </c>
      <c r="I61" s="79">
        <v>3.69</v>
      </c>
      <c r="J61" s="80"/>
      <c r="K61" s="80"/>
      <c r="L61" s="80"/>
      <c r="M61" s="80"/>
      <c r="N61" s="80"/>
      <c r="O61" s="80"/>
      <c r="P61" s="81"/>
      <c r="Q61" s="73">
        <f t="shared" si="0"/>
        <v>5.4113003663003667</v>
      </c>
    </row>
    <row r="62" spans="2:17" x14ac:dyDescent="0.45">
      <c r="B62" s="86">
        <v>45099</v>
      </c>
      <c r="C62" s="78">
        <v>8</v>
      </c>
      <c r="D62" s="67">
        <v>0</v>
      </c>
      <c r="E62" s="78">
        <v>9.5</v>
      </c>
      <c r="F62" s="79">
        <v>6.3171428571428567</v>
      </c>
      <c r="G62" s="79"/>
      <c r="H62" s="79">
        <v>4.9399999999999986</v>
      </c>
      <c r="I62" s="79">
        <v>3.69</v>
      </c>
      <c r="J62" s="80"/>
      <c r="K62" s="80"/>
      <c r="L62" s="80"/>
      <c r="M62" s="80"/>
      <c r="N62" s="80"/>
      <c r="O62" s="80"/>
      <c r="P62" s="81"/>
      <c r="Q62" s="73">
        <f t="shared" si="0"/>
        <v>4.9823809523809519</v>
      </c>
    </row>
    <row r="63" spans="2:17" x14ac:dyDescent="0.45">
      <c r="B63" s="86">
        <v>45106</v>
      </c>
      <c r="C63" s="78">
        <v>8</v>
      </c>
      <c r="D63" s="67">
        <v>0</v>
      </c>
      <c r="E63" s="78">
        <v>9.5</v>
      </c>
      <c r="F63" s="79">
        <v>5.3099999999999978</v>
      </c>
      <c r="G63" s="79"/>
      <c r="H63" s="79">
        <v>4.9399999999999986</v>
      </c>
      <c r="I63" s="79">
        <v>3.69</v>
      </c>
      <c r="J63" s="80"/>
      <c r="K63" s="80"/>
      <c r="L63" s="80"/>
      <c r="M63" s="80"/>
      <c r="N63" s="80"/>
      <c r="O63" s="80"/>
      <c r="P63" s="81"/>
      <c r="Q63" s="73">
        <f t="shared" si="0"/>
        <v>4.6466666666666656</v>
      </c>
    </row>
    <row r="64" spans="2:17" x14ac:dyDescent="0.45">
      <c r="B64" s="86">
        <v>45113</v>
      </c>
      <c r="C64" s="78">
        <v>8</v>
      </c>
      <c r="D64" s="67">
        <v>0</v>
      </c>
      <c r="E64" s="78">
        <v>9.5</v>
      </c>
      <c r="F64" s="79">
        <v>6.6145454545454534</v>
      </c>
      <c r="G64" s="79"/>
      <c r="H64" s="79">
        <v>4.9399999999999986</v>
      </c>
      <c r="I64" s="79">
        <v>3.69</v>
      </c>
      <c r="J64" s="80"/>
      <c r="K64" s="80"/>
      <c r="L64" s="80"/>
      <c r="M64" s="80"/>
      <c r="N64" s="80"/>
      <c r="O64" s="80"/>
      <c r="P64" s="81"/>
      <c r="Q64" s="73">
        <f t="shared" si="0"/>
        <v>5.0815151515151502</v>
      </c>
    </row>
    <row r="65" spans="2:17" x14ac:dyDescent="0.45">
      <c r="B65" s="86">
        <v>45120</v>
      </c>
      <c r="C65" s="78">
        <v>8</v>
      </c>
      <c r="D65" s="67">
        <v>0</v>
      </c>
      <c r="E65" s="78">
        <v>9.5</v>
      </c>
      <c r="F65" s="79">
        <v>5.9995599999999998</v>
      </c>
      <c r="G65" s="79"/>
      <c r="H65" s="79">
        <v>4.9399999999999986</v>
      </c>
      <c r="I65" s="79">
        <v>3.69</v>
      </c>
      <c r="J65" s="80"/>
      <c r="K65" s="80"/>
      <c r="L65" s="80"/>
      <c r="M65" s="80"/>
      <c r="N65" s="80"/>
      <c r="O65" s="80"/>
      <c r="P65" s="81"/>
      <c r="Q65" s="73">
        <f t="shared" si="0"/>
        <v>4.8765199999999993</v>
      </c>
    </row>
    <row r="66" spans="2:17" x14ac:dyDescent="0.45">
      <c r="B66" s="86">
        <v>45127</v>
      </c>
      <c r="C66" s="78">
        <v>8</v>
      </c>
      <c r="D66" s="67">
        <v>0</v>
      </c>
      <c r="E66" s="78">
        <v>9.5</v>
      </c>
      <c r="F66" s="79">
        <v>6.2736585365853648</v>
      </c>
      <c r="G66" s="79"/>
      <c r="H66" s="79">
        <v>4.7571428571428571</v>
      </c>
      <c r="I66" s="79">
        <v>3.69</v>
      </c>
      <c r="J66" s="80"/>
      <c r="K66" s="80"/>
      <c r="L66" s="80"/>
      <c r="M66" s="80"/>
      <c r="N66" s="80"/>
      <c r="O66" s="80"/>
      <c r="P66" s="81"/>
      <c r="Q66" s="73">
        <f t="shared" si="0"/>
        <v>4.9069337979094074</v>
      </c>
    </row>
    <row r="67" spans="2:17" x14ac:dyDescent="0.45">
      <c r="B67" s="86">
        <v>45134</v>
      </c>
      <c r="C67" s="78">
        <v>8</v>
      </c>
      <c r="D67" s="67">
        <v>0</v>
      </c>
      <c r="E67" s="78">
        <v>9.5</v>
      </c>
      <c r="F67" s="79">
        <v>5.2230769230769223</v>
      </c>
      <c r="G67" s="79"/>
      <c r="H67" s="79">
        <v>4.7571428571428571</v>
      </c>
      <c r="I67" s="79">
        <v>3.69</v>
      </c>
      <c r="J67" s="80"/>
      <c r="K67" s="80"/>
      <c r="L67" s="80"/>
      <c r="M67" s="80"/>
      <c r="N67" s="80"/>
      <c r="O67" s="80"/>
      <c r="P67" s="81"/>
      <c r="Q67" s="73">
        <f t="shared" si="0"/>
        <v>4.5567399267399269</v>
      </c>
    </row>
    <row r="68" spans="2:17" x14ac:dyDescent="0.45">
      <c r="B68" s="86">
        <v>45141</v>
      </c>
      <c r="C68" s="78">
        <v>8</v>
      </c>
      <c r="D68" s="67">
        <v>0</v>
      </c>
      <c r="E68" s="78">
        <v>9.5</v>
      </c>
      <c r="F68" s="79">
        <v>5.0136585365853659</v>
      </c>
      <c r="G68" s="79"/>
      <c r="H68" s="79">
        <v>4.7571428571428571</v>
      </c>
      <c r="I68" s="79">
        <v>3.69</v>
      </c>
      <c r="J68" s="80"/>
      <c r="K68" s="80"/>
      <c r="L68" s="80"/>
      <c r="M68" s="80"/>
      <c r="N68" s="80"/>
      <c r="O68" s="80"/>
      <c r="P68" s="81"/>
      <c r="Q68" s="73">
        <f t="shared" si="0"/>
        <v>4.4869337979094075</v>
      </c>
    </row>
    <row r="69" spans="2:17" x14ac:dyDescent="0.45">
      <c r="B69" s="86">
        <v>45148</v>
      </c>
      <c r="C69" s="78">
        <v>8</v>
      </c>
      <c r="D69" s="67">
        <v>0</v>
      </c>
      <c r="E69" s="78">
        <v>9.5</v>
      </c>
      <c r="F69" s="79">
        <v>6.9599999999999991</v>
      </c>
      <c r="G69" s="79"/>
      <c r="H69" s="79">
        <v>4.7951999999999968</v>
      </c>
      <c r="I69" s="79">
        <v>3.69</v>
      </c>
      <c r="J69" s="80"/>
      <c r="K69" s="80"/>
      <c r="L69" s="80"/>
      <c r="M69" s="80"/>
      <c r="N69" s="80"/>
      <c r="O69" s="80"/>
      <c r="P69" s="81"/>
      <c r="Q69" s="73">
        <f t="shared" si="0"/>
        <v>5.1483999999999979</v>
      </c>
    </row>
    <row r="70" spans="2:17" x14ac:dyDescent="0.45">
      <c r="B70" s="86">
        <v>45155</v>
      </c>
      <c r="C70" s="78">
        <v>8</v>
      </c>
      <c r="D70" s="67">
        <v>0</v>
      </c>
      <c r="E70" s="78">
        <v>9.5</v>
      </c>
      <c r="F70" s="79">
        <v>6.8742857142857146</v>
      </c>
      <c r="G70" s="79"/>
      <c r="H70" s="79">
        <v>4.7763076923076921</v>
      </c>
      <c r="I70" s="79">
        <v>3.69</v>
      </c>
      <c r="J70" s="80"/>
      <c r="K70" s="80"/>
      <c r="L70" s="80"/>
      <c r="M70" s="80"/>
      <c r="N70" s="80"/>
      <c r="O70" s="80"/>
      <c r="P70" s="81"/>
      <c r="Q70" s="73">
        <f t="shared" ref="Q70:Q133" si="1">+AVERAGE(F70:M70)</f>
        <v>5.1135311355311357</v>
      </c>
    </row>
    <row r="71" spans="2:17" x14ac:dyDescent="0.45">
      <c r="B71" s="86">
        <v>45162</v>
      </c>
      <c r="C71" s="78">
        <v>8</v>
      </c>
      <c r="D71" s="67">
        <v>0</v>
      </c>
      <c r="E71" s="78">
        <v>9.5</v>
      </c>
      <c r="F71" s="79">
        <v>6.4633333333333329</v>
      </c>
      <c r="G71" s="79"/>
      <c r="H71" s="79">
        <v>4.8599999999999968</v>
      </c>
      <c r="I71" s="79">
        <v>3.69</v>
      </c>
      <c r="J71" s="80"/>
      <c r="K71" s="80"/>
      <c r="L71" s="80"/>
      <c r="M71" s="80"/>
      <c r="N71" s="80"/>
      <c r="O71" s="80"/>
      <c r="P71" s="81"/>
      <c r="Q71" s="73">
        <f t="shared" si="1"/>
        <v>5.0044444444444434</v>
      </c>
    </row>
    <row r="72" spans="2:17" x14ac:dyDescent="0.45">
      <c r="B72" s="86">
        <v>45169</v>
      </c>
      <c r="C72" s="78">
        <v>8</v>
      </c>
      <c r="D72" s="67">
        <v>0</v>
      </c>
      <c r="E72" s="78">
        <v>9.5</v>
      </c>
      <c r="F72" s="79">
        <v>5.5157961783439493</v>
      </c>
      <c r="G72" s="79"/>
      <c r="H72" s="79">
        <v>4.8599999999999968</v>
      </c>
      <c r="I72" s="79">
        <v>3.69</v>
      </c>
      <c r="J72" s="80"/>
      <c r="K72" s="80"/>
      <c r="L72" s="80"/>
      <c r="M72" s="80"/>
      <c r="N72" s="80"/>
      <c r="O72" s="80"/>
      <c r="P72" s="81"/>
      <c r="Q72" s="73">
        <f t="shared" si="1"/>
        <v>4.6885987261146491</v>
      </c>
    </row>
    <row r="73" spans="2:17" x14ac:dyDescent="0.45">
      <c r="B73" s="86">
        <v>45176</v>
      </c>
      <c r="C73" s="78">
        <v>8</v>
      </c>
      <c r="D73" s="67">
        <v>0</v>
      </c>
      <c r="E73" s="78">
        <v>9.5</v>
      </c>
      <c r="F73" s="79">
        <v>7.1311999999999998</v>
      </c>
      <c r="G73" s="79"/>
      <c r="H73" s="79">
        <v>4.8599999999999968</v>
      </c>
      <c r="I73" s="79">
        <v>3.69</v>
      </c>
      <c r="J73" s="80"/>
      <c r="K73" s="80"/>
      <c r="L73" s="80"/>
      <c r="M73" s="80"/>
      <c r="N73" s="80"/>
      <c r="O73" s="80"/>
      <c r="P73" s="81"/>
      <c r="Q73" s="73">
        <f t="shared" si="1"/>
        <v>5.2270666666666648</v>
      </c>
    </row>
    <row r="74" spans="2:17" x14ac:dyDescent="0.45">
      <c r="B74" s="86">
        <v>45183</v>
      </c>
      <c r="C74" s="78">
        <v>8</v>
      </c>
      <c r="D74" s="67">
        <v>0</v>
      </c>
      <c r="E74" s="78">
        <v>9.5</v>
      </c>
      <c r="F74" s="79">
        <v>7.26</v>
      </c>
      <c r="G74" s="79"/>
      <c r="H74" s="79">
        <v>4.944</v>
      </c>
      <c r="I74" s="79">
        <v>3.69</v>
      </c>
      <c r="J74" s="80"/>
      <c r="K74" s="80"/>
      <c r="L74" s="80"/>
      <c r="M74" s="80"/>
      <c r="N74" s="80"/>
      <c r="O74" s="80"/>
      <c r="P74" s="81"/>
      <c r="Q74" s="73">
        <f t="shared" si="1"/>
        <v>5.298</v>
      </c>
    </row>
    <row r="75" spans="2:17" x14ac:dyDescent="0.45">
      <c r="B75" s="86">
        <v>45190</v>
      </c>
      <c r="C75" s="78">
        <v>8</v>
      </c>
      <c r="D75" s="67">
        <v>0</v>
      </c>
      <c r="E75" s="78">
        <v>9.5</v>
      </c>
      <c r="F75" s="79">
        <v>7.4824999999999999</v>
      </c>
      <c r="G75" s="79"/>
      <c r="H75" s="79">
        <v>4.944</v>
      </c>
      <c r="I75" s="79">
        <v>3.69</v>
      </c>
      <c r="J75" s="80"/>
      <c r="K75" s="80"/>
      <c r="L75" s="80"/>
      <c r="M75" s="80"/>
      <c r="N75" s="80"/>
      <c r="O75" s="80"/>
      <c r="P75" s="81"/>
      <c r="Q75" s="73">
        <f t="shared" si="1"/>
        <v>5.3721666666666676</v>
      </c>
    </row>
    <row r="76" spans="2:17" x14ac:dyDescent="0.45">
      <c r="B76" s="86">
        <v>45197</v>
      </c>
      <c r="C76" s="78">
        <v>8</v>
      </c>
      <c r="D76" s="67">
        <v>0</v>
      </c>
      <c r="E76" s="78">
        <v>9.5</v>
      </c>
      <c r="F76" s="79">
        <v>7.5</v>
      </c>
      <c r="G76" s="79"/>
      <c r="H76" s="79">
        <v>4.9099999999999993</v>
      </c>
      <c r="I76" s="79">
        <v>3.69</v>
      </c>
      <c r="J76" s="80"/>
      <c r="K76" s="80"/>
      <c r="L76" s="80"/>
      <c r="M76" s="80"/>
      <c r="N76" s="80"/>
      <c r="O76" s="80"/>
      <c r="P76" s="81"/>
      <c r="Q76" s="73">
        <f t="shared" si="1"/>
        <v>5.3666666666666671</v>
      </c>
    </row>
    <row r="77" spans="2:17" x14ac:dyDescent="0.45">
      <c r="B77" s="86">
        <v>45204</v>
      </c>
      <c r="C77" s="78">
        <v>8</v>
      </c>
      <c r="D77" s="67">
        <v>0</v>
      </c>
      <c r="E77" s="78">
        <v>9.5</v>
      </c>
      <c r="F77" s="79">
        <v>7.5210526315789474</v>
      </c>
      <c r="G77" s="79"/>
      <c r="H77" s="79">
        <v>4.9099999999999993</v>
      </c>
      <c r="I77" s="79">
        <v>3.69</v>
      </c>
      <c r="J77" s="80"/>
      <c r="K77" s="80"/>
      <c r="L77" s="80"/>
      <c r="M77" s="80"/>
      <c r="N77" s="80"/>
      <c r="O77" s="80"/>
      <c r="P77" s="81"/>
      <c r="Q77" s="73">
        <f t="shared" si="1"/>
        <v>5.3736842105263163</v>
      </c>
    </row>
    <row r="78" spans="2:17" x14ac:dyDescent="0.45">
      <c r="B78" s="86">
        <v>45211</v>
      </c>
      <c r="C78" s="78">
        <v>8</v>
      </c>
      <c r="D78" s="67">
        <v>0</v>
      </c>
      <c r="E78" s="78">
        <v>9.5</v>
      </c>
      <c r="F78" s="79">
        <v>7.8889285714285711</v>
      </c>
      <c r="G78" s="79"/>
      <c r="H78" s="79">
        <v>4.9099999999999993</v>
      </c>
      <c r="I78" s="79">
        <v>3.69</v>
      </c>
      <c r="J78" s="80"/>
      <c r="K78" s="80"/>
      <c r="L78" s="80"/>
      <c r="M78" s="80"/>
      <c r="N78" s="80"/>
      <c r="O78" s="80"/>
      <c r="P78" s="81"/>
      <c r="Q78" s="73">
        <f t="shared" si="1"/>
        <v>5.496309523809523</v>
      </c>
    </row>
    <row r="79" spans="2:17" x14ac:dyDescent="0.45">
      <c r="B79" s="86">
        <v>45218</v>
      </c>
      <c r="C79" s="78">
        <v>8</v>
      </c>
      <c r="D79" s="67">
        <v>0</v>
      </c>
      <c r="E79" s="78">
        <v>9.5</v>
      </c>
      <c r="F79" s="79">
        <v>7.4740259740259738</v>
      </c>
      <c r="G79" s="79"/>
      <c r="H79" s="79">
        <v>4.9099999999999993</v>
      </c>
      <c r="I79" s="79">
        <v>3.69</v>
      </c>
      <c r="J79" s="80"/>
      <c r="K79" s="80"/>
      <c r="L79" s="80"/>
      <c r="M79" s="80"/>
      <c r="N79" s="80"/>
      <c r="O79" s="80"/>
      <c r="P79" s="81"/>
      <c r="Q79" s="73">
        <f t="shared" si="1"/>
        <v>5.3580086580086581</v>
      </c>
    </row>
    <row r="80" spans="2:17" x14ac:dyDescent="0.45">
      <c r="B80" s="86">
        <v>45225</v>
      </c>
      <c r="C80" s="78">
        <v>8</v>
      </c>
      <c r="D80" s="67">
        <v>0</v>
      </c>
      <c r="E80" s="78">
        <v>9.5</v>
      </c>
      <c r="F80" s="79">
        <v>7.7256198347107441</v>
      </c>
      <c r="G80" s="79"/>
      <c r="H80" s="79">
        <v>4.9099999999999993</v>
      </c>
      <c r="I80" s="79">
        <v>3.69</v>
      </c>
      <c r="J80" s="80"/>
      <c r="K80" s="80"/>
      <c r="L80" s="80"/>
      <c r="M80" s="80"/>
      <c r="N80" s="80"/>
      <c r="O80" s="80"/>
      <c r="P80" s="81"/>
      <c r="Q80" s="73">
        <f t="shared" si="1"/>
        <v>5.4418732782369146</v>
      </c>
    </row>
    <row r="81" spans="2:17" x14ac:dyDescent="0.45">
      <c r="B81" s="86">
        <v>45232</v>
      </c>
      <c r="C81" s="78">
        <v>8</v>
      </c>
      <c r="D81" s="67">
        <v>0</v>
      </c>
      <c r="E81" s="78">
        <v>9.5</v>
      </c>
      <c r="F81" s="79">
        <v>7.0712727272727269</v>
      </c>
      <c r="G81" s="79"/>
      <c r="H81" s="79">
        <v>4.9099999999999993</v>
      </c>
      <c r="I81" s="79">
        <v>3.69</v>
      </c>
      <c r="J81" s="80"/>
      <c r="K81" s="80"/>
      <c r="L81" s="80"/>
      <c r="M81" s="80"/>
      <c r="N81" s="80"/>
      <c r="O81" s="80"/>
      <c r="P81" s="81"/>
      <c r="Q81" s="73">
        <f t="shared" si="1"/>
        <v>5.2237575757575749</v>
      </c>
    </row>
    <row r="82" spans="2:17" x14ac:dyDescent="0.45">
      <c r="B82" s="86">
        <v>45239</v>
      </c>
      <c r="C82" s="78">
        <v>8</v>
      </c>
      <c r="D82" s="67">
        <v>0</v>
      </c>
      <c r="E82" s="78">
        <v>9.5</v>
      </c>
      <c r="F82" s="79">
        <v>7.6551999999999998</v>
      </c>
      <c r="G82" s="79"/>
      <c r="H82" s="79">
        <v>6.02</v>
      </c>
      <c r="I82" s="79">
        <v>3.69</v>
      </c>
      <c r="J82" s="80"/>
      <c r="K82" s="80"/>
      <c r="L82" s="80"/>
      <c r="M82" s="80"/>
      <c r="N82" s="80"/>
      <c r="O82" s="80"/>
      <c r="P82" s="81"/>
      <c r="Q82" s="73">
        <f t="shared" si="1"/>
        <v>5.7884000000000002</v>
      </c>
    </row>
    <row r="83" spans="2:17" x14ac:dyDescent="0.45">
      <c r="B83" s="86">
        <v>45246</v>
      </c>
      <c r="C83" s="78">
        <v>8</v>
      </c>
      <c r="D83" s="67">
        <v>0</v>
      </c>
      <c r="E83" s="78">
        <v>9.5</v>
      </c>
      <c r="F83" s="79">
        <v>7.3573333333333331</v>
      </c>
      <c r="G83" s="79">
        <v>7.1</v>
      </c>
      <c r="H83" s="79">
        <v>6.14</v>
      </c>
      <c r="I83" s="79">
        <v>3.69</v>
      </c>
      <c r="J83" s="80"/>
      <c r="K83" s="80"/>
      <c r="L83" s="80"/>
      <c r="M83" s="80"/>
      <c r="N83" s="80"/>
      <c r="O83" s="80"/>
      <c r="P83" s="81"/>
      <c r="Q83" s="73">
        <f t="shared" si="1"/>
        <v>6.0718333333333332</v>
      </c>
    </row>
    <row r="84" spans="2:17" x14ac:dyDescent="0.45">
      <c r="B84" s="86">
        <v>45253</v>
      </c>
      <c r="C84" s="78">
        <v>8</v>
      </c>
      <c r="D84" s="67">
        <v>0</v>
      </c>
      <c r="E84" s="78">
        <v>9.5</v>
      </c>
      <c r="F84" s="79">
        <v>7.86</v>
      </c>
      <c r="G84" s="79">
        <v>6.84</v>
      </c>
      <c r="H84" s="79">
        <v>5.5750000000000002</v>
      </c>
      <c r="I84" s="79">
        <v>3.69</v>
      </c>
      <c r="J84" s="80"/>
      <c r="K84" s="80"/>
      <c r="L84" s="80"/>
      <c r="M84" s="80"/>
      <c r="N84" s="80"/>
      <c r="O84" s="80"/>
      <c r="P84" s="81"/>
      <c r="Q84" s="73">
        <f t="shared" si="1"/>
        <v>5.99125</v>
      </c>
    </row>
    <row r="85" spans="2:17" x14ac:dyDescent="0.45">
      <c r="B85" s="86">
        <v>45260</v>
      </c>
      <c r="C85" s="78">
        <v>8</v>
      </c>
      <c r="D85" s="67">
        <v>0</v>
      </c>
      <c r="E85" s="78">
        <v>9.5</v>
      </c>
      <c r="F85" s="79">
        <v>7.484</v>
      </c>
      <c r="G85" s="79">
        <v>6.84</v>
      </c>
      <c r="H85" s="79">
        <v>5.5750000000000002</v>
      </c>
      <c r="I85" s="79">
        <v>3.69</v>
      </c>
      <c r="J85" s="80"/>
      <c r="K85" s="80"/>
      <c r="L85" s="80"/>
      <c r="M85" s="80"/>
      <c r="N85" s="80"/>
      <c r="O85" s="80"/>
      <c r="P85" s="81"/>
      <c r="Q85" s="73">
        <f t="shared" si="1"/>
        <v>5.8972500000000005</v>
      </c>
    </row>
    <row r="86" spans="2:17" x14ac:dyDescent="0.45">
      <c r="B86" s="86">
        <v>45267</v>
      </c>
      <c r="C86" s="78">
        <v>8</v>
      </c>
      <c r="D86" s="67">
        <v>0</v>
      </c>
      <c r="E86" s="78">
        <v>9.5</v>
      </c>
      <c r="F86" s="79">
        <v>8.0704615384615384</v>
      </c>
      <c r="G86" s="79">
        <v>6.84</v>
      </c>
      <c r="H86" s="79">
        <v>7.1132295719844354</v>
      </c>
      <c r="I86" s="79">
        <v>3.69</v>
      </c>
      <c r="J86" s="80"/>
      <c r="K86" s="80"/>
      <c r="L86" s="80"/>
      <c r="M86" s="80"/>
      <c r="N86" s="80"/>
      <c r="O86" s="80"/>
      <c r="P86" s="81"/>
      <c r="Q86" s="73">
        <f t="shared" si="1"/>
        <v>6.4284227776114937</v>
      </c>
    </row>
    <row r="87" spans="2:17" x14ac:dyDescent="0.45">
      <c r="B87" s="86">
        <v>45274</v>
      </c>
      <c r="C87" s="78">
        <v>8</v>
      </c>
      <c r="D87" s="67">
        <v>0</v>
      </c>
      <c r="E87" s="78">
        <v>9.5</v>
      </c>
      <c r="F87" s="79">
        <v>7.3417777777777777</v>
      </c>
      <c r="G87" s="79">
        <v>6.84</v>
      </c>
      <c r="H87" s="79">
        <v>6.9835294117647058</v>
      </c>
      <c r="I87" s="79">
        <v>7.84</v>
      </c>
      <c r="J87" s="80"/>
      <c r="K87" s="80"/>
      <c r="L87" s="80"/>
      <c r="M87" s="80"/>
      <c r="N87" s="80"/>
      <c r="O87" s="80"/>
      <c r="P87" s="81"/>
      <c r="Q87" s="73">
        <f t="shared" si="1"/>
        <v>7.2513267973856212</v>
      </c>
    </row>
    <row r="88" spans="2:17" x14ac:dyDescent="0.45">
      <c r="B88" s="86">
        <v>45281</v>
      </c>
      <c r="C88" s="78">
        <v>8</v>
      </c>
      <c r="D88" s="67">
        <v>0</v>
      </c>
      <c r="E88" s="78">
        <v>9.5</v>
      </c>
      <c r="F88" s="79">
        <v>7.8702970297029706</v>
      </c>
      <c r="G88" s="79">
        <v>6.84</v>
      </c>
      <c r="H88" s="79">
        <v>6.34</v>
      </c>
      <c r="I88" s="79">
        <v>7.84</v>
      </c>
      <c r="J88" s="80"/>
      <c r="K88" s="80"/>
      <c r="L88" s="80"/>
      <c r="M88" s="80"/>
      <c r="N88" s="80"/>
      <c r="O88" s="80"/>
      <c r="P88" s="81"/>
      <c r="Q88" s="73">
        <f t="shared" si="1"/>
        <v>7.2225742574257428</v>
      </c>
    </row>
    <row r="89" spans="2:17" x14ac:dyDescent="0.45">
      <c r="B89" s="86">
        <v>45288</v>
      </c>
      <c r="C89" s="78">
        <v>8</v>
      </c>
      <c r="D89" s="67">
        <v>0</v>
      </c>
      <c r="E89" s="78">
        <v>9.5</v>
      </c>
      <c r="F89" s="79">
        <v>6.6448484848484846</v>
      </c>
      <c r="G89" s="79">
        <v>6.84</v>
      </c>
      <c r="H89" s="79">
        <v>6.34</v>
      </c>
      <c r="I89" s="79">
        <v>7.84</v>
      </c>
      <c r="J89" s="80"/>
      <c r="K89" s="80"/>
      <c r="L89" s="80"/>
      <c r="M89" s="80"/>
      <c r="N89" s="80"/>
      <c r="O89" s="80"/>
      <c r="P89" s="81"/>
      <c r="Q89" s="73">
        <f t="shared" si="1"/>
        <v>6.916212121212121</v>
      </c>
    </row>
    <row r="90" spans="2:17" x14ac:dyDescent="0.45">
      <c r="B90" s="86">
        <v>45295</v>
      </c>
      <c r="C90" s="78">
        <v>8</v>
      </c>
      <c r="D90" s="67">
        <v>0</v>
      </c>
      <c r="E90" s="78">
        <v>9.5</v>
      </c>
      <c r="F90" s="79">
        <v>7.5350943396226411</v>
      </c>
      <c r="G90" s="79">
        <v>6.84</v>
      </c>
      <c r="H90" s="79">
        <v>6.34</v>
      </c>
      <c r="I90" s="79">
        <v>7.84</v>
      </c>
      <c r="J90" s="80"/>
      <c r="K90" s="80"/>
      <c r="L90" s="80"/>
      <c r="M90" s="80"/>
      <c r="N90" s="80"/>
      <c r="O90" s="80"/>
      <c r="P90" s="81"/>
      <c r="Q90" s="73">
        <f t="shared" si="1"/>
        <v>7.1387735849056604</v>
      </c>
    </row>
    <row r="91" spans="2:17" x14ac:dyDescent="0.45">
      <c r="B91" s="86">
        <v>45302</v>
      </c>
      <c r="C91" s="78">
        <v>8</v>
      </c>
      <c r="D91" s="67">
        <v>0</v>
      </c>
      <c r="E91" s="78">
        <v>9.5</v>
      </c>
      <c r="F91" s="79">
        <v>7.2030769230769227</v>
      </c>
      <c r="G91" s="79">
        <v>6.84</v>
      </c>
      <c r="H91" s="79">
        <v>4.76</v>
      </c>
      <c r="I91" s="79">
        <v>7.84</v>
      </c>
      <c r="J91" s="80"/>
      <c r="K91" s="80"/>
      <c r="L91" s="80"/>
      <c r="M91" s="80"/>
      <c r="N91" s="80"/>
      <c r="O91" s="80"/>
      <c r="P91" s="81"/>
      <c r="Q91" s="73">
        <f t="shared" si="1"/>
        <v>6.6607692307692306</v>
      </c>
    </row>
    <row r="92" spans="2:17" x14ac:dyDescent="0.45">
      <c r="B92" s="86">
        <v>45309</v>
      </c>
      <c r="C92" s="78">
        <v>8</v>
      </c>
      <c r="D92" s="67">
        <v>0</v>
      </c>
      <c r="E92" s="78">
        <v>9.5</v>
      </c>
      <c r="F92" s="79">
        <v>7.6733333333333329</v>
      </c>
      <c r="G92" s="79">
        <v>6.84</v>
      </c>
      <c r="H92" s="79">
        <v>4.76</v>
      </c>
      <c r="I92" s="79">
        <v>7.84</v>
      </c>
      <c r="J92" s="80"/>
      <c r="K92" s="80"/>
      <c r="L92" s="80"/>
      <c r="M92" s="80"/>
      <c r="N92" s="80"/>
      <c r="O92" s="80"/>
      <c r="P92" s="81"/>
      <c r="Q92" s="73">
        <f t="shared" si="1"/>
        <v>6.7783333333333333</v>
      </c>
    </row>
    <row r="93" spans="2:17" x14ac:dyDescent="0.45">
      <c r="B93" s="86">
        <v>45316</v>
      </c>
      <c r="C93" s="78">
        <v>8</v>
      </c>
      <c r="D93" s="67">
        <v>0</v>
      </c>
      <c r="E93" s="78">
        <v>9.5</v>
      </c>
      <c r="F93" s="79">
        <v>6.8016666666666667</v>
      </c>
      <c r="G93" s="79">
        <v>6.84</v>
      </c>
      <c r="H93" s="79">
        <v>6.57</v>
      </c>
      <c r="I93" s="79">
        <v>7.84</v>
      </c>
      <c r="J93" s="80"/>
      <c r="K93" s="80"/>
      <c r="L93" s="80"/>
      <c r="M93" s="80"/>
      <c r="N93" s="80"/>
      <c r="O93" s="80"/>
      <c r="P93" s="81"/>
      <c r="Q93" s="73">
        <f t="shared" si="1"/>
        <v>7.0129166666666665</v>
      </c>
    </row>
    <row r="94" spans="2:17" x14ac:dyDescent="0.45">
      <c r="B94" s="86">
        <v>45323</v>
      </c>
      <c r="C94" s="78">
        <v>8</v>
      </c>
      <c r="D94" s="67">
        <v>0</v>
      </c>
      <c r="E94" s="78">
        <v>9.5</v>
      </c>
      <c r="F94" s="79">
        <v>7.601230769230769</v>
      </c>
      <c r="G94" s="79">
        <v>6.84</v>
      </c>
      <c r="H94" s="79">
        <v>6.57</v>
      </c>
      <c r="I94" s="79">
        <v>7.84</v>
      </c>
      <c r="J94" s="80"/>
      <c r="K94" s="80"/>
      <c r="L94" s="80"/>
      <c r="M94" s="80"/>
      <c r="N94" s="80"/>
      <c r="O94" s="80"/>
      <c r="P94" s="81"/>
      <c r="Q94" s="73">
        <f t="shared" si="1"/>
        <v>7.2128076923076927</v>
      </c>
    </row>
    <row r="95" spans="2:17" x14ac:dyDescent="0.45">
      <c r="B95" s="86">
        <v>45330</v>
      </c>
      <c r="C95" s="78">
        <v>8</v>
      </c>
      <c r="D95" s="67">
        <v>0</v>
      </c>
      <c r="E95" s="78">
        <v>9.5</v>
      </c>
      <c r="F95" s="79">
        <v>7.35</v>
      </c>
      <c r="G95" s="79">
        <v>6.84</v>
      </c>
      <c r="H95" s="79">
        <v>6.36</v>
      </c>
      <c r="I95" s="79">
        <v>7.84</v>
      </c>
      <c r="J95" s="80"/>
      <c r="K95" s="80"/>
      <c r="L95" s="80"/>
      <c r="M95" s="80"/>
      <c r="N95" s="80"/>
      <c r="O95" s="80"/>
      <c r="P95" s="81"/>
      <c r="Q95" s="73">
        <f t="shared" si="1"/>
        <v>7.0975000000000001</v>
      </c>
    </row>
    <row r="96" spans="2:17" x14ac:dyDescent="0.45">
      <c r="B96" s="86">
        <v>45337</v>
      </c>
      <c r="C96" s="78">
        <v>8</v>
      </c>
      <c r="D96" s="67">
        <v>0</v>
      </c>
      <c r="E96" s="78">
        <v>9.5</v>
      </c>
      <c r="F96" s="79">
        <v>7.8615228426395936</v>
      </c>
      <c r="G96" s="79">
        <v>4.8600000000000021</v>
      </c>
      <c r="H96" s="79">
        <v>6.9584615384615383</v>
      </c>
      <c r="I96" s="79">
        <v>7.84</v>
      </c>
      <c r="J96" s="80">
        <v>7.15</v>
      </c>
      <c r="K96" s="80"/>
      <c r="L96" s="80"/>
      <c r="M96" s="80"/>
      <c r="N96" s="80"/>
      <c r="O96" s="80"/>
      <c r="P96" s="81"/>
      <c r="Q96" s="73">
        <f t="shared" si="1"/>
        <v>6.9339968762202275</v>
      </c>
    </row>
    <row r="97" spans="2:17" x14ac:dyDescent="0.45">
      <c r="B97" s="86">
        <v>45344</v>
      </c>
      <c r="C97" s="78">
        <v>8</v>
      </c>
      <c r="D97" s="67">
        <v>0</v>
      </c>
      <c r="E97" s="78">
        <v>9.5</v>
      </c>
      <c r="F97" s="79">
        <v>7.44</v>
      </c>
      <c r="G97" s="79">
        <v>7.91</v>
      </c>
      <c r="H97" s="79">
        <v>6.41</v>
      </c>
      <c r="I97" s="79">
        <v>7.84</v>
      </c>
      <c r="J97" s="80">
        <v>7.15</v>
      </c>
      <c r="K97" s="80"/>
      <c r="L97" s="80"/>
      <c r="M97" s="80"/>
      <c r="N97" s="80"/>
      <c r="O97" s="80"/>
      <c r="P97" s="81"/>
      <c r="Q97" s="73">
        <f t="shared" si="1"/>
        <v>7.35</v>
      </c>
    </row>
    <row r="98" spans="2:17" x14ac:dyDescent="0.45">
      <c r="B98" s="86">
        <v>45351</v>
      </c>
      <c r="C98" s="78">
        <v>8</v>
      </c>
      <c r="D98" s="67">
        <v>0</v>
      </c>
      <c r="E98" s="78">
        <v>9.5</v>
      </c>
      <c r="F98" s="79">
        <v>7.730666666666667</v>
      </c>
      <c r="G98" s="79">
        <v>7.91</v>
      </c>
      <c r="H98" s="79">
        <v>6.41</v>
      </c>
      <c r="I98" s="79">
        <v>7.84</v>
      </c>
      <c r="J98" s="80">
        <v>7.15</v>
      </c>
      <c r="K98" s="80"/>
      <c r="L98" s="80"/>
      <c r="M98" s="80"/>
      <c r="N98" s="80"/>
      <c r="O98" s="80"/>
      <c r="P98" s="81"/>
      <c r="Q98" s="73">
        <f t="shared" si="1"/>
        <v>7.4081333333333337</v>
      </c>
    </row>
    <row r="99" spans="2:17" x14ac:dyDescent="0.45">
      <c r="B99" s="86">
        <v>45358</v>
      </c>
      <c r="C99" s="78">
        <v>8</v>
      </c>
      <c r="D99" s="67">
        <v>0</v>
      </c>
      <c r="E99" s="78">
        <v>9.5</v>
      </c>
      <c r="F99" s="79">
        <v>7.1046153846153821</v>
      </c>
      <c r="G99" s="79">
        <v>7.91</v>
      </c>
      <c r="H99" s="79">
        <v>6.41</v>
      </c>
      <c r="I99" s="79">
        <v>7.84</v>
      </c>
      <c r="J99" s="80">
        <v>7.15</v>
      </c>
      <c r="K99" s="80"/>
      <c r="L99" s="80"/>
      <c r="M99" s="80"/>
      <c r="N99" s="80"/>
      <c r="O99" s="80"/>
      <c r="P99" s="81"/>
      <c r="Q99" s="73">
        <f t="shared" si="1"/>
        <v>7.2829230769230762</v>
      </c>
    </row>
    <row r="100" spans="2:17" x14ac:dyDescent="0.45">
      <c r="B100" s="86">
        <v>45365</v>
      </c>
      <c r="C100" s="78">
        <v>8</v>
      </c>
      <c r="D100" s="67">
        <v>0</v>
      </c>
      <c r="E100" s="78">
        <v>9.5</v>
      </c>
      <c r="F100" s="79">
        <v>7.6718518518518515</v>
      </c>
      <c r="G100" s="79">
        <v>7.91</v>
      </c>
      <c r="H100" s="79">
        <v>7.16449438202247</v>
      </c>
      <c r="I100" s="79">
        <v>7.84</v>
      </c>
      <c r="J100" s="80">
        <v>7.15</v>
      </c>
      <c r="K100" s="80"/>
      <c r="L100" s="80"/>
      <c r="M100" s="80"/>
      <c r="N100" s="80"/>
      <c r="O100" s="80"/>
      <c r="P100" s="81"/>
      <c r="Q100" s="73">
        <f t="shared" si="1"/>
        <v>7.5472692467748645</v>
      </c>
    </row>
    <row r="101" spans="2:17" x14ac:dyDescent="0.45">
      <c r="B101" s="86">
        <v>45372</v>
      </c>
      <c r="C101" s="78">
        <v>8</v>
      </c>
      <c r="D101" s="67">
        <v>0</v>
      </c>
      <c r="E101" s="78">
        <v>9.5</v>
      </c>
      <c r="F101" s="79">
        <v>7.3166666666666664</v>
      </c>
      <c r="G101" s="79">
        <v>7.96</v>
      </c>
      <c r="H101" s="79">
        <v>7.16449438202247</v>
      </c>
      <c r="I101" s="79">
        <v>7.84</v>
      </c>
      <c r="J101" s="80">
        <v>7.15</v>
      </c>
      <c r="K101" s="80"/>
      <c r="L101" s="80"/>
      <c r="M101" s="80"/>
      <c r="N101" s="80"/>
      <c r="O101" s="80"/>
      <c r="P101" s="81"/>
      <c r="Q101" s="73">
        <f t="shared" si="1"/>
        <v>7.4862322097378282</v>
      </c>
    </row>
    <row r="102" spans="2:17" x14ac:dyDescent="0.45">
      <c r="B102" s="86">
        <v>45379</v>
      </c>
      <c r="C102" s="78">
        <v>8</v>
      </c>
      <c r="D102" s="67">
        <v>0</v>
      </c>
      <c r="E102" s="78">
        <v>9.5</v>
      </c>
      <c r="F102" s="79">
        <v>7.7780219780219779</v>
      </c>
      <c r="G102" s="79">
        <v>7.8942857142857132</v>
      </c>
      <c r="H102" s="79">
        <v>6.3769999999999998</v>
      </c>
      <c r="I102" s="79">
        <v>7.84</v>
      </c>
      <c r="J102" s="80">
        <v>7.15</v>
      </c>
      <c r="K102" s="80"/>
      <c r="L102" s="80"/>
      <c r="M102" s="80"/>
      <c r="N102" s="80"/>
      <c r="O102" s="80"/>
      <c r="P102" s="81"/>
      <c r="Q102" s="73">
        <f t="shared" si="1"/>
        <v>7.4078615384615372</v>
      </c>
    </row>
    <row r="103" spans="2:17" x14ac:dyDescent="0.45">
      <c r="B103" s="86">
        <v>45386</v>
      </c>
      <c r="C103" s="78">
        <v>8</v>
      </c>
      <c r="D103" s="67">
        <v>0</v>
      </c>
      <c r="E103" s="78">
        <v>9.5</v>
      </c>
      <c r="F103" s="79">
        <v>7.6357886089813771</v>
      </c>
      <c r="G103" s="79">
        <v>7.9600000000000026</v>
      </c>
      <c r="H103" s="79">
        <v>6.3769999999999998</v>
      </c>
      <c r="I103" s="79">
        <v>7.84</v>
      </c>
      <c r="J103" s="80">
        <v>7.15</v>
      </c>
      <c r="K103" s="80"/>
      <c r="L103" s="80"/>
      <c r="M103" s="80"/>
      <c r="N103" s="80"/>
      <c r="O103" s="80"/>
      <c r="P103" s="81"/>
      <c r="Q103" s="73">
        <f t="shared" si="1"/>
        <v>7.3925577217962752</v>
      </c>
    </row>
    <row r="104" spans="2:17" x14ac:dyDescent="0.45">
      <c r="B104" s="86">
        <v>45393</v>
      </c>
      <c r="C104" s="78">
        <v>8</v>
      </c>
      <c r="D104" s="67">
        <v>0</v>
      </c>
      <c r="E104" s="78">
        <v>9.5</v>
      </c>
      <c r="F104" s="79">
        <v>7.7142857142857153</v>
      </c>
      <c r="G104" s="79">
        <v>7.8375000000000004</v>
      </c>
      <c r="H104" s="79">
        <v>8.129999999999999</v>
      </c>
      <c r="I104" s="79">
        <v>7.84</v>
      </c>
      <c r="J104" s="80">
        <v>7.15</v>
      </c>
      <c r="K104" s="80"/>
      <c r="L104" s="80"/>
      <c r="M104" s="80"/>
      <c r="N104" s="80"/>
      <c r="O104" s="80"/>
      <c r="P104" s="81"/>
      <c r="Q104" s="73">
        <f t="shared" si="1"/>
        <v>7.734357142857144</v>
      </c>
    </row>
    <row r="105" spans="2:17" x14ac:dyDescent="0.45">
      <c r="B105" s="86">
        <v>45400</v>
      </c>
      <c r="C105" s="78">
        <v>8</v>
      </c>
      <c r="D105" s="67">
        <v>0</v>
      </c>
      <c r="E105" s="78">
        <v>9.5</v>
      </c>
      <c r="F105" s="79">
        <v>7.7779999999999996</v>
      </c>
      <c r="G105" s="79">
        <v>7.8375000000000004</v>
      </c>
      <c r="H105" s="79">
        <v>8.129999999999999</v>
      </c>
      <c r="I105" s="79">
        <v>7.84</v>
      </c>
      <c r="J105" s="80">
        <v>7.15</v>
      </c>
      <c r="K105" s="80"/>
      <c r="L105" s="80"/>
      <c r="M105" s="80"/>
      <c r="N105" s="80"/>
      <c r="O105" s="80"/>
      <c r="P105" s="81"/>
      <c r="Q105" s="73">
        <f t="shared" si="1"/>
        <v>7.7471000000000005</v>
      </c>
    </row>
    <row r="106" spans="2:17" x14ac:dyDescent="0.45">
      <c r="B106" s="86">
        <v>45407</v>
      </c>
      <c r="C106" s="78">
        <v>8</v>
      </c>
      <c r="D106" s="67">
        <v>0</v>
      </c>
      <c r="E106" s="78">
        <v>9.5</v>
      </c>
      <c r="F106" s="79">
        <v>7.71</v>
      </c>
      <c r="G106" s="79">
        <v>7.91</v>
      </c>
      <c r="H106" s="79">
        <v>8.129999999999999</v>
      </c>
      <c r="I106" s="79">
        <v>7.84</v>
      </c>
      <c r="J106" s="80">
        <v>7.15</v>
      </c>
      <c r="K106" s="80"/>
      <c r="L106" s="80"/>
      <c r="M106" s="80"/>
      <c r="N106" s="80"/>
      <c r="O106" s="80"/>
      <c r="P106" s="81"/>
      <c r="Q106" s="73">
        <f t="shared" si="1"/>
        <v>7.7480000000000002</v>
      </c>
    </row>
    <row r="107" spans="2:17" x14ac:dyDescent="0.45">
      <c r="B107" s="86">
        <v>45414</v>
      </c>
      <c r="C107" s="78">
        <v>8</v>
      </c>
      <c r="D107" s="67">
        <v>0</v>
      </c>
      <c r="E107" s="78">
        <v>9.5</v>
      </c>
      <c r="F107" s="79">
        <v>7.2700000000000014</v>
      </c>
      <c r="G107" s="79">
        <v>6.91</v>
      </c>
      <c r="H107" s="79">
        <v>8.129999999999999</v>
      </c>
      <c r="I107" s="79">
        <v>7.84</v>
      </c>
      <c r="J107" s="80">
        <v>7.15</v>
      </c>
      <c r="K107" s="80"/>
      <c r="L107" s="80"/>
      <c r="M107" s="80"/>
      <c r="N107" s="80"/>
      <c r="O107" s="80"/>
      <c r="P107" s="81"/>
      <c r="Q107" s="73">
        <f t="shared" si="1"/>
        <v>7.4600000000000009</v>
      </c>
    </row>
    <row r="108" spans="2:17" x14ac:dyDescent="0.45">
      <c r="B108" s="86">
        <v>45421</v>
      </c>
      <c r="C108" s="78">
        <v>8</v>
      </c>
      <c r="D108" s="67">
        <v>0</v>
      </c>
      <c r="E108" s="78">
        <v>9.5</v>
      </c>
      <c r="F108" s="79">
        <v>7.7728571428571431</v>
      </c>
      <c r="G108" s="79">
        <v>6.91</v>
      </c>
      <c r="H108" s="79">
        <v>7.04</v>
      </c>
      <c r="I108" s="79">
        <v>7.84</v>
      </c>
      <c r="J108" s="80">
        <v>7.15</v>
      </c>
      <c r="K108" s="80"/>
      <c r="L108" s="80"/>
      <c r="M108" s="80"/>
      <c r="N108" s="80"/>
      <c r="O108" s="80"/>
      <c r="P108" s="81"/>
      <c r="Q108" s="73">
        <f t="shared" si="1"/>
        <v>7.3425714285714294</v>
      </c>
    </row>
    <row r="109" spans="2:17" x14ac:dyDescent="0.45">
      <c r="B109" s="86">
        <v>45428</v>
      </c>
      <c r="C109" s="78">
        <v>8</v>
      </c>
      <c r="D109" s="67">
        <v>0</v>
      </c>
      <c r="E109" s="78">
        <v>9.5</v>
      </c>
      <c r="F109" s="79">
        <v>7.5602880000000008</v>
      </c>
      <c r="G109" s="79">
        <v>7.9100000000000037</v>
      </c>
      <c r="H109" s="79">
        <v>6.990000000000002</v>
      </c>
      <c r="I109" s="79">
        <v>7.84</v>
      </c>
      <c r="J109" s="80">
        <v>7.15</v>
      </c>
      <c r="K109" s="80"/>
      <c r="L109" s="80"/>
      <c r="M109" s="80"/>
      <c r="N109" s="80"/>
      <c r="O109" s="80"/>
      <c r="P109" s="81"/>
      <c r="Q109" s="73">
        <f t="shared" si="1"/>
        <v>7.4900576000000019</v>
      </c>
    </row>
    <row r="110" spans="2:17" x14ac:dyDescent="0.45">
      <c r="B110" s="86">
        <v>45435</v>
      </c>
      <c r="C110" s="78">
        <v>8</v>
      </c>
      <c r="D110" s="67">
        <v>0</v>
      </c>
      <c r="E110" s="78">
        <v>9.5</v>
      </c>
      <c r="F110" s="79">
        <v>7.7721633993779919</v>
      </c>
      <c r="G110" s="79">
        <v>7.9700000000000006</v>
      </c>
      <c r="H110" s="79">
        <v>5.39</v>
      </c>
      <c r="I110" s="79">
        <v>7.84</v>
      </c>
      <c r="J110" s="80">
        <v>7.15</v>
      </c>
      <c r="K110" s="80"/>
      <c r="L110" s="80"/>
      <c r="M110" s="80"/>
      <c r="N110" s="80"/>
      <c r="O110" s="80"/>
      <c r="P110" s="81"/>
      <c r="Q110" s="73">
        <f t="shared" si="1"/>
        <v>7.2244326798755996</v>
      </c>
    </row>
    <row r="111" spans="2:17" x14ac:dyDescent="0.45">
      <c r="B111" s="86">
        <v>45442</v>
      </c>
      <c r="C111" s="78">
        <v>8</v>
      </c>
      <c r="D111" s="67">
        <v>0</v>
      </c>
      <c r="E111" s="78">
        <v>9.5</v>
      </c>
      <c r="F111" s="79">
        <v>7.5146428571428592</v>
      </c>
      <c r="G111" s="79">
        <v>7.9700000000000006</v>
      </c>
      <c r="H111" s="79">
        <v>5.39</v>
      </c>
      <c r="I111" s="79">
        <v>7.84</v>
      </c>
      <c r="J111" s="80">
        <v>7.15</v>
      </c>
      <c r="K111" s="80"/>
      <c r="L111" s="80"/>
      <c r="M111" s="80"/>
      <c r="N111" s="80"/>
      <c r="O111" s="80"/>
      <c r="P111" s="81"/>
      <c r="Q111" s="73">
        <f t="shared" si="1"/>
        <v>7.1729285714285727</v>
      </c>
    </row>
    <row r="112" spans="2:17" x14ac:dyDescent="0.45">
      <c r="B112" s="86">
        <v>45449</v>
      </c>
      <c r="C112" s="78">
        <v>8</v>
      </c>
      <c r="D112" s="67">
        <v>0</v>
      </c>
      <c r="E112" s="78">
        <v>9.5</v>
      </c>
      <c r="F112" s="79">
        <v>7.8163749999999999</v>
      </c>
      <c r="G112" s="79">
        <v>7.9700000000000006</v>
      </c>
      <c r="H112" s="79">
        <v>7.4832684824902733</v>
      </c>
      <c r="I112" s="79">
        <v>7.84</v>
      </c>
      <c r="J112" s="80">
        <v>7.15</v>
      </c>
      <c r="K112" s="80"/>
      <c r="L112" s="80"/>
      <c r="M112" s="80"/>
      <c r="N112" s="80"/>
      <c r="O112" s="80"/>
      <c r="P112" s="81"/>
      <c r="Q112" s="73">
        <f t="shared" si="1"/>
        <v>7.6519286964980555</v>
      </c>
    </row>
    <row r="113" spans="2:17" x14ac:dyDescent="0.45">
      <c r="B113" s="86">
        <v>45456</v>
      </c>
      <c r="C113" s="78">
        <v>8</v>
      </c>
      <c r="D113" s="67">
        <v>0</v>
      </c>
      <c r="E113" s="78">
        <v>9.5</v>
      </c>
      <c r="F113" s="79">
        <v>7.7516175413371675</v>
      </c>
      <c r="G113" s="79">
        <v>7.9700000000000006</v>
      </c>
      <c r="H113" s="79">
        <v>7.8058823529411754</v>
      </c>
      <c r="I113" s="79">
        <v>7.84</v>
      </c>
      <c r="J113" s="80">
        <v>7.15</v>
      </c>
      <c r="K113" s="80"/>
      <c r="L113" s="80"/>
      <c r="M113" s="80"/>
      <c r="N113" s="80"/>
      <c r="O113" s="80"/>
      <c r="P113" s="81"/>
      <c r="Q113" s="73">
        <f t="shared" si="1"/>
        <v>7.7034999788556693</v>
      </c>
    </row>
    <row r="114" spans="2:17" x14ac:dyDescent="0.45">
      <c r="B114" s="86">
        <v>45463</v>
      </c>
      <c r="C114" s="78">
        <v>8</v>
      </c>
      <c r="D114" s="67">
        <v>0</v>
      </c>
      <c r="E114" s="78">
        <v>9.5</v>
      </c>
      <c r="F114" s="79">
        <v>7.7723684210526311</v>
      </c>
      <c r="G114" s="79">
        <v>7.9700000000000006</v>
      </c>
      <c r="H114" s="79">
        <v>8.0020000000000007</v>
      </c>
      <c r="I114" s="79">
        <v>7.84</v>
      </c>
      <c r="J114" s="80">
        <v>7.15</v>
      </c>
      <c r="K114" s="80"/>
      <c r="L114" s="80"/>
      <c r="M114" s="80"/>
      <c r="N114" s="80"/>
      <c r="O114" s="80"/>
      <c r="P114" s="81"/>
      <c r="Q114" s="73">
        <f t="shared" si="1"/>
        <v>7.7468736842105272</v>
      </c>
    </row>
    <row r="115" spans="2:17" x14ac:dyDescent="0.45">
      <c r="B115" s="86">
        <v>45470</v>
      </c>
      <c r="C115" s="78">
        <v>8</v>
      </c>
      <c r="D115" s="67">
        <v>3</v>
      </c>
      <c r="E115" s="78">
        <v>9.5</v>
      </c>
      <c r="F115" s="79">
        <v>7.5700000000000029</v>
      </c>
      <c r="G115" s="79">
        <v>7.7640624999999996</v>
      </c>
      <c r="H115" s="79">
        <v>8.0020000000000007</v>
      </c>
      <c r="I115" s="79">
        <v>7.84</v>
      </c>
      <c r="J115" s="80">
        <v>8.15</v>
      </c>
      <c r="K115" s="80"/>
      <c r="L115" s="80"/>
      <c r="M115" s="80"/>
      <c r="N115" s="80"/>
      <c r="O115" s="80"/>
      <c r="P115" s="81"/>
      <c r="Q115" s="73">
        <f t="shared" si="1"/>
        <v>7.8652125000000011</v>
      </c>
    </row>
    <row r="116" spans="2:17" x14ac:dyDescent="0.45">
      <c r="B116" s="86">
        <v>45477</v>
      </c>
      <c r="C116" s="78">
        <v>8</v>
      </c>
      <c r="D116" s="67">
        <v>3</v>
      </c>
      <c r="E116" s="78">
        <v>9.5</v>
      </c>
      <c r="F116" s="79">
        <v>7.6270933333333337</v>
      </c>
      <c r="G116" s="79">
        <v>8.19</v>
      </c>
      <c r="H116" s="79">
        <v>8.0020000000000007</v>
      </c>
      <c r="I116" s="79">
        <v>7.84</v>
      </c>
      <c r="J116" s="80">
        <v>8.15</v>
      </c>
      <c r="K116" s="80"/>
      <c r="L116" s="80"/>
      <c r="M116" s="80"/>
      <c r="N116" s="80"/>
      <c r="O116" s="80"/>
      <c r="P116" s="81"/>
      <c r="Q116" s="73">
        <f t="shared" si="1"/>
        <v>7.9618186666666677</v>
      </c>
    </row>
    <row r="117" spans="2:17" x14ac:dyDescent="0.45">
      <c r="B117" s="86">
        <v>45484</v>
      </c>
      <c r="C117" s="78">
        <v>8</v>
      </c>
      <c r="D117" s="67">
        <v>3</v>
      </c>
      <c r="E117" s="78">
        <v>9.5</v>
      </c>
      <c r="F117" s="79">
        <v>7.8000000000000016</v>
      </c>
      <c r="G117" s="79">
        <v>8.19</v>
      </c>
      <c r="H117" s="79">
        <v>6.266</v>
      </c>
      <c r="I117" s="79">
        <v>7.84</v>
      </c>
      <c r="J117" s="80">
        <v>8.15</v>
      </c>
      <c r="K117" s="80"/>
      <c r="L117" s="80"/>
      <c r="M117" s="80"/>
      <c r="N117" s="80"/>
      <c r="O117" s="80"/>
      <c r="P117" s="81"/>
      <c r="Q117" s="73">
        <f t="shared" si="1"/>
        <v>7.6492000000000004</v>
      </c>
    </row>
    <row r="118" spans="2:17" x14ac:dyDescent="0.45">
      <c r="B118" s="86">
        <v>45491</v>
      </c>
      <c r="C118" s="78">
        <v>8</v>
      </c>
      <c r="D118" s="67">
        <v>3</v>
      </c>
      <c r="E118" s="78">
        <v>9.5</v>
      </c>
      <c r="F118" s="79">
        <v>7.6786867599569426</v>
      </c>
      <c r="G118" s="79">
        <v>8.15</v>
      </c>
      <c r="H118" s="79">
        <v>6.266</v>
      </c>
      <c r="I118" s="79">
        <v>7.84</v>
      </c>
      <c r="J118" s="80">
        <v>8.15</v>
      </c>
      <c r="K118" s="80"/>
      <c r="L118" s="80"/>
      <c r="M118" s="80"/>
      <c r="N118" s="80"/>
      <c r="O118" s="80"/>
      <c r="P118" s="81"/>
      <c r="Q118" s="73">
        <f t="shared" si="1"/>
        <v>7.616937351991389</v>
      </c>
    </row>
    <row r="119" spans="2:17" x14ac:dyDescent="0.45">
      <c r="B119" s="86">
        <v>45498</v>
      </c>
      <c r="C119" s="78">
        <v>8</v>
      </c>
      <c r="D119" s="67">
        <v>3</v>
      </c>
      <c r="E119" s="78">
        <v>9.5</v>
      </c>
      <c r="F119" s="79">
        <v>7.2148148148148152</v>
      </c>
      <c r="G119" s="79">
        <v>8.15</v>
      </c>
      <c r="H119" s="79">
        <v>7.77</v>
      </c>
      <c r="I119" s="79">
        <v>7.84</v>
      </c>
      <c r="J119" s="80">
        <v>8.15</v>
      </c>
      <c r="K119" s="80"/>
      <c r="L119" s="80"/>
      <c r="M119" s="80"/>
      <c r="N119" s="80"/>
      <c r="O119" s="80"/>
      <c r="P119" s="81"/>
      <c r="Q119" s="73">
        <f t="shared" si="1"/>
        <v>7.8249629629629638</v>
      </c>
    </row>
    <row r="120" spans="2:17" x14ac:dyDescent="0.45">
      <c r="B120" s="86">
        <v>45505</v>
      </c>
      <c r="C120" s="78">
        <v>8</v>
      </c>
      <c r="D120" s="67">
        <v>3</v>
      </c>
      <c r="E120" s="78">
        <v>9.5</v>
      </c>
      <c r="F120" s="79">
        <v>7.6789361702127703</v>
      </c>
      <c r="G120" s="79">
        <v>8.15</v>
      </c>
      <c r="H120" s="79">
        <v>7.77</v>
      </c>
      <c r="I120" s="79">
        <v>7.84</v>
      </c>
      <c r="J120" s="80">
        <v>8.15</v>
      </c>
      <c r="K120" s="80"/>
      <c r="L120" s="80"/>
      <c r="M120" s="80"/>
      <c r="N120" s="80"/>
      <c r="O120" s="80"/>
      <c r="P120" s="81"/>
      <c r="Q120" s="73">
        <f t="shared" si="1"/>
        <v>7.9177872340425539</v>
      </c>
    </row>
    <row r="121" spans="2:17" x14ac:dyDescent="0.45">
      <c r="B121" s="86">
        <v>45512</v>
      </c>
      <c r="C121" s="78">
        <v>8</v>
      </c>
      <c r="D121" s="67">
        <v>3</v>
      </c>
      <c r="E121" s="78">
        <v>9.5</v>
      </c>
      <c r="F121" s="79">
        <v>7.7722302158273378</v>
      </c>
      <c r="G121" s="79">
        <v>8.15</v>
      </c>
      <c r="H121" s="79">
        <v>6.36</v>
      </c>
      <c r="I121" s="79">
        <v>7.84</v>
      </c>
      <c r="J121" s="80">
        <v>8.15</v>
      </c>
      <c r="K121" s="80"/>
      <c r="L121" s="80"/>
      <c r="M121" s="80"/>
      <c r="N121" s="80"/>
      <c r="O121" s="80"/>
      <c r="P121" s="81"/>
      <c r="Q121" s="73">
        <f t="shared" si="1"/>
        <v>7.6544460431654668</v>
      </c>
    </row>
    <row r="122" spans="2:17" x14ac:dyDescent="0.45">
      <c r="B122" s="86">
        <v>45519</v>
      </c>
      <c r="C122" s="78">
        <v>8</v>
      </c>
      <c r="D122" s="67">
        <v>3</v>
      </c>
      <c r="E122" s="78">
        <v>9.5</v>
      </c>
      <c r="F122" s="79">
        <v>7.4800121457489874</v>
      </c>
      <c r="G122" s="79">
        <v>8.15</v>
      </c>
      <c r="H122" s="79">
        <v>7.089159891598916</v>
      </c>
      <c r="I122" s="79">
        <v>7.84</v>
      </c>
      <c r="J122" s="80">
        <v>8.15</v>
      </c>
      <c r="K122" s="80"/>
      <c r="L122" s="80"/>
      <c r="M122" s="80"/>
      <c r="N122" s="80"/>
      <c r="O122" s="80"/>
      <c r="P122" s="81"/>
      <c r="Q122" s="73">
        <f t="shared" si="1"/>
        <v>7.7418344074695806</v>
      </c>
    </row>
    <row r="123" spans="2:17" x14ac:dyDescent="0.45">
      <c r="B123" s="86">
        <v>45526</v>
      </c>
      <c r="C123" s="78">
        <v>8</v>
      </c>
      <c r="D123" s="67">
        <v>3</v>
      </c>
      <c r="E123" s="78">
        <v>9.5</v>
      </c>
      <c r="F123" s="79">
        <v>7.1266666666666669</v>
      </c>
      <c r="G123" s="79">
        <v>7.5636550923324748</v>
      </c>
      <c r="H123" s="79">
        <v>6.5500000000000007</v>
      </c>
      <c r="I123" s="79">
        <v>7.84</v>
      </c>
      <c r="J123" s="80">
        <v>8.15</v>
      </c>
      <c r="K123" s="80"/>
      <c r="L123" s="80"/>
      <c r="M123" s="80"/>
      <c r="N123" s="80"/>
      <c r="O123" s="80"/>
      <c r="P123" s="81"/>
      <c r="Q123" s="73">
        <f t="shared" si="1"/>
        <v>7.4460643517998291</v>
      </c>
    </row>
    <row r="124" spans="2:17" x14ac:dyDescent="0.45">
      <c r="B124" s="86">
        <v>45533</v>
      </c>
      <c r="C124" s="78">
        <v>8</v>
      </c>
      <c r="D124" s="67">
        <v>3</v>
      </c>
      <c r="E124" s="78">
        <v>9.5</v>
      </c>
      <c r="F124" s="79">
        <v>6.7835897435897436</v>
      </c>
      <c r="G124" s="79">
        <v>7.5636550923324748</v>
      </c>
      <c r="H124" s="79">
        <v>6.5500000000000007</v>
      </c>
      <c r="I124" s="79">
        <v>7.84</v>
      </c>
      <c r="J124" s="80">
        <v>8.15</v>
      </c>
      <c r="K124" s="80">
        <v>7.01</v>
      </c>
      <c r="L124" s="80"/>
      <c r="M124" s="80"/>
      <c r="N124" s="80"/>
      <c r="O124" s="80"/>
      <c r="P124" s="81"/>
      <c r="Q124" s="73">
        <f t="shared" si="1"/>
        <v>7.3162074726537023</v>
      </c>
    </row>
    <row r="125" spans="2:17" x14ac:dyDescent="0.45">
      <c r="B125" s="86">
        <v>45540</v>
      </c>
      <c r="C125" s="78">
        <v>8</v>
      </c>
      <c r="D125" s="67">
        <v>3</v>
      </c>
      <c r="E125" s="78">
        <v>9.5</v>
      </c>
      <c r="F125" s="79">
        <v>5.8184172661870504</v>
      </c>
      <c r="G125" s="79">
        <v>7.1066666666666674</v>
      </c>
      <c r="H125" s="79">
        <v>6.5500000000000007</v>
      </c>
      <c r="I125" s="79">
        <v>7.84</v>
      </c>
      <c r="J125" s="80">
        <v>8.15</v>
      </c>
      <c r="K125" s="80">
        <v>7.01</v>
      </c>
      <c r="L125" s="80"/>
      <c r="M125" s="80"/>
      <c r="N125" s="80"/>
      <c r="O125" s="80"/>
      <c r="P125" s="81"/>
      <c r="Q125" s="73">
        <f t="shared" si="1"/>
        <v>7.0791806554756187</v>
      </c>
    </row>
    <row r="126" spans="2:17" x14ac:dyDescent="0.45">
      <c r="B126" s="86">
        <v>45547</v>
      </c>
      <c r="C126" s="78">
        <v>8</v>
      </c>
      <c r="D126" s="67">
        <v>3</v>
      </c>
      <c r="E126" s="78">
        <v>9.5</v>
      </c>
      <c r="F126" s="79">
        <v>5.6640268456375837</v>
      </c>
      <c r="G126" s="79">
        <v>7.1066666666666674</v>
      </c>
      <c r="H126" s="79">
        <v>6.987027027027028</v>
      </c>
      <c r="I126" s="79">
        <v>7.84</v>
      </c>
      <c r="J126" s="80">
        <v>8.15</v>
      </c>
      <c r="K126" s="80">
        <v>7.01</v>
      </c>
      <c r="L126" s="80"/>
      <c r="M126" s="80"/>
      <c r="N126" s="80"/>
      <c r="O126" s="80"/>
      <c r="P126" s="81"/>
      <c r="Q126" s="73">
        <f t="shared" si="1"/>
        <v>7.1262867565552135</v>
      </c>
    </row>
    <row r="127" spans="2:17" x14ac:dyDescent="0.45">
      <c r="B127" s="86">
        <v>45554</v>
      </c>
      <c r="C127" s="78">
        <v>8</v>
      </c>
      <c r="D127" s="67">
        <v>3</v>
      </c>
      <c r="E127" s="78">
        <v>9.5</v>
      </c>
      <c r="F127" s="79">
        <v>6.1177777777777784</v>
      </c>
      <c r="G127" s="79">
        <v>5.41</v>
      </c>
      <c r="H127" s="79">
        <v>6.987027027027028</v>
      </c>
      <c r="I127" s="79">
        <v>7.84</v>
      </c>
      <c r="J127" s="80">
        <v>8.15</v>
      </c>
      <c r="K127" s="80">
        <v>7.01</v>
      </c>
      <c r="L127" s="80"/>
      <c r="M127" s="80"/>
      <c r="N127" s="80"/>
      <c r="O127" s="80"/>
      <c r="P127" s="81"/>
      <c r="Q127" s="73">
        <f t="shared" si="1"/>
        <v>6.9191341341341337</v>
      </c>
    </row>
    <row r="128" spans="2:17" x14ac:dyDescent="0.45">
      <c r="B128" s="86">
        <v>45561</v>
      </c>
      <c r="C128" s="78">
        <v>8</v>
      </c>
      <c r="D128" s="67">
        <v>3</v>
      </c>
      <c r="E128" s="78">
        <v>9.5</v>
      </c>
      <c r="F128" s="79">
        <v>6.1177777777777784</v>
      </c>
      <c r="G128" s="79">
        <v>6.1079999999999988</v>
      </c>
      <c r="H128" s="79">
        <v>6.5500000000000007</v>
      </c>
      <c r="I128" s="79">
        <v>7.84</v>
      </c>
      <c r="J128" s="80">
        <v>8.15</v>
      </c>
      <c r="K128" s="80">
        <v>7.01</v>
      </c>
      <c r="L128" s="80"/>
      <c r="M128" s="80"/>
      <c r="N128" s="80"/>
      <c r="O128" s="80"/>
      <c r="P128" s="81"/>
      <c r="Q128" s="73">
        <f t="shared" si="1"/>
        <v>6.9626296296296291</v>
      </c>
    </row>
    <row r="129" spans="2:17" x14ac:dyDescent="0.45">
      <c r="B129" s="86">
        <v>45568</v>
      </c>
      <c r="C129" s="78">
        <v>8</v>
      </c>
      <c r="D129" s="67">
        <v>3</v>
      </c>
      <c r="E129" s="78">
        <v>9.5</v>
      </c>
      <c r="F129" s="79">
        <v>5.0319999999999991</v>
      </c>
      <c r="G129" s="79">
        <v>5.9099999999999993</v>
      </c>
      <c r="H129" s="79">
        <v>6.5500000000000007</v>
      </c>
      <c r="I129" s="79">
        <v>7.84</v>
      </c>
      <c r="J129" s="80">
        <v>8.15</v>
      </c>
      <c r="K129" s="80">
        <v>7.01</v>
      </c>
      <c r="L129" s="80"/>
      <c r="M129" s="80"/>
      <c r="N129" s="80"/>
      <c r="O129" s="80"/>
      <c r="P129" s="81"/>
      <c r="Q129" s="73">
        <f t="shared" si="1"/>
        <v>6.7486666666666659</v>
      </c>
    </row>
    <row r="130" spans="2:17" x14ac:dyDescent="0.45">
      <c r="B130" s="86">
        <v>45575</v>
      </c>
      <c r="C130" s="78">
        <v>8</v>
      </c>
      <c r="D130" s="67">
        <v>3</v>
      </c>
      <c r="E130" s="78">
        <v>9.5</v>
      </c>
      <c r="F130" s="79">
        <v>5.4527272727272731</v>
      </c>
      <c r="G130" s="79">
        <v>5.9099999999999993</v>
      </c>
      <c r="H130" s="79">
        <v>6.5500000000000007</v>
      </c>
      <c r="I130" s="79">
        <v>7.84</v>
      </c>
      <c r="J130" s="80">
        <v>8.15</v>
      </c>
      <c r="K130" s="80">
        <v>7.01</v>
      </c>
      <c r="L130" s="80"/>
      <c r="M130" s="80"/>
      <c r="N130" s="80"/>
      <c r="O130" s="80"/>
      <c r="P130" s="81"/>
      <c r="Q130" s="73">
        <f t="shared" si="1"/>
        <v>6.8187878787878793</v>
      </c>
    </row>
    <row r="131" spans="2:17" x14ac:dyDescent="0.45">
      <c r="B131" s="86">
        <v>45582</v>
      </c>
      <c r="C131" s="78">
        <v>8</v>
      </c>
      <c r="D131" s="67">
        <v>3</v>
      </c>
      <c r="E131" s="78">
        <v>9.5</v>
      </c>
      <c r="F131" s="79">
        <v>5.4192178770949733</v>
      </c>
      <c r="G131" s="79">
        <v>5.96</v>
      </c>
      <c r="H131" s="79">
        <v>6.84</v>
      </c>
      <c r="I131" s="79">
        <v>7.84</v>
      </c>
      <c r="J131" s="80">
        <v>6</v>
      </c>
      <c r="K131" s="80">
        <v>7.01</v>
      </c>
      <c r="L131" s="80"/>
      <c r="M131" s="80"/>
      <c r="N131" s="80"/>
      <c r="O131" s="80"/>
      <c r="P131" s="81"/>
      <c r="Q131" s="73">
        <f t="shared" si="1"/>
        <v>6.5115363128491621</v>
      </c>
    </row>
    <row r="132" spans="2:17" x14ac:dyDescent="0.45">
      <c r="B132" s="86">
        <v>45589</v>
      </c>
      <c r="C132" s="78">
        <v>7.25</v>
      </c>
      <c r="D132" s="67">
        <v>3</v>
      </c>
      <c r="E132" s="78">
        <v>8.25</v>
      </c>
      <c r="F132" s="79">
        <v>5.2909828571428568</v>
      </c>
      <c r="G132" s="79">
        <v>5.96</v>
      </c>
      <c r="H132" s="79">
        <v>6.84</v>
      </c>
      <c r="I132" s="79">
        <v>7.84</v>
      </c>
      <c r="J132" s="80">
        <v>6</v>
      </c>
      <c r="K132" s="80">
        <v>7.01</v>
      </c>
      <c r="L132" s="80"/>
      <c r="M132" s="80"/>
      <c r="N132" s="80"/>
      <c r="O132" s="80"/>
      <c r="P132" s="81"/>
      <c r="Q132" s="73">
        <f t="shared" si="1"/>
        <v>6.4901638095238097</v>
      </c>
    </row>
    <row r="133" spans="2:17" x14ac:dyDescent="0.45">
      <c r="B133" s="86">
        <v>45596</v>
      </c>
      <c r="C133" s="78">
        <v>7.25</v>
      </c>
      <c r="D133" s="67">
        <v>3</v>
      </c>
      <c r="E133" s="78">
        <v>8.25</v>
      </c>
      <c r="F133" s="79">
        <v>5.2259259259259263</v>
      </c>
      <c r="G133" s="79">
        <v>5.96</v>
      </c>
      <c r="H133" s="79">
        <v>6.84</v>
      </c>
      <c r="I133" s="79">
        <v>7.84</v>
      </c>
      <c r="J133" s="80">
        <v>6</v>
      </c>
      <c r="K133" s="80">
        <v>7.01</v>
      </c>
      <c r="L133" s="80"/>
      <c r="M133" s="80"/>
      <c r="N133" s="80"/>
      <c r="O133" s="80"/>
      <c r="P133" s="81"/>
      <c r="Q133" s="73">
        <f t="shared" si="1"/>
        <v>6.4793209876543214</v>
      </c>
    </row>
    <row r="134" spans="2:17" x14ac:dyDescent="0.45">
      <c r="B134" s="86">
        <v>45603</v>
      </c>
      <c r="C134" s="78">
        <v>7.25</v>
      </c>
      <c r="D134" s="67">
        <v>3</v>
      </c>
      <c r="E134" s="78">
        <v>8.25</v>
      </c>
      <c r="F134" s="79">
        <v>5.1551724137931032</v>
      </c>
      <c r="G134" s="79">
        <v>5.91</v>
      </c>
      <c r="H134" s="79">
        <v>5.9039999999999999</v>
      </c>
      <c r="I134" s="79">
        <v>7.84</v>
      </c>
      <c r="J134" s="80">
        <v>6</v>
      </c>
      <c r="K134" s="80">
        <v>7.01</v>
      </c>
      <c r="L134" s="80"/>
      <c r="M134" s="80"/>
      <c r="N134" s="80"/>
      <c r="O134" s="80"/>
      <c r="P134" s="81"/>
      <c r="Q134" s="73">
        <f t="shared" ref="Q134:Q175" si="2">+AVERAGE(F134:M134)</f>
        <v>6.3031954022988508</v>
      </c>
    </row>
    <row r="135" spans="2:17" x14ac:dyDescent="0.45">
      <c r="B135" s="86">
        <v>45610</v>
      </c>
      <c r="C135" s="78">
        <v>7.25</v>
      </c>
      <c r="D135" s="67">
        <v>3</v>
      </c>
      <c r="E135" s="78">
        <v>8.25</v>
      </c>
      <c r="F135" s="79">
        <v>5.28</v>
      </c>
      <c r="G135" s="79">
        <v>5.91</v>
      </c>
      <c r="H135" s="79">
        <v>5.8133333333333335</v>
      </c>
      <c r="I135" s="79">
        <v>7.84</v>
      </c>
      <c r="J135" s="80">
        <v>6</v>
      </c>
      <c r="K135" s="80">
        <v>7.01</v>
      </c>
      <c r="L135" s="80"/>
      <c r="M135" s="80"/>
      <c r="N135" s="80"/>
      <c r="O135" s="80"/>
      <c r="P135" s="81"/>
      <c r="Q135" s="73">
        <f t="shared" si="2"/>
        <v>6.3088888888888883</v>
      </c>
    </row>
    <row r="136" spans="2:17" x14ac:dyDescent="0.45">
      <c r="B136" s="86">
        <v>45617</v>
      </c>
      <c r="C136" s="78">
        <v>7.25</v>
      </c>
      <c r="D136" s="67">
        <v>3</v>
      </c>
      <c r="E136" s="78">
        <v>8.25</v>
      </c>
      <c r="F136" s="79">
        <v>5.2419146482122256</v>
      </c>
      <c r="G136" s="79">
        <v>5.96</v>
      </c>
      <c r="H136" s="79">
        <v>5.96</v>
      </c>
      <c r="I136" s="79">
        <v>7.84</v>
      </c>
      <c r="J136" s="80">
        <v>6</v>
      </c>
      <c r="K136" s="80">
        <v>7.01</v>
      </c>
      <c r="L136" s="80"/>
      <c r="M136" s="80"/>
      <c r="N136" s="80"/>
      <c r="O136" s="80"/>
      <c r="P136" s="81"/>
      <c r="Q136" s="73">
        <f t="shared" si="2"/>
        <v>6.335319108035371</v>
      </c>
    </row>
    <row r="137" spans="2:17" x14ac:dyDescent="0.45">
      <c r="B137" s="86">
        <v>45625</v>
      </c>
      <c r="C137" s="78">
        <v>7.25</v>
      </c>
      <c r="D137" s="67">
        <v>3</v>
      </c>
      <c r="E137" s="78">
        <v>8.25</v>
      </c>
      <c r="F137" s="79">
        <v>5.1889085807118596</v>
      </c>
      <c r="G137" s="79">
        <v>5.96</v>
      </c>
      <c r="H137" s="79">
        <v>5.96</v>
      </c>
      <c r="I137" s="79">
        <v>7.84</v>
      </c>
      <c r="J137" s="80">
        <v>6</v>
      </c>
      <c r="K137" s="80">
        <v>7.01</v>
      </c>
      <c r="L137" s="80"/>
      <c r="M137" s="80"/>
      <c r="N137" s="80"/>
      <c r="O137" s="80"/>
      <c r="P137" s="81"/>
      <c r="Q137" s="73">
        <f t="shared" si="2"/>
        <v>6.3264847634519761</v>
      </c>
    </row>
    <row r="138" spans="2:17" x14ac:dyDescent="0.45">
      <c r="B138" s="86">
        <v>45631</v>
      </c>
      <c r="C138" s="78">
        <v>6.75</v>
      </c>
      <c r="D138" s="67">
        <v>3</v>
      </c>
      <c r="E138" s="78">
        <v>7.75</v>
      </c>
      <c r="F138" s="79">
        <v>5.4149367088607594</v>
      </c>
      <c r="G138" s="79">
        <v>5.96</v>
      </c>
      <c r="H138" s="79">
        <v>5.881400778210117</v>
      </c>
      <c r="I138" s="79">
        <v>7.84</v>
      </c>
      <c r="J138" s="80">
        <v>6</v>
      </c>
      <c r="K138" s="80">
        <v>7.01</v>
      </c>
      <c r="L138" s="80"/>
      <c r="M138" s="80"/>
      <c r="N138" s="80"/>
      <c r="O138" s="80"/>
      <c r="P138" s="81"/>
      <c r="Q138" s="73">
        <f t="shared" si="2"/>
        <v>6.351056247845146</v>
      </c>
    </row>
    <row r="139" spans="2:17" x14ac:dyDescent="0.45">
      <c r="B139" s="86">
        <v>45638</v>
      </c>
      <c r="C139" s="78">
        <v>6.75</v>
      </c>
      <c r="D139" s="67">
        <v>3</v>
      </c>
      <c r="E139" s="78">
        <v>7.75</v>
      </c>
      <c r="F139" s="79">
        <v>5.4530555555555553</v>
      </c>
      <c r="G139" s="79">
        <v>5.96</v>
      </c>
      <c r="H139" s="79">
        <v>4.91</v>
      </c>
      <c r="I139" s="79">
        <v>4.91</v>
      </c>
      <c r="J139" s="80">
        <v>6</v>
      </c>
      <c r="K139" s="80">
        <v>7.01</v>
      </c>
      <c r="L139" s="80"/>
      <c r="M139" s="80"/>
      <c r="N139" s="80"/>
      <c r="O139" s="80"/>
      <c r="P139" s="81"/>
      <c r="Q139" s="73">
        <f t="shared" si="2"/>
        <v>5.7071759259259265</v>
      </c>
    </row>
    <row r="140" spans="2:17" x14ac:dyDescent="0.45">
      <c r="B140" s="86">
        <v>45645</v>
      </c>
      <c r="C140" s="78">
        <v>6.75</v>
      </c>
      <c r="D140" s="67">
        <v>3</v>
      </c>
      <c r="E140" s="78">
        <v>7.75</v>
      </c>
      <c r="F140" s="79">
        <v>5.1352000000000002</v>
      </c>
      <c r="G140" s="79">
        <v>5.1289686098654705</v>
      </c>
      <c r="H140" s="79">
        <v>5.2084415584415584</v>
      </c>
      <c r="I140" s="79">
        <v>4.91</v>
      </c>
      <c r="J140" s="80">
        <v>6</v>
      </c>
      <c r="K140" s="80">
        <v>7.01</v>
      </c>
      <c r="L140" s="80"/>
      <c r="M140" s="80"/>
      <c r="N140" s="80"/>
      <c r="O140" s="80"/>
      <c r="P140" s="81"/>
      <c r="Q140" s="73">
        <f t="shared" si="2"/>
        <v>5.565435028051172</v>
      </c>
    </row>
    <row r="141" spans="2:17" x14ac:dyDescent="0.45">
      <c r="B141" s="86">
        <v>45652</v>
      </c>
      <c r="C141" s="78">
        <v>6.75</v>
      </c>
      <c r="D141" s="67">
        <v>3</v>
      </c>
      <c r="E141" s="78">
        <v>7.75</v>
      </c>
      <c r="F141" s="79">
        <v>4.7763573883161516</v>
      </c>
      <c r="G141" s="79">
        <v>5.76</v>
      </c>
      <c r="H141" s="79">
        <v>5.57</v>
      </c>
      <c r="I141" s="79">
        <v>4.91</v>
      </c>
      <c r="J141" s="80">
        <v>6</v>
      </c>
      <c r="K141" s="80">
        <v>7.01</v>
      </c>
      <c r="L141" s="80"/>
      <c r="M141" s="80"/>
      <c r="N141" s="80"/>
      <c r="O141" s="80"/>
      <c r="P141" s="81"/>
      <c r="Q141" s="73">
        <f t="shared" si="2"/>
        <v>5.671059564719358</v>
      </c>
    </row>
    <row r="142" spans="2:17" x14ac:dyDescent="0.45">
      <c r="B142" s="86">
        <v>45659</v>
      </c>
      <c r="C142" s="78">
        <v>6.5</v>
      </c>
      <c r="D142" s="67">
        <v>3</v>
      </c>
      <c r="E142" s="78">
        <v>7.5</v>
      </c>
      <c r="F142" s="79">
        <v>4.5744303797468371</v>
      </c>
      <c r="G142" s="79">
        <v>5.61</v>
      </c>
      <c r="H142" s="79">
        <v>5.57</v>
      </c>
      <c r="I142" s="79">
        <v>4.91</v>
      </c>
      <c r="J142" s="80">
        <v>6</v>
      </c>
      <c r="K142" s="80">
        <v>7.01</v>
      </c>
      <c r="L142" s="80"/>
      <c r="M142" s="80"/>
      <c r="N142" s="80"/>
      <c r="O142" s="80"/>
      <c r="P142" s="81"/>
      <c r="Q142" s="73">
        <f t="shared" si="2"/>
        <v>5.6124050632911393</v>
      </c>
    </row>
    <row r="143" spans="2:17" x14ac:dyDescent="0.45">
      <c r="B143" s="86">
        <v>45666</v>
      </c>
      <c r="C143" s="78">
        <v>6.5</v>
      </c>
      <c r="D143" s="67">
        <v>3</v>
      </c>
      <c r="E143" s="78">
        <v>7.5</v>
      </c>
      <c r="F143" s="79">
        <v>4.2170731707317071</v>
      </c>
      <c r="G143" s="79">
        <v>5.61</v>
      </c>
      <c r="H143" s="79">
        <v>6.0350000000000001</v>
      </c>
      <c r="I143" s="79">
        <v>4.91</v>
      </c>
      <c r="J143" s="80">
        <v>6</v>
      </c>
      <c r="K143" s="80">
        <v>7.01</v>
      </c>
      <c r="L143" s="80"/>
      <c r="M143" s="80"/>
      <c r="N143" s="80"/>
      <c r="O143" s="80"/>
      <c r="P143" s="81"/>
      <c r="Q143" s="73">
        <f t="shared" si="2"/>
        <v>5.6303455284552841</v>
      </c>
    </row>
    <row r="144" spans="2:17" x14ac:dyDescent="0.45">
      <c r="B144" s="86">
        <v>45673</v>
      </c>
      <c r="C144" s="78">
        <v>6.5</v>
      </c>
      <c r="D144" s="67">
        <v>3</v>
      </c>
      <c r="E144" s="78">
        <v>7.5</v>
      </c>
      <c r="F144" s="79">
        <v>4.5999999999999996</v>
      </c>
      <c r="G144" s="79">
        <v>5.96</v>
      </c>
      <c r="H144" s="79">
        <v>6.0350000000000001</v>
      </c>
      <c r="I144" s="79">
        <v>4.91</v>
      </c>
      <c r="J144" s="80">
        <v>6</v>
      </c>
      <c r="K144" s="80">
        <v>7.01</v>
      </c>
      <c r="L144" s="80"/>
      <c r="M144" s="80"/>
      <c r="N144" s="80"/>
      <c r="O144" s="80"/>
      <c r="P144" s="81"/>
      <c r="Q144" s="73">
        <f t="shared" si="2"/>
        <v>5.7525000000000004</v>
      </c>
    </row>
    <row r="145" spans="2:17" x14ac:dyDescent="0.45">
      <c r="B145" s="86">
        <v>45680</v>
      </c>
      <c r="C145" s="78">
        <v>6.5</v>
      </c>
      <c r="D145" s="67">
        <v>3</v>
      </c>
      <c r="E145" s="78">
        <v>7.5</v>
      </c>
      <c r="F145" s="79">
        <v>4.3468728522336804</v>
      </c>
      <c r="G145" s="79">
        <v>5.96</v>
      </c>
      <c r="H145" s="79">
        <v>4.8075000000000001</v>
      </c>
      <c r="I145" s="79">
        <v>4.91</v>
      </c>
      <c r="J145" s="80">
        <v>6</v>
      </c>
      <c r="K145" s="80">
        <v>7.01</v>
      </c>
      <c r="L145" s="80"/>
      <c r="M145" s="80"/>
      <c r="N145" s="80"/>
      <c r="O145" s="80"/>
      <c r="P145" s="81"/>
      <c r="Q145" s="73">
        <f t="shared" si="2"/>
        <v>5.5057288087056131</v>
      </c>
    </row>
    <row r="146" spans="2:17" x14ac:dyDescent="0.45">
      <c r="B146" s="86">
        <v>45687</v>
      </c>
      <c r="C146" s="78">
        <v>6.5</v>
      </c>
      <c r="D146" s="67">
        <v>3</v>
      </c>
      <c r="E146" s="78">
        <v>7.5</v>
      </c>
      <c r="F146" s="79">
        <v>3.9670546737213406</v>
      </c>
      <c r="G146" s="79">
        <v>4.5</v>
      </c>
      <c r="H146" s="79">
        <v>5.8079999999999998</v>
      </c>
      <c r="I146" s="79">
        <v>4.91</v>
      </c>
      <c r="J146" s="80">
        <v>6</v>
      </c>
      <c r="K146" s="80">
        <v>7.01</v>
      </c>
      <c r="L146" s="80"/>
      <c r="M146" s="80"/>
      <c r="N146" s="80"/>
      <c r="O146" s="80"/>
      <c r="P146" s="81"/>
      <c r="Q146" s="73">
        <f t="shared" si="2"/>
        <v>5.3658424456202232</v>
      </c>
    </row>
    <row r="147" spans="2:17" x14ac:dyDescent="0.45">
      <c r="B147" s="86">
        <v>45694</v>
      </c>
      <c r="C147" s="78">
        <v>6.5</v>
      </c>
      <c r="D147" s="67">
        <v>3</v>
      </c>
      <c r="E147" s="78">
        <v>7.5</v>
      </c>
      <c r="F147" s="79">
        <v>3.3804878048780487</v>
      </c>
      <c r="G147" s="79">
        <v>4.25</v>
      </c>
      <c r="H147" s="79">
        <v>5.330222222222222</v>
      </c>
      <c r="I147" s="79">
        <v>4.91</v>
      </c>
      <c r="J147" s="80">
        <v>6</v>
      </c>
      <c r="K147" s="80">
        <v>7.01</v>
      </c>
      <c r="L147" s="80"/>
      <c r="M147" s="80"/>
      <c r="N147" s="80"/>
      <c r="O147" s="80"/>
      <c r="P147" s="81"/>
      <c r="Q147" s="73">
        <f t="shared" si="2"/>
        <v>5.1467850045167118</v>
      </c>
    </row>
    <row r="148" spans="2:17" x14ac:dyDescent="0.45">
      <c r="B148" s="86">
        <v>45701</v>
      </c>
      <c r="C148" s="78">
        <v>6.5</v>
      </c>
      <c r="D148" s="67">
        <v>3</v>
      </c>
      <c r="E148" s="78">
        <v>7.5</v>
      </c>
      <c r="F148" s="79">
        <v>3.507076923076923</v>
      </c>
      <c r="G148" s="79">
        <v>3.91</v>
      </c>
      <c r="H148" s="79">
        <v>4.9664864864864864</v>
      </c>
      <c r="I148" s="79">
        <v>4.91</v>
      </c>
      <c r="J148" s="80">
        <v>6</v>
      </c>
      <c r="K148" s="80">
        <v>7.01</v>
      </c>
      <c r="L148" s="80"/>
      <c r="M148" s="80"/>
      <c r="N148" s="80"/>
      <c r="O148" s="80"/>
      <c r="P148" s="81"/>
      <c r="Q148" s="73">
        <f t="shared" si="2"/>
        <v>5.0505939015939019</v>
      </c>
    </row>
    <row r="149" spans="2:17" x14ac:dyDescent="0.45">
      <c r="B149" s="86">
        <v>45708</v>
      </c>
      <c r="C149" s="78">
        <v>6.5</v>
      </c>
      <c r="D149" s="67">
        <v>3</v>
      </c>
      <c r="E149" s="78">
        <v>7.5</v>
      </c>
      <c r="F149" s="79">
        <v>3.4110344827586183</v>
      </c>
      <c r="G149" s="79">
        <v>3.74</v>
      </c>
      <c r="H149" s="79">
        <v>4.5656000000000034</v>
      </c>
      <c r="I149" s="79">
        <v>4.91</v>
      </c>
      <c r="J149" s="80">
        <v>6</v>
      </c>
      <c r="K149" s="80">
        <v>7.01</v>
      </c>
      <c r="L149" s="80"/>
      <c r="M149" s="80"/>
      <c r="N149" s="80"/>
      <c r="O149" s="80"/>
      <c r="P149" s="81"/>
      <c r="Q149" s="73">
        <f t="shared" si="2"/>
        <v>4.9394390804597705</v>
      </c>
    </row>
    <row r="150" spans="2:17" x14ac:dyDescent="0.45">
      <c r="B150" s="86">
        <v>45715</v>
      </c>
      <c r="C150" s="78">
        <v>6.5</v>
      </c>
      <c r="D150" s="67">
        <v>3</v>
      </c>
      <c r="E150" s="78">
        <v>7.5</v>
      </c>
      <c r="F150" s="79">
        <v>3.4570833333333333</v>
      </c>
      <c r="G150" s="79">
        <v>3.6232000000000002</v>
      </c>
      <c r="H150" s="79">
        <v>4.5656000000000034</v>
      </c>
      <c r="I150" s="79">
        <v>4.91</v>
      </c>
      <c r="J150" s="80">
        <v>6</v>
      </c>
      <c r="K150" s="80">
        <v>7.01</v>
      </c>
      <c r="L150" s="80"/>
      <c r="M150" s="80"/>
      <c r="N150" s="80"/>
      <c r="O150" s="80"/>
      <c r="P150" s="81"/>
      <c r="Q150" s="73">
        <f t="shared" si="2"/>
        <v>4.9276472222222232</v>
      </c>
    </row>
    <row r="151" spans="2:17" x14ac:dyDescent="0.45">
      <c r="B151" s="86">
        <v>45722</v>
      </c>
      <c r="C151" s="78">
        <v>6.5</v>
      </c>
      <c r="D151" s="67">
        <v>3</v>
      </c>
      <c r="E151" s="78">
        <v>7.5</v>
      </c>
      <c r="F151" s="79">
        <v>3.22</v>
      </c>
      <c r="G151" s="79">
        <v>3.49</v>
      </c>
      <c r="H151" s="79">
        <v>4.5656000000000034</v>
      </c>
      <c r="I151" s="79">
        <v>4.91</v>
      </c>
      <c r="J151" s="80">
        <v>6</v>
      </c>
      <c r="K151" s="80">
        <v>7.01</v>
      </c>
      <c r="L151" s="80"/>
      <c r="M151" s="80"/>
      <c r="N151" s="80"/>
      <c r="O151" s="80"/>
      <c r="P151" s="81"/>
      <c r="Q151" s="73">
        <f t="shared" si="2"/>
        <v>4.8659333333333343</v>
      </c>
    </row>
    <row r="152" spans="2:17" x14ac:dyDescent="0.45">
      <c r="B152" s="86">
        <v>45729</v>
      </c>
      <c r="C152" s="78">
        <v>6.5</v>
      </c>
      <c r="D152" s="67">
        <v>3</v>
      </c>
      <c r="E152" s="78">
        <v>7.5</v>
      </c>
      <c r="F152" s="79">
        <v>3.3861538461538463</v>
      </c>
      <c r="G152" s="79">
        <v>3.49</v>
      </c>
      <c r="H152" s="79">
        <v>3.0659459459459462</v>
      </c>
      <c r="I152" s="79">
        <v>4.91</v>
      </c>
      <c r="J152" s="80">
        <v>6</v>
      </c>
      <c r="K152" s="80">
        <v>4.43</v>
      </c>
      <c r="L152" s="80">
        <v>4.92</v>
      </c>
      <c r="M152" s="80">
        <v>4.67</v>
      </c>
      <c r="N152" s="80"/>
      <c r="O152" s="80"/>
      <c r="P152" s="81"/>
      <c r="Q152" s="73">
        <f t="shared" si="2"/>
        <v>4.3590124740124745</v>
      </c>
    </row>
    <row r="153" spans="2:17" x14ac:dyDescent="0.45">
      <c r="B153" s="86">
        <v>45736</v>
      </c>
      <c r="C153" s="78">
        <v>6.5</v>
      </c>
      <c r="D153" s="67">
        <v>3</v>
      </c>
      <c r="E153" s="78">
        <v>7.5</v>
      </c>
      <c r="F153" s="79">
        <v>3.1443750000000001</v>
      </c>
      <c r="G153" s="79">
        <v>3.4216143497757847</v>
      </c>
      <c r="H153" s="79">
        <v>3.06</v>
      </c>
      <c r="I153" s="79">
        <v>4.91</v>
      </c>
      <c r="J153" s="80">
        <v>6</v>
      </c>
      <c r="K153" s="80">
        <v>4.43</v>
      </c>
      <c r="L153" s="80">
        <v>4.92</v>
      </c>
      <c r="M153" s="80">
        <v>4.67</v>
      </c>
      <c r="N153" s="80"/>
      <c r="O153" s="80"/>
      <c r="P153" s="81"/>
      <c r="Q153" s="73">
        <f>+AVERAGE(F153:M153)</f>
        <v>4.3194986687219732</v>
      </c>
    </row>
    <row r="154" spans="2:17" x14ac:dyDescent="0.45">
      <c r="B154" s="86">
        <v>45743</v>
      </c>
      <c r="C154" s="78">
        <v>6.5</v>
      </c>
      <c r="D154" s="67">
        <v>3</v>
      </c>
      <c r="E154" s="78">
        <v>7.5</v>
      </c>
      <c r="F154" s="79">
        <v>3.4632967032967032</v>
      </c>
      <c r="G154" s="79">
        <v>2.76</v>
      </c>
      <c r="H154" s="79">
        <v>3.05</v>
      </c>
      <c r="I154" s="79">
        <v>4.91</v>
      </c>
      <c r="J154" s="80">
        <v>6</v>
      </c>
      <c r="K154" s="80">
        <v>4.43</v>
      </c>
      <c r="L154" s="80">
        <v>4.92</v>
      </c>
      <c r="M154" s="80">
        <v>4.67</v>
      </c>
      <c r="N154" s="80"/>
      <c r="O154" s="80"/>
      <c r="P154" s="81"/>
      <c r="Q154" s="73">
        <f t="shared" si="2"/>
        <v>4.2754120879120885</v>
      </c>
    </row>
    <row r="155" spans="2:17" x14ac:dyDescent="0.45">
      <c r="B155" s="86">
        <v>45750</v>
      </c>
      <c r="C155" s="78">
        <v>6.5</v>
      </c>
      <c r="D155" s="67">
        <v>3</v>
      </c>
      <c r="E155" s="78">
        <v>7.5</v>
      </c>
      <c r="F155" s="79">
        <v>3.16</v>
      </c>
      <c r="G155" s="79">
        <v>3.21</v>
      </c>
      <c r="H155" s="79">
        <v>3.05</v>
      </c>
      <c r="I155" s="79">
        <v>4.91</v>
      </c>
      <c r="J155" s="80">
        <v>6</v>
      </c>
      <c r="K155" s="80">
        <v>4.43</v>
      </c>
      <c r="L155" s="80">
        <v>4.92</v>
      </c>
      <c r="M155" s="80">
        <v>4.67</v>
      </c>
      <c r="N155" s="80"/>
      <c r="O155" s="80"/>
      <c r="P155" s="81"/>
      <c r="Q155" s="73">
        <f t="shared" si="2"/>
        <v>4.2937500000000002</v>
      </c>
    </row>
    <row r="156" spans="2:17" x14ac:dyDescent="0.45">
      <c r="B156" s="86">
        <v>45757</v>
      </c>
      <c r="C156" s="78">
        <v>6.5</v>
      </c>
      <c r="D156" s="67">
        <v>3</v>
      </c>
      <c r="E156" s="78">
        <v>7.5</v>
      </c>
      <c r="F156" s="79">
        <v>3.28</v>
      </c>
      <c r="G156" s="79">
        <v>3.22</v>
      </c>
      <c r="H156" s="79">
        <v>3.05</v>
      </c>
      <c r="I156" s="79">
        <v>4.91</v>
      </c>
      <c r="J156" s="80">
        <v>6</v>
      </c>
      <c r="K156" s="80">
        <v>4.43</v>
      </c>
      <c r="L156" s="80">
        <v>4.92</v>
      </c>
      <c r="M156" s="80">
        <v>4.67</v>
      </c>
      <c r="N156" s="80"/>
      <c r="O156" s="80"/>
      <c r="P156" s="81"/>
      <c r="Q156" s="73">
        <f t="shared" si="2"/>
        <v>4.3100000000000005</v>
      </c>
    </row>
    <row r="157" spans="2:17" x14ac:dyDescent="0.45">
      <c r="B157" s="86">
        <v>45764</v>
      </c>
      <c r="C157" s="78">
        <v>6.5</v>
      </c>
      <c r="D157" s="67">
        <v>3</v>
      </c>
      <c r="E157" s="78">
        <v>7.5</v>
      </c>
      <c r="F157" s="79">
        <v>3.19</v>
      </c>
      <c r="G157" s="79">
        <v>2.96</v>
      </c>
      <c r="H157" s="79">
        <v>2.96</v>
      </c>
      <c r="I157" s="79">
        <v>4.91</v>
      </c>
      <c r="J157" s="80">
        <v>6</v>
      </c>
      <c r="K157" s="80">
        <v>4.43</v>
      </c>
      <c r="L157" s="80">
        <v>4.92</v>
      </c>
      <c r="M157" s="80">
        <v>4.67</v>
      </c>
      <c r="N157" s="80"/>
      <c r="O157" s="80"/>
      <c r="P157" s="81"/>
      <c r="Q157" s="73">
        <f t="shared" si="2"/>
        <v>4.2549999999999999</v>
      </c>
    </row>
    <row r="158" spans="2:17" x14ac:dyDescent="0.45">
      <c r="B158" s="86">
        <v>45771</v>
      </c>
      <c r="C158" s="78">
        <v>6.5</v>
      </c>
      <c r="D158" s="67">
        <v>3</v>
      </c>
      <c r="E158" s="78">
        <v>7.5</v>
      </c>
      <c r="F158" s="79">
        <v>3.41</v>
      </c>
      <c r="G158" s="79">
        <v>2.96</v>
      </c>
      <c r="H158" s="79">
        <v>2.96</v>
      </c>
      <c r="I158" s="79">
        <v>4.91</v>
      </c>
      <c r="J158" s="80">
        <v>6</v>
      </c>
      <c r="K158" s="80">
        <v>4.43</v>
      </c>
      <c r="L158" s="80">
        <v>4.92</v>
      </c>
      <c r="M158" s="80">
        <v>4.67</v>
      </c>
      <c r="N158" s="80"/>
      <c r="O158" s="80"/>
      <c r="P158" s="81"/>
      <c r="Q158" s="73">
        <f t="shared" si="2"/>
        <v>4.2825000000000006</v>
      </c>
    </row>
    <row r="159" spans="2:17" x14ac:dyDescent="0.45">
      <c r="B159" s="86">
        <v>45778</v>
      </c>
      <c r="C159" s="78">
        <v>6.5</v>
      </c>
      <c r="D159" s="67">
        <v>3</v>
      </c>
      <c r="E159" s="78">
        <v>7.5</v>
      </c>
      <c r="F159" s="79">
        <v>3.23</v>
      </c>
      <c r="G159" s="79">
        <v>3.26</v>
      </c>
      <c r="H159" s="79">
        <v>2.96</v>
      </c>
      <c r="I159" s="79">
        <v>4.91</v>
      </c>
      <c r="J159" s="80">
        <v>6</v>
      </c>
      <c r="K159" s="80">
        <v>4.43</v>
      </c>
      <c r="L159" s="80">
        <v>4.92</v>
      </c>
      <c r="M159" s="80">
        <v>4.67</v>
      </c>
      <c r="N159" s="80"/>
      <c r="O159" s="80"/>
      <c r="P159" s="81"/>
      <c r="Q159" s="73">
        <f t="shared" si="2"/>
        <v>4.2975000000000003</v>
      </c>
    </row>
    <row r="160" spans="2:17" x14ac:dyDescent="0.45">
      <c r="B160" s="86">
        <v>45785</v>
      </c>
      <c r="C160" s="78">
        <v>6.5</v>
      </c>
      <c r="D160" s="67">
        <v>3</v>
      </c>
      <c r="E160" s="78">
        <v>7.5</v>
      </c>
      <c r="F160" s="79">
        <v>3.31</v>
      </c>
      <c r="G160" s="79">
        <v>3.22</v>
      </c>
      <c r="H160" s="79">
        <v>4.55</v>
      </c>
      <c r="I160" s="79">
        <v>4.91</v>
      </c>
      <c r="J160" s="80">
        <v>6</v>
      </c>
      <c r="K160" s="80">
        <v>4.43</v>
      </c>
      <c r="L160" s="80">
        <v>4.92</v>
      </c>
      <c r="M160" s="80">
        <v>4.67</v>
      </c>
      <c r="N160" s="80"/>
      <c r="O160" s="80"/>
      <c r="P160" s="81"/>
      <c r="Q160" s="73">
        <f t="shared" si="2"/>
        <v>4.5012500000000006</v>
      </c>
    </row>
    <row r="161" spans="2:17" x14ac:dyDescent="0.45">
      <c r="B161" s="86">
        <v>45792</v>
      </c>
      <c r="C161" s="78">
        <v>6.5</v>
      </c>
      <c r="D161" s="67">
        <v>3</v>
      </c>
      <c r="E161" s="78">
        <v>7.5</v>
      </c>
      <c r="F161" s="79">
        <v>3.24</v>
      </c>
      <c r="G161" s="79">
        <v>3.59</v>
      </c>
      <c r="H161" s="79">
        <v>3.84</v>
      </c>
      <c r="I161" s="79">
        <v>4.96</v>
      </c>
      <c r="J161" s="80">
        <v>6</v>
      </c>
      <c r="K161" s="80">
        <v>4.43</v>
      </c>
      <c r="L161" s="80">
        <v>4.92</v>
      </c>
      <c r="M161" s="80">
        <v>4.67</v>
      </c>
      <c r="N161" s="80"/>
      <c r="O161" s="80"/>
      <c r="P161" s="81"/>
      <c r="Q161" s="73">
        <f t="shared" si="2"/>
        <v>4.4562499999999998</v>
      </c>
    </row>
    <row r="162" spans="2:17" x14ac:dyDescent="0.45">
      <c r="B162" s="86">
        <v>45799</v>
      </c>
      <c r="C162" s="78">
        <v>6.5</v>
      </c>
      <c r="D162" s="67">
        <v>3</v>
      </c>
      <c r="E162" s="78">
        <v>7.5</v>
      </c>
      <c r="F162" s="79">
        <v>3.4</v>
      </c>
      <c r="G162" s="79">
        <v>3.99</v>
      </c>
      <c r="H162" s="79">
        <v>4.46</v>
      </c>
      <c r="I162" s="79">
        <v>4.96</v>
      </c>
      <c r="J162" s="80">
        <v>6</v>
      </c>
      <c r="K162" s="80">
        <v>4.43</v>
      </c>
      <c r="L162" s="80">
        <v>4.92</v>
      </c>
      <c r="M162" s="80">
        <v>4.67</v>
      </c>
      <c r="N162" s="80"/>
      <c r="O162" s="80"/>
      <c r="P162" s="81"/>
      <c r="Q162" s="73">
        <f t="shared" si="2"/>
        <v>4.6037500000000007</v>
      </c>
    </row>
    <row r="163" spans="2:17" x14ac:dyDescent="0.45">
      <c r="B163" s="86">
        <v>45806</v>
      </c>
      <c r="C163" s="78">
        <v>6.5</v>
      </c>
      <c r="D163" s="67">
        <v>3</v>
      </c>
      <c r="E163" s="78">
        <v>7.5</v>
      </c>
      <c r="F163" s="79">
        <v>3.27</v>
      </c>
      <c r="G163" s="79">
        <v>3.62</v>
      </c>
      <c r="H163" s="79">
        <v>4.46</v>
      </c>
      <c r="I163" s="79">
        <v>5.04</v>
      </c>
      <c r="J163" s="80">
        <v>6</v>
      </c>
      <c r="K163" s="80">
        <v>4.43</v>
      </c>
      <c r="L163" s="80">
        <v>4.92</v>
      </c>
      <c r="M163" s="80">
        <v>4.67</v>
      </c>
      <c r="N163" s="80"/>
      <c r="O163" s="80"/>
      <c r="P163" s="81"/>
      <c r="Q163" s="73">
        <f t="shared" si="2"/>
        <v>4.5512500000000005</v>
      </c>
    </row>
    <row r="164" spans="2:17" x14ac:dyDescent="0.45">
      <c r="B164" s="86">
        <v>45813</v>
      </c>
      <c r="C164" s="78">
        <v>6.5</v>
      </c>
      <c r="D164" s="67">
        <v>3</v>
      </c>
      <c r="E164" s="78">
        <v>7.5</v>
      </c>
      <c r="F164" s="79">
        <v>3.35</v>
      </c>
      <c r="G164" s="79">
        <v>3.56</v>
      </c>
      <c r="H164" s="79">
        <v>4.7699999999999996</v>
      </c>
      <c r="I164" s="79">
        <v>5.04</v>
      </c>
      <c r="J164" s="80">
        <v>6</v>
      </c>
      <c r="K164" s="80">
        <v>4.43</v>
      </c>
      <c r="L164" s="80">
        <v>4.92</v>
      </c>
      <c r="M164" s="80">
        <v>4.67</v>
      </c>
      <c r="N164" s="80"/>
      <c r="O164" s="80"/>
      <c r="P164" s="81"/>
      <c r="Q164" s="73">
        <f t="shared" si="2"/>
        <v>4.5925000000000002</v>
      </c>
    </row>
    <row r="165" spans="2:17" x14ac:dyDescent="0.45">
      <c r="B165" s="86">
        <v>45820</v>
      </c>
      <c r="C165" s="78">
        <v>6.5</v>
      </c>
      <c r="D165" s="67">
        <v>3</v>
      </c>
      <c r="E165" s="78">
        <v>7.5</v>
      </c>
      <c r="F165" s="79">
        <v>3.07</v>
      </c>
      <c r="G165" s="79">
        <v>3.56</v>
      </c>
      <c r="H165" s="79">
        <v>2.97</v>
      </c>
      <c r="I165" s="79">
        <v>5.04</v>
      </c>
      <c r="J165" s="80">
        <v>6</v>
      </c>
      <c r="K165" s="80">
        <v>4.43</v>
      </c>
      <c r="L165" s="80">
        <v>4.92</v>
      </c>
      <c r="M165" s="80">
        <v>4.67</v>
      </c>
      <c r="N165" s="80"/>
      <c r="O165" s="80"/>
      <c r="P165" s="81"/>
      <c r="Q165" s="73">
        <f t="shared" si="2"/>
        <v>4.3325000000000005</v>
      </c>
    </row>
    <row r="166" spans="2:17" x14ac:dyDescent="0.45">
      <c r="B166" s="86">
        <v>45827</v>
      </c>
      <c r="C166" s="78">
        <v>6.5</v>
      </c>
      <c r="D166" s="67">
        <v>3</v>
      </c>
      <c r="E166" s="78">
        <v>7.5</v>
      </c>
      <c r="F166" s="79">
        <v>3.37</v>
      </c>
      <c r="G166" s="79">
        <v>3.73</v>
      </c>
      <c r="H166" s="79">
        <v>3.91</v>
      </c>
      <c r="I166" s="79">
        <v>5.04</v>
      </c>
      <c r="J166" s="80">
        <v>6</v>
      </c>
      <c r="K166" s="80">
        <v>4.43</v>
      </c>
      <c r="L166" s="80">
        <v>4.92</v>
      </c>
      <c r="M166" s="80">
        <v>4.67</v>
      </c>
      <c r="N166" s="80"/>
      <c r="O166" s="80"/>
      <c r="P166" s="81"/>
      <c r="Q166" s="73">
        <f t="shared" si="2"/>
        <v>4.50875</v>
      </c>
    </row>
    <row r="167" spans="2:17" x14ac:dyDescent="0.45">
      <c r="B167" s="86">
        <v>45834</v>
      </c>
      <c r="C167" s="78">
        <v>6.5</v>
      </c>
      <c r="D167" s="67">
        <v>3</v>
      </c>
      <c r="E167" s="78">
        <v>7.5</v>
      </c>
      <c r="F167" s="79">
        <v>3.34</v>
      </c>
      <c r="G167" s="79">
        <v>3.73</v>
      </c>
      <c r="H167" s="79">
        <v>5.04</v>
      </c>
      <c r="I167" s="79">
        <v>5.7</v>
      </c>
      <c r="J167" s="80">
        <v>6</v>
      </c>
      <c r="K167" s="80">
        <v>4.43</v>
      </c>
      <c r="L167" s="80">
        <v>4.92</v>
      </c>
      <c r="M167" s="80">
        <v>4.67</v>
      </c>
      <c r="N167" s="80"/>
      <c r="O167" s="80"/>
      <c r="P167" s="81"/>
      <c r="Q167" s="73">
        <f t="shared" si="2"/>
        <v>4.7287499999999998</v>
      </c>
    </row>
    <row r="168" spans="2:17" x14ac:dyDescent="0.45">
      <c r="B168" s="86">
        <v>45841</v>
      </c>
      <c r="C168" s="78">
        <v>6.5</v>
      </c>
      <c r="D168" s="67">
        <v>3</v>
      </c>
      <c r="E168" s="78">
        <v>7.5</v>
      </c>
      <c r="F168" s="79">
        <v>3.4</v>
      </c>
      <c r="G168" s="79">
        <v>3.73</v>
      </c>
      <c r="H168" s="79">
        <v>5.04</v>
      </c>
      <c r="I168" s="79">
        <v>5.7</v>
      </c>
      <c r="J168" s="80">
        <v>6</v>
      </c>
      <c r="K168" s="80">
        <v>4.43</v>
      </c>
      <c r="L168" s="80">
        <v>4.92</v>
      </c>
      <c r="M168" s="80">
        <v>4.67</v>
      </c>
      <c r="N168" s="80"/>
      <c r="O168" s="80"/>
      <c r="P168" s="81"/>
      <c r="Q168" s="73">
        <f t="shared" si="2"/>
        <v>4.7362500000000001</v>
      </c>
    </row>
    <row r="169" spans="2:17" x14ac:dyDescent="0.45">
      <c r="B169" s="86">
        <v>45848</v>
      </c>
      <c r="C169" s="78">
        <v>6.5</v>
      </c>
      <c r="D169" s="67">
        <v>3</v>
      </c>
      <c r="E169" s="78">
        <v>7.5</v>
      </c>
      <c r="F169" s="79">
        <v>3.13</v>
      </c>
      <c r="G169" s="79">
        <v>3.38</v>
      </c>
      <c r="H169" s="79">
        <v>5.04</v>
      </c>
      <c r="I169" s="79">
        <v>5.7</v>
      </c>
      <c r="J169" s="80">
        <v>6</v>
      </c>
      <c r="K169" s="80">
        <v>4.43</v>
      </c>
      <c r="L169" s="80">
        <v>4.92</v>
      </c>
      <c r="M169" s="80">
        <v>4.67</v>
      </c>
      <c r="N169" s="80"/>
      <c r="O169" s="80"/>
      <c r="P169" s="81"/>
      <c r="Q169" s="73">
        <f t="shared" si="2"/>
        <v>4.6587500000000004</v>
      </c>
    </row>
    <row r="170" spans="2:17" x14ac:dyDescent="0.45">
      <c r="B170" s="86">
        <v>45855</v>
      </c>
      <c r="C170" s="78">
        <v>6.5</v>
      </c>
      <c r="D170" s="67">
        <v>3</v>
      </c>
      <c r="E170" s="78">
        <v>7.5</v>
      </c>
      <c r="F170" s="79">
        <v>3.38</v>
      </c>
      <c r="G170" s="79">
        <v>3.3</v>
      </c>
      <c r="H170" s="79">
        <v>3.62</v>
      </c>
      <c r="I170" s="79">
        <v>5.7</v>
      </c>
      <c r="J170" s="80">
        <v>6</v>
      </c>
      <c r="K170" s="80">
        <v>4.43</v>
      </c>
      <c r="L170" s="80">
        <v>4.92</v>
      </c>
      <c r="M170" s="80">
        <v>4.67</v>
      </c>
      <c r="N170" s="80"/>
      <c r="O170" s="80"/>
      <c r="P170" s="81"/>
      <c r="Q170" s="73">
        <f>+AVERAGE(F170:M170)</f>
        <v>4.5025000000000004</v>
      </c>
    </row>
    <row r="171" spans="2:17" x14ac:dyDescent="0.45">
      <c r="B171" s="86">
        <v>45862</v>
      </c>
      <c r="C171" s="78">
        <v>6.5</v>
      </c>
      <c r="D171" s="67">
        <v>3</v>
      </c>
      <c r="E171" s="78">
        <v>7.5</v>
      </c>
      <c r="F171" s="79">
        <v>3.13</v>
      </c>
      <c r="G171" s="79">
        <v>3.3</v>
      </c>
      <c r="H171" s="79">
        <v>3.87</v>
      </c>
      <c r="I171" s="79">
        <v>5.7</v>
      </c>
      <c r="J171" s="80">
        <v>6</v>
      </c>
      <c r="K171" s="80">
        <v>4.43</v>
      </c>
      <c r="L171" s="80">
        <v>4.92</v>
      </c>
      <c r="M171" s="80">
        <v>4.67</v>
      </c>
      <c r="N171" s="80"/>
      <c r="O171" s="80"/>
      <c r="P171" s="81"/>
      <c r="Q171" s="73">
        <f t="shared" si="2"/>
        <v>4.5025000000000004</v>
      </c>
    </row>
    <row r="172" spans="2:17" x14ac:dyDescent="0.45">
      <c r="B172" s="86">
        <v>45869</v>
      </c>
      <c r="C172" s="78">
        <v>6.5</v>
      </c>
      <c r="D172" s="67">
        <v>3</v>
      </c>
      <c r="E172" s="78">
        <v>7.5</v>
      </c>
      <c r="F172" s="79">
        <v>3.18</v>
      </c>
      <c r="G172" s="79">
        <v>3.52</v>
      </c>
      <c r="H172" s="79">
        <v>4.42</v>
      </c>
      <c r="I172" s="79">
        <v>5.7</v>
      </c>
      <c r="J172" s="80">
        <v>6</v>
      </c>
      <c r="K172" s="80">
        <v>4.43</v>
      </c>
      <c r="L172" s="80">
        <v>4.92</v>
      </c>
      <c r="M172" s="80">
        <v>4.67</v>
      </c>
      <c r="N172" s="80"/>
      <c r="O172" s="80"/>
      <c r="P172" s="81"/>
      <c r="Q172" s="73">
        <f t="shared" si="2"/>
        <v>4.6050000000000004</v>
      </c>
    </row>
    <row r="173" spans="2:17" x14ac:dyDescent="0.45">
      <c r="B173" s="86">
        <v>45876</v>
      </c>
      <c r="C173" s="78">
        <v>6.5</v>
      </c>
      <c r="D173" s="67">
        <v>3</v>
      </c>
      <c r="E173" s="78">
        <v>7.5</v>
      </c>
      <c r="F173" s="79">
        <v>3.13</v>
      </c>
      <c r="G173" s="79">
        <v>3.54</v>
      </c>
      <c r="H173" s="79">
        <v>6.02</v>
      </c>
      <c r="I173" s="79">
        <v>5.7</v>
      </c>
      <c r="J173" s="80">
        <v>6</v>
      </c>
      <c r="K173" s="80">
        <v>4.43</v>
      </c>
      <c r="L173" s="80">
        <v>4.92</v>
      </c>
      <c r="M173" s="80">
        <v>4.67</v>
      </c>
      <c r="N173" s="80"/>
      <c r="O173" s="80"/>
      <c r="P173" s="81"/>
      <c r="Q173" s="73">
        <f t="shared" si="2"/>
        <v>4.8012500000000005</v>
      </c>
    </row>
    <row r="174" spans="2:17" x14ac:dyDescent="0.45">
      <c r="B174" s="86">
        <v>45883</v>
      </c>
      <c r="C174" s="78">
        <v>6</v>
      </c>
      <c r="D174" s="67">
        <v>2</v>
      </c>
      <c r="E174" s="78">
        <v>6.5</v>
      </c>
      <c r="F174" s="79">
        <v>3.25</v>
      </c>
      <c r="G174" s="79">
        <v>3.59</v>
      </c>
      <c r="H174" s="79">
        <v>3.97</v>
      </c>
      <c r="I174" s="79">
        <v>5.7</v>
      </c>
      <c r="J174" s="80">
        <v>6</v>
      </c>
      <c r="K174" s="80">
        <v>4.43</v>
      </c>
      <c r="L174" s="80">
        <v>4.92</v>
      </c>
      <c r="M174" s="80">
        <v>4.67</v>
      </c>
      <c r="N174" s="80"/>
      <c r="O174" s="80"/>
      <c r="P174" s="81"/>
      <c r="Q174" s="73">
        <f t="shared" si="2"/>
        <v>4.5662500000000001</v>
      </c>
    </row>
    <row r="175" spans="2:17" x14ac:dyDescent="0.45">
      <c r="B175" s="86">
        <v>45890</v>
      </c>
      <c r="C175" s="78">
        <v>6</v>
      </c>
      <c r="D175" s="67">
        <v>2</v>
      </c>
      <c r="E175" s="78">
        <v>6.5</v>
      </c>
      <c r="F175" s="79">
        <v>3.12</v>
      </c>
      <c r="G175" s="79">
        <v>2.91</v>
      </c>
      <c r="H175" s="79">
        <v>4.5999999999999996</v>
      </c>
      <c r="I175" s="79">
        <v>5.7</v>
      </c>
      <c r="J175" s="80">
        <v>6</v>
      </c>
      <c r="K175" s="80">
        <v>4.43</v>
      </c>
      <c r="L175" s="80">
        <v>4.92</v>
      </c>
      <c r="M175" s="80">
        <v>4.67</v>
      </c>
      <c r="N175" s="80"/>
      <c r="O175" s="80"/>
      <c r="P175" s="81"/>
      <c r="Q175" s="73">
        <f t="shared" si="2"/>
        <v>4.5437500000000002</v>
      </c>
    </row>
    <row r="176" spans="2:17" x14ac:dyDescent="0.45">
      <c r="B176" s="86">
        <v>45897</v>
      </c>
      <c r="C176" s="78">
        <v>6</v>
      </c>
      <c r="D176" s="67">
        <v>2</v>
      </c>
      <c r="E176" s="78">
        <v>6.5</v>
      </c>
      <c r="F176" s="79">
        <v>3.22</v>
      </c>
      <c r="G176" s="79">
        <v>3.15</v>
      </c>
      <c r="H176" s="79">
        <v>4.5999999999999996</v>
      </c>
      <c r="I176" s="79">
        <v>5.7</v>
      </c>
      <c r="J176" s="80">
        <v>6</v>
      </c>
      <c r="K176" s="80">
        <v>4.43</v>
      </c>
      <c r="L176" s="80">
        <v>4.92</v>
      </c>
      <c r="M176" s="80">
        <v>4.67</v>
      </c>
      <c r="N176" s="80">
        <v>3.71</v>
      </c>
      <c r="O176" s="80">
        <v>3.84</v>
      </c>
      <c r="P176" s="81">
        <v>4.1500000000000004</v>
      </c>
      <c r="Q176" s="73">
        <f>+AVERAGE(F176:P176)</f>
        <v>4.3990909090909085</v>
      </c>
    </row>
    <row r="177" spans="2:17" x14ac:dyDescent="0.45">
      <c r="B177" s="86">
        <v>45904</v>
      </c>
      <c r="C177" s="78">
        <v>6</v>
      </c>
      <c r="D177" s="67">
        <v>2</v>
      </c>
      <c r="E177" s="78">
        <v>6.5</v>
      </c>
      <c r="F177" s="79">
        <v>3.11</v>
      </c>
      <c r="G177" s="79">
        <v>3.09</v>
      </c>
      <c r="H177" s="79">
        <v>4.5999999999999996</v>
      </c>
      <c r="I177" s="79">
        <v>5.7</v>
      </c>
      <c r="J177" s="80">
        <v>6</v>
      </c>
      <c r="K177" s="80">
        <v>4.43</v>
      </c>
      <c r="L177" s="80">
        <v>4.92</v>
      </c>
      <c r="M177" s="80">
        <v>4.67</v>
      </c>
      <c r="N177" s="80">
        <v>3.71</v>
      </c>
      <c r="O177" s="80">
        <v>3.84</v>
      </c>
      <c r="P177" s="81">
        <v>4.1500000000000004</v>
      </c>
      <c r="Q177" s="73">
        <f>+AVERAGE(F177:P177)</f>
        <v>4.3836363636363638</v>
      </c>
    </row>
    <row r="178" spans="2:17" x14ac:dyDescent="0.45">
      <c r="B178" s="86">
        <v>45911</v>
      </c>
      <c r="C178" s="78">
        <v>6</v>
      </c>
      <c r="D178" s="67">
        <v>2</v>
      </c>
      <c r="E178" s="78">
        <v>6.5</v>
      </c>
      <c r="F178" s="79">
        <v>3.15</v>
      </c>
      <c r="G178" s="79">
        <v>3.09</v>
      </c>
      <c r="H178" s="79">
        <v>3.81</v>
      </c>
      <c r="I178" s="79">
        <v>5.7</v>
      </c>
      <c r="J178" s="80">
        <v>6</v>
      </c>
      <c r="K178" s="80">
        <v>4.43</v>
      </c>
      <c r="L178" s="80">
        <v>4.92</v>
      </c>
      <c r="M178" s="80">
        <v>4.67</v>
      </c>
      <c r="N178" s="80">
        <v>3.71</v>
      </c>
      <c r="O178" s="80">
        <v>3.84</v>
      </c>
      <c r="P178" s="81">
        <v>4.1500000000000004</v>
      </c>
      <c r="Q178" s="73">
        <f>+AVERAGE(F178:P178)</f>
        <v>4.3154545454545463</v>
      </c>
    </row>
    <row r="179" spans="2:17" x14ac:dyDescent="0.45">
      <c r="B179" s="86">
        <v>45918</v>
      </c>
      <c r="C179" s="78">
        <v>6</v>
      </c>
      <c r="D179" s="67">
        <v>2</v>
      </c>
      <c r="E179" s="78">
        <v>6.5</v>
      </c>
      <c r="F179" s="79">
        <v>3.11</v>
      </c>
      <c r="G179" s="79">
        <v>2.91</v>
      </c>
      <c r="H179" s="79">
        <v>2.92</v>
      </c>
      <c r="I179" s="79">
        <v>5.7</v>
      </c>
      <c r="J179" s="80">
        <v>6</v>
      </c>
      <c r="K179" s="80">
        <v>4.43</v>
      </c>
      <c r="L179" s="80">
        <v>4.92</v>
      </c>
      <c r="M179" s="80">
        <v>4.67</v>
      </c>
      <c r="N179" s="80">
        <v>3.71</v>
      </c>
      <c r="O179" s="80">
        <v>3.84</v>
      </c>
      <c r="P179" s="81">
        <v>4.1500000000000004</v>
      </c>
      <c r="Q179" s="73">
        <f>+AVERAGE(F179:P179)</f>
        <v>4.2145454545454548</v>
      </c>
    </row>
    <row r="180" spans="2:17" x14ac:dyDescent="0.45">
      <c r="B180" s="86">
        <v>45925</v>
      </c>
      <c r="C180" s="78">
        <v>6</v>
      </c>
      <c r="D180" s="67">
        <v>2</v>
      </c>
      <c r="E180" s="78">
        <v>6.5</v>
      </c>
      <c r="F180" s="79">
        <v>3.1</v>
      </c>
      <c r="G180" s="79">
        <v>3.69</v>
      </c>
      <c r="H180" s="79">
        <v>2.93</v>
      </c>
      <c r="I180" s="79">
        <v>5.7</v>
      </c>
      <c r="J180" s="80">
        <v>6</v>
      </c>
      <c r="K180" s="80">
        <v>4.43</v>
      </c>
      <c r="L180" s="80">
        <v>4.92</v>
      </c>
      <c r="M180" s="80">
        <v>4.67</v>
      </c>
      <c r="N180" s="80">
        <v>3.71</v>
      </c>
      <c r="O180" s="80">
        <v>3.84</v>
      </c>
      <c r="P180" s="81">
        <v>4.1500000000000004</v>
      </c>
      <c r="Q180" s="73">
        <f t="shared" ref="Q180:Q199" si="3">+AVERAGE(F180:P180)</f>
        <v>4.2854545454545461</v>
      </c>
    </row>
    <row r="181" spans="2:17" x14ac:dyDescent="0.45">
      <c r="B181" s="86">
        <v>45932</v>
      </c>
      <c r="C181" s="78">
        <v>6</v>
      </c>
      <c r="D181" s="67">
        <v>2</v>
      </c>
      <c r="E181" s="78">
        <v>6.5</v>
      </c>
      <c r="F181" s="79">
        <v>2.99</v>
      </c>
      <c r="G181" s="79">
        <v>3.69</v>
      </c>
      <c r="H181" s="79">
        <v>2.93</v>
      </c>
      <c r="I181" s="79">
        <v>5.7</v>
      </c>
      <c r="J181" s="80">
        <v>6</v>
      </c>
      <c r="K181" s="80">
        <v>4.43</v>
      </c>
      <c r="L181" s="80">
        <v>4.92</v>
      </c>
      <c r="M181" s="80">
        <v>4.67</v>
      </c>
      <c r="N181" s="80">
        <v>3.71</v>
      </c>
      <c r="O181" s="80">
        <v>3.84</v>
      </c>
      <c r="P181" s="81">
        <v>4.1500000000000004</v>
      </c>
      <c r="Q181" s="73">
        <f t="shared" si="3"/>
        <v>4.2754545454545445</v>
      </c>
    </row>
    <row r="182" spans="2:17" x14ac:dyDescent="0.45">
      <c r="B182" s="86">
        <v>45939</v>
      </c>
      <c r="C182" s="78">
        <v>6</v>
      </c>
      <c r="D182" s="67">
        <v>2</v>
      </c>
      <c r="E182" s="78">
        <v>6.5</v>
      </c>
      <c r="F182" s="79">
        <v>2.78</v>
      </c>
      <c r="G182" s="79">
        <v>3.33</v>
      </c>
      <c r="H182" s="79">
        <v>2.93</v>
      </c>
      <c r="I182" s="79">
        <v>5.7</v>
      </c>
      <c r="J182" s="80">
        <v>6</v>
      </c>
      <c r="K182" s="80">
        <v>4.43</v>
      </c>
      <c r="L182" s="80">
        <v>4.92</v>
      </c>
      <c r="M182" s="80">
        <v>4.67</v>
      </c>
      <c r="N182" s="80">
        <v>3.71</v>
      </c>
      <c r="O182" s="80">
        <v>3.84</v>
      </c>
      <c r="P182" s="81">
        <v>4.1500000000000004</v>
      </c>
      <c r="Q182" s="73">
        <f t="shared" si="3"/>
        <v>4.2236363636363636</v>
      </c>
    </row>
    <row r="183" spans="2:17" x14ac:dyDescent="0.45">
      <c r="B183" s="86">
        <v>45946</v>
      </c>
      <c r="C183" s="78">
        <v>6</v>
      </c>
      <c r="D183" s="67">
        <v>2</v>
      </c>
      <c r="E183" s="78">
        <v>6.5</v>
      </c>
      <c r="F183" s="79">
        <v>2.1</v>
      </c>
      <c r="G183" s="79">
        <v>2.66</v>
      </c>
      <c r="H183" s="79">
        <v>5.37</v>
      </c>
      <c r="I183" s="79">
        <v>5.7</v>
      </c>
      <c r="J183" s="80">
        <v>6</v>
      </c>
      <c r="K183" s="80">
        <v>4.43</v>
      </c>
      <c r="L183" s="80">
        <v>4.92</v>
      </c>
      <c r="M183" s="80">
        <v>4.67</v>
      </c>
      <c r="N183" s="80">
        <v>3.71</v>
      </c>
      <c r="O183" s="80">
        <v>3.84</v>
      </c>
      <c r="P183" s="81">
        <v>4.1500000000000004</v>
      </c>
      <c r="Q183" s="73">
        <f t="shared" si="3"/>
        <v>4.3227272727272732</v>
      </c>
    </row>
    <row r="184" spans="2:17" x14ac:dyDescent="0.45">
      <c r="B184" s="86">
        <v>45953</v>
      </c>
      <c r="C184" s="78">
        <v>6</v>
      </c>
      <c r="D184" s="67">
        <v>2</v>
      </c>
      <c r="E184" s="78">
        <v>6.5</v>
      </c>
      <c r="F184" s="79">
        <v>2.08</v>
      </c>
      <c r="G184" s="79">
        <v>2.36</v>
      </c>
      <c r="H184" s="79">
        <v>5.37</v>
      </c>
      <c r="I184" s="79">
        <v>5.7</v>
      </c>
      <c r="J184" s="80">
        <v>6</v>
      </c>
      <c r="K184" s="80">
        <v>4.43</v>
      </c>
      <c r="L184" s="80">
        <v>4.92</v>
      </c>
      <c r="M184" s="80">
        <v>4.67</v>
      </c>
      <c r="N184" s="80">
        <v>3.71</v>
      </c>
      <c r="O184" s="80">
        <v>3.84</v>
      </c>
      <c r="P184" s="81">
        <v>4.1500000000000004</v>
      </c>
      <c r="Q184" s="73">
        <f t="shared" si="3"/>
        <v>4.293636363636363</v>
      </c>
    </row>
    <row r="185" spans="2:17" x14ac:dyDescent="0.45">
      <c r="B185" s="86">
        <v>45960</v>
      </c>
      <c r="C185" s="78">
        <v>6</v>
      </c>
      <c r="D185" s="67">
        <v>2</v>
      </c>
      <c r="E185" s="78">
        <v>6.5</v>
      </c>
      <c r="F185" s="79">
        <v>2.0699999999999998</v>
      </c>
      <c r="G185" s="79">
        <v>2.87</v>
      </c>
      <c r="H185" s="79">
        <v>5.37</v>
      </c>
      <c r="I185" s="79">
        <v>5.63</v>
      </c>
      <c r="J185" s="80">
        <v>6</v>
      </c>
      <c r="K185" s="80">
        <v>4.43</v>
      </c>
      <c r="L185" s="80">
        <v>4.92</v>
      </c>
      <c r="M185" s="80">
        <v>4.67</v>
      </c>
      <c r="N185" s="80">
        <v>3.71</v>
      </c>
      <c r="O185" s="80">
        <v>3.84</v>
      </c>
      <c r="P185" s="81">
        <v>4.1500000000000004</v>
      </c>
      <c r="Q185" s="73">
        <f t="shared" si="3"/>
        <v>4.332727272727273</v>
      </c>
    </row>
    <row r="186" spans="2:17" x14ac:dyDescent="0.45">
      <c r="B186" s="86">
        <v>45967</v>
      </c>
      <c r="C186" s="78">
        <v>6</v>
      </c>
      <c r="D186" s="67">
        <v>2</v>
      </c>
      <c r="E186" s="78">
        <v>6.5</v>
      </c>
      <c r="F186" s="79">
        <v>2.04</v>
      </c>
      <c r="G186" s="79">
        <v>2.82</v>
      </c>
      <c r="H186" s="79">
        <v>5.51</v>
      </c>
      <c r="I186" s="79">
        <v>5.72</v>
      </c>
      <c r="J186" s="80">
        <v>3.93</v>
      </c>
      <c r="K186" s="80">
        <v>4.43</v>
      </c>
      <c r="L186" s="80">
        <v>4.92</v>
      </c>
      <c r="M186" s="80">
        <v>4.67</v>
      </c>
      <c r="N186" s="80">
        <v>3.71</v>
      </c>
      <c r="O186" s="80">
        <v>3.84</v>
      </c>
      <c r="P186" s="81">
        <v>4.1500000000000004</v>
      </c>
      <c r="Q186" s="73">
        <f t="shared" si="3"/>
        <v>4.1581818181818182</v>
      </c>
    </row>
    <row r="187" spans="2:17" x14ac:dyDescent="0.45">
      <c r="B187" s="86">
        <v>45974</v>
      </c>
      <c r="C187" s="78">
        <v>6</v>
      </c>
      <c r="D187" s="67">
        <v>2</v>
      </c>
      <c r="E187" s="78">
        <v>6.5</v>
      </c>
      <c r="F187" s="79">
        <v>2.04</v>
      </c>
      <c r="G187" s="79">
        <v>2.82</v>
      </c>
      <c r="H187" s="79">
        <v>5.51</v>
      </c>
      <c r="I187" s="79">
        <v>5.72</v>
      </c>
      <c r="J187" s="80">
        <v>3.93</v>
      </c>
      <c r="K187" s="80">
        <v>4.43</v>
      </c>
      <c r="L187" s="80">
        <v>4.92</v>
      </c>
      <c r="M187" s="80">
        <v>4.67</v>
      </c>
      <c r="N187" s="80">
        <v>3.71</v>
      </c>
      <c r="O187" s="80">
        <v>3.84</v>
      </c>
      <c r="P187" s="81">
        <v>4.1500000000000004</v>
      </c>
      <c r="Q187" s="73">
        <f t="shared" si="3"/>
        <v>4.1581818181818182</v>
      </c>
    </row>
    <row r="188" spans="2:17" x14ac:dyDescent="0.45">
      <c r="B188" s="86">
        <v>45981</v>
      </c>
      <c r="C188" s="78">
        <v>6</v>
      </c>
      <c r="D188" s="67">
        <v>2</v>
      </c>
      <c r="E188" s="78">
        <v>6.5</v>
      </c>
      <c r="F188" s="79">
        <v>2.04</v>
      </c>
      <c r="G188" s="79">
        <v>2.12</v>
      </c>
      <c r="H188" s="79">
        <v>5.3</v>
      </c>
      <c r="I188" s="79">
        <v>5.83</v>
      </c>
      <c r="J188" s="80">
        <v>3.93</v>
      </c>
      <c r="K188" s="80">
        <v>4.43</v>
      </c>
      <c r="L188" s="80">
        <v>4.92</v>
      </c>
      <c r="M188" s="80">
        <v>4.67</v>
      </c>
      <c r="N188" s="80">
        <v>3.71</v>
      </c>
      <c r="O188" s="80">
        <v>3.84</v>
      </c>
      <c r="P188" s="81">
        <v>4.1500000000000004</v>
      </c>
      <c r="Q188" s="73">
        <f t="shared" si="3"/>
        <v>4.0854545454545459</v>
      </c>
    </row>
    <row r="189" spans="2:17" x14ac:dyDescent="0.45">
      <c r="B189" s="86">
        <v>45988</v>
      </c>
      <c r="C189" s="78">
        <v>6</v>
      </c>
      <c r="D189" s="67">
        <v>2</v>
      </c>
      <c r="E189" s="78">
        <v>6.5</v>
      </c>
      <c r="F189" s="79">
        <v>2.04</v>
      </c>
      <c r="G189" s="79">
        <v>2.12</v>
      </c>
      <c r="H189" s="79">
        <v>5.3</v>
      </c>
      <c r="I189" s="79">
        <v>5.83</v>
      </c>
      <c r="J189" s="80">
        <v>3.93</v>
      </c>
      <c r="K189" s="80">
        <v>4.43</v>
      </c>
      <c r="L189" s="80">
        <v>4.92</v>
      </c>
      <c r="M189" s="80">
        <v>4.67</v>
      </c>
      <c r="N189" s="80">
        <v>3.71</v>
      </c>
      <c r="O189" s="80">
        <v>3.84</v>
      </c>
      <c r="P189" s="81">
        <v>4.1500000000000004</v>
      </c>
      <c r="Q189" s="73">
        <f t="shared" si="3"/>
        <v>4.0854545454545459</v>
      </c>
    </row>
    <row r="190" spans="2:17" x14ac:dyDescent="0.45">
      <c r="B190" s="86">
        <v>45995</v>
      </c>
      <c r="C190" s="78">
        <v>6</v>
      </c>
      <c r="D190" s="67">
        <v>2</v>
      </c>
      <c r="E190" s="78">
        <v>6.5</v>
      </c>
      <c r="F190" s="79">
        <v>2.04</v>
      </c>
      <c r="G190" s="79">
        <v>2.34</v>
      </c>
      <c r="H190" s="79">
        <v>4.18</v>
      </c>
      <c r="I190" s="79">
        <v>4.18</v>
      </c>
      <c r="J190" s="80">
        <v>3.93</v>
      </c>
      <c r="K190" s="80">
        <v>4.43</v>
      </c>
      <c r="L190" s="80">
        <v>4.92</v>
      </c>
      <c r="M190" s="80">
        <v>4.67</v>
      </c>
      <c r="N190" s="80">
        <v>3.71</v>
      </c>
      <c r="O190" s="80">
        <v>3.84</v>
      </c>
      <c r="P190" s="81">
        <v>4.1500000000000004</v>
      </c>
      <c r="Q190" s="73">
        <f t="shared" si="3"/>
        <v>3.8536363636363631</v>
      </c>
    </row>
    <row r="191" spans="2:17" x14ac:dyDescent="0.45">
      <c r="B191" s="86">
        <v>46002</v>
      </c>
      <c r="C191" s="78">
        <v>6</v>
      </c>
      <c r="D191" s="67">
        <v>2</v>
      </c>
      <c r="E191" s="78">
        <v>6.5</v>
      </c>
      <c r="F191" s="79">
        <v>2.04</v>
      </c>
      <c r="G191" s="79">
        <v>3.28</v>
      </c>
      <c r="H191" s="79">
        <v>4.18</v>
      </c>
      <c r="I191" s="79">
        <v>4.18</v>
      </c>
      <c r="J191" s="80">
        <v>3.93</v>
      </c>
      <c r="K191" s="80">
        <v>4.43</v>
      </c>
      <c r="L191" s="80">
        <v>4.92</v>
      </c>
      <c r="M191" s="80">
        <v>4.67</v>
      </c>
      <c r="N191" s="80">
        <v>3.71</v>
      </c>
      <c r="O191" s="80">
        <v>3.84</v>
      </c>
      <c r="P191" s="81">
        <v>4.1500000000000004</v>
      </c>
      <c r="Q191" s="73">
        <f t="shared" si="3"/>
        <v>3.9390909090909094</v>
      </c>
    </row>
    <row r="192" spans="2:17" x14ac:dyDescent="0.45">
      <c r="B192" s="86">
        <v>46009</v>
      </c>
      <c r="C192" s="78">
        <v>6</v>
      </c>
      <c r="D192" s="67">
        <v>2</v>
      </c>
      <c r="E192" s="78">
        <v>6.5</v>
      </c>
      <c r="F192" s="79">
        <v>2.04</v>
      </c>
      <c r="G192" s="79">
        <v>4.37</v>
      </c>
      <c r="H192" s="79">
        <v>5.01</v>
      </c>
      <c r="I192" s="79">
        <v>3.07</v>
      </c>
      <c r="J192" s="80">
        <v>3.93</v>
      </c>
      <c r="K192" s="80">
        <v>4.43</v>
      </c>
      <c r="L192" s="80">
        <v>4.92</v>
      </c>
      <c r="M192" s="80">
        <v>4.67</v>
      </c>
      <c r="N192" s="80">
        <v>3.71</v>
      </c>
      <c r="O192" s="80">
        <v>3.84</v>
      </c>
      <c r="P192" s="81">
        <v>4.1500000000000004</v>
      </c>
      <c r="Q192" s="73">
        <f t="shared" si="3"/>
        <v>4.0127272727272736</v>
      </c>
    </row>
    <row r="193" spans="2:17" x14ac:dyDescent="0.45">
      <c r="B193" s="86">
        <v>46016</v>
      </c>
      <c r="C193" s="78">
        <v>6</v>
      </c>
      <c r="D193" s="67">
        <v>2</v>
      </c>
      <c r="E193" s="78">
        <v>6.5</v>
      </c>
      <c r="F193" s="79">
        <v>2.04</v>
      </c>
      <c r="G193" s="79">
        <v>4.37</v>
      </c>
      <c r="H193" s="79">
        <v>5.01</v>
      </c>
      <c r="I193" s="79">
        <v>3.07</v>
      </c>
      <c r="J193" s="80">
        <v>3.93</v>
      </c>
      <c r="K193" s="80">
        <v>4.43</v>
      </c>
      <c r="L193" s="80">
        <v>4.92</v>
      </c>
      <c r="M193" s="80">
        <v>4.67</v>
      </c>
      <c r="N193" s="80">
        <v>3.71</v>
      </c>
      <c r="O193" s="80">
        <v>3.84</v>
      </c>
      <c r="P193" s="81">
        <v>4.1500000000000004</v>
      </c>
      <c r="Q193" s="73">
        <f t="shared" si="3"/>
        <v>4.0127272727272736</v>
      </c>
    </row>
    <row r="194" spans="2:17" x14ac:dyDescent="0.45">
      <c r="B194" s="86">
        <v>46022</v>
      </c>
      <c r="C194" s="78">
        <v>6</v>
      </c>
      <c r="D194" s="67">
        <v>2</v>
      </c>
      <c r="E194" s="78">
        <v>6.5</v>
      </c>
      <c r="F194" s="79">
        <v>2.04</v>
      </c>
      <c r="G194" s="79">
        <v>4.3</v>
      </c>
      <c r="H194" s="79">
        <v>5.36</v>
      </c>
      <c r="I194" s="79">
        <v>3.07</v>
      </c>
      <c r="J194" s="80">
        <v>3.93</v>
      </c>
      <c r="K194" s="80">
        <v>4.43</v>
      </c>
      <c r="L194" s="80">
        <v>4.92</v>
      </c>
      <c r="M194" s="80">
        <v>4.67</v>
      </c>
      <c r="N194" s="80">
        <v>3.71</v>
      </c>
      <c r="O194" s="80">
        <v>3.84</v>
      </c>
      <c r="P194" s="81">
        <v>4.1500000000000004</v>
      </c>
      <c r="Q194" s="73">
        <f t="shared" si="3"/>
        <v>4.0381818181818181</v>
      </c>
    </row>
    <row r="195" spans="2:17" x14ac:dyDescent="0.45">
      <c r="B195" s="86">
        <v>46030</v>
      </c>
      <c r="C195" s="78">
        <v>6</v>
      </c>
      <c r="D195" s="67">
        <v>2</v>
      </c>
      <c r="E195" s="78">
        <v>6.5</v>
      </c>
      <c r="F195" s="79">
        <v>2.04</v>
      </c>
      <c r="G195" s="79">
        <v>4.4400000000000004</v>
      </c>
      <c r="H195" s="79">
        <v>4.8099999999999996</v>
      </c>
      <c r="I195" s="79">
        <v>3.07</v>
      </c>
      <c r="J195" s="80">
        <v>3.93</v>
      </c>
      <c r="K195" s="80">
        <v>4.43</v>
      </c>
      <c r="L195" s="80">
        <v>4.92</v>
      </c>
      <c r="M195" s="80">
        <v>4.67</v>
      </c>
      <c r="N195" s="80">
        <v>3.71</v>
      </c>
      <c r="O195" s="80">
        <v>3.84</v>
      </c>
      <c r="P195" s="81">
        <v>4.1500000000000004</v>
      </c>
      <c r="Q195" s="73">
        <f t="shared" si="3"/>
        <v>4.000909090909091</v>
      </c>
    </row>
    <row r="196" spans="2:17" x14ac:dyDescent="0.45">
      <c r="B196" s="86">
        <v>46037</v>
      </c>
      <c r="C196" s="78">
        <v>6</v>
      </c>
      <c r="D196" s="67">
        <v>2</v>
      </c>
      <c r="E196" s="78">
        <v>6.5</v>
      </c>
      <c r="F196" s="79">
        <v>2.04</v>
      </c>
      <c r="G196" s="79">
        <v>2.73</v>
      </c>
      <c r="H196" s="79">
        <v>4.42</v>
      </c>
      <c r="I196" s="79">
        <v>3.07</v>
      </c>
      <c r="J196" s="80">
        <v>3.93</v>
      </c>
      <c r="K196" s="80">
        <v>5.17</v>
      </c>
      <c r="L196" s="80">
        <v>4.92</v>
      </c>
      <c r="M196" s="80">
        <v>4.67</v>
      </c>
      <c r="N196" s="80">
        <v>3.71</v>
      </c>
      <c r="O196" s="80">
        <v>3.84</v>
      </c>
      <c r="P196" s="81">
        <v>4.1500000000000004</v>
      </c>
      <c r="Q196" s="73">
        <f t="shared" si="3"/>
        <v>3.877272727272727</v>
      </c>
    </row>
    <row r="197" spans="2:17" x14ac:dyDescent="0.45">
      <c r="B197" s="86">
        <v>46044</v>
      </c>
      <c r="C197" s="78">
        <v>6</v>
      </c>
      <c r="D197" s="67">
        <v>2</v>
      </c>
      <c r="E197" s="78">
        <v>6.5</v>
      </c>
      <c r="F197" s="79">
        <v>2.04</v>
      </c>
      <c r="G197" s="79">
        <v>3.6</v>
      </c>
      <c r="H197" s="79">
        <v>4.26</v>
      </c>
      <c r="I197" s="79">
        <v>4.37</v>
      </c>
      <c r="J197" s="80">
        <v>3.93</v>
      </c>
      <c r="K197" s="80">
        <v>5.17</v>
      </c>
      <c r="L197" s="80">
        <v>4.92</v>
      </c>
      <c r="M197" s="80">
        <v>4.67</v>
      </c>
      <c r="N197" s="80">
        <v>3.71</v>
      </c>
      <c r="O197" s="80">
        <v>3.84</v>
      </c>
      <c r="P197" s="81">
        <v>4.1500000000000004</v>
      </c>
      <c r="Q197" s="73">
        <f t="shared" si="3"/>
        <v>4.0600000000000005</v>
      </c>
    </row>
    <row r="198" spans="2:17" x14ac:dyDescent="0.45">
      <c r="B198" s="86">
        <v>46051</v>
      </c>
      <c r="C198" s="78">
        <v>6</v>
      </c>
      <c r="D198" s="67">
        <v>2</v>
      </c>
      <c r="E198" s="78">
        <v>6.5</v>
      </c>
      <c r="F198" s="79">
        <v>2.04</v>
      </c>
      <c r="G198" s="79">
        <v>3.6</v>
      </c>
      <c r="H198" s="79">
        <v>4.26</v>
      </c>
      <c r="I198" s="79">
        <v>4.37</v>
      </c>
      <c r="J198" s="80">
        <v>3.93</v>
      </c>
      <c r="K198" s="80">
        <v>5.49</v>
      </c>
      <c r="L198" s="80">
        <v>4.92</v>
      </c>
      <c r="M198" s="80">
        <v>4.67</v>
      </c>
      <c r="N198" s="80">
        <v>3.71</v>
      </c>
      <c r="O198" s="80">
        <v>3.84</v>
      </c>
      <c r="P198" s="81">
        <v>4.1500000000000004</v>
      </c>
      <c r="Q198" s="73">
        <f t="shared" si="3"/>
        <v>4.0890909090909089</v>
      </c>
    </row>
    <row r="199" spans="2:17" x14ac:dyDescent="0.45">
      <c r="B199" s="86">
        <v>46058</v>
      </c>
      <c r="C199" s="78">
        <v>6</v>
      </c>
      <c r="D199" s="67">
        <v>2</v>
      </c>
      <c r="E199" s="78">
        <v>6.5</v>
      </c>
      <c r="F199" s="79">
        <v>2.04</v>
      </c>
      <c r="G199" s="79">
        <v>4.12</v>
      </c>
      <c r="H199" s="79">
        <v>4.34</v>
      </c>
      <c r="I199" s="79">
        <v>3.56</v>
      </c>
      <c r="J199" s="80">
        <v>3.93</v>
      </c>
      <c r="K199" s="80">
        <v>5.49</v>
      </c>
      <c r="L199" s="80">
        <v>4.92</v>
      </c>
      <c r="M199" s="80">
        <v>4.67</v>
      </c>
      <c r="N199" s="80">
        <v>3.71</v>
      </c>
      <c r="O199" s="80">
        <v>3.84</v>
      </c>
      <c r="P199" s="81">
        <v>4.1500000000000004</v>
      </c>
      <c r="Q199" s="73">
        <f t="shared" si="3"/>
        <v>4.07</v>
      </c>
    </row>
    <row r="200" spans="2:17" x14ac:dyDescent="0.45">
      <c r="B200" s="86">
        <v>46065</v>
      </c>
      <c r="C200" s="78">
        <v>6</v>
      </c>
      <c r="D200" s="67">
        <v>2</v>
      </c>
      <c r="E200" s="78">
        <v>6.5</v>
      </c>
      <c r="F200" s="79">
        <v>2.04</v>
      </c>
      <c r="G200" s="79">
        <v>4.12</v>
      </c>
      <c r="H200" s="79">
        <v>4.34</v>
      </c>
      <c r="I200" s="79">
        <v>3.56</v>
      </c>
      <c r="J200" s="80">
        <v>3.93</v>
      </c>
      <c r="K200" s="80">
        <v>5.49</v>
      </c>
      <c r="L200" s="80">
        <v>4.92</v>
      </c>
      <c r="M200" s="80">
        <v>4.67</v>
      </c>
      <c r="N200" s="80">
        <v>3.71</v>
      </c>
      <c r="O200" s="80">
        <v>3.84</v>
      </c>
      <c r="P200" s="81">
        <v>4.1500000000000004</v>
      </c>
      <c r="Q200" s="73">
        <f t="shared" ref="Q200" si="4">+AVERAGE(F200:P200)</f>
        <v>4.07</v>
      </c>
    </row>
    <row r="201" spans="2:17" x14ac:dyDescent="0.45">
      <c r="B201" s="86"/>
      <c r="C201" s="78"/>
      <c r="D201" s="67"/>
      <c r="E201" s="78"/>
      <c r="F201" s="79"/>
      <c r="G201" s="79"/>
      <c r="H201" s="79"/>
      <c r="I201" s="79"/>
      <c r="J201" s="80"/>
      <c r="K201" s="80"/>
      <c r="L201" s="80"/>
      <c r="M201" s="80"/>
      <c r="N201" s="80"/>
      <c r="O201" s="80"/>
      <c r="P201" s="81"/>
      <c r="Q201" s="73"/>
    </row>
    <row r="202" spans="2:17" x14ac:dyDescent="0.45">
      <c r="B202" s="86"/>
      <c r="C202" s="78"/>
      <c r="D202" s="67"/>
      <c r="E202" s="78"/>
      <c r="F202" s="79"/>
      <c r="G202" s="79"/>
      <c r="H202" s="79"/>
      <c r="I202" s="79"/>
      <c r="J202" s="80"/>
      <c r="K202" s="80"/>
      <c r="L202" s="80"/>
      <c r="M202" s="80"/>
      <c r="N202" s="80"/>
      <c r="O202" s="80"/>
      <c r="P202" s="81"/>
      <c r="Q202" s="73"/>
    </row>
    <row r="214" spans="5:16" ht="14.65" thickBot="1" x14ac:dyDescent="0.5"/>
    <row r="215" spans="5:16" ht="28.5" x14ac:dyDescent="0.45">
      <c r="F215" s="116" t="s">
        <v>49</v>
      </c>
      <c r="G215" s="117" t="s">
        <v>50</v>
      </c>
      <c r="H215" s="117" t="s">
        <v>51</v>
      </c>
      <c r="I215" s="117" t="s">
        <v>52</v>
      </c>
      <c r="J215" s="117" t="s">
        <v>53</v>
      </c>
      <c r="K215" s="117" t="s">
        <v>54</v>
      </c>
      <c r="L215" s="117" t="s">
        <v>55</v>
      </c>
      <c r="M215" s="117" t="s">
        <v>56</v>
      </c>
      <c r="N215" s="117" t="s">
        <v>80</v>
      </c>
      <c r="O215" s="117" t="s">
        <v>81</v>
      </c>
      <c r="P215" s="118" t="s">
        <v>82</v>
      </c>
    </row>
    <row r="216" spans="5:16" x14ac:dyDescent="0.45">
      <c r="E216" s="115">
        <v>44924</v>
      </c>
      <c r="F216" s="108">
        <v>4.04</v>
      </c>
      <c r="G216" s="79">
        <v>6.84</v>
      </c>
      <c r="H216" s="79">
        <v>3.75</v>
      </c>
      <c r="I216" s="80">
        <v>3.69</v>
      </c>
      <c r="J216" s="80"/>
      <c r="K216" s="80"/>
      <c r="L216" s="80"/>
      <c r="M216" s="80"/>
      <c r="N216" s="80"/>
      <c r="O216" s="80"/>
      <c r="P216" s="81"/>
    </row>
    <row r="217" spans="5:16" x14ac:dyDescent="0.45">
      <c r="E217" s="115">
        <v>45288</v>
      </c>
      <c r="F217" s="108">
        <v>6.6448484848484846</v>
      </c>
      <c r="G217" s="79">
        <v>6.84</v>
      </c>
      <c r="H217" s="79">
        <v>6.34</v>
      </c>
      <c r="I217" s="80">
        <v>7.84</v>
      </c>
      <c r="J217" s="80"/>
      <c r="K217" s="80"/>
      <c r="L217" s="80"/>
      <c r="M217" s="80"/>
      <c r="N217" s="80"/>
      <c r="O217" s="80"/>
      <c r="P217" s="81"/>
    </row>
    <row r="218" spans="5:16" x14ac:dyDescent="0.45">
      <c r="E218" s="115">
        <v>45652</v>
      </c>
      <c r="F218" s="108">
        <v>4.7763573883161516</v>
      </c>
      <c r="G218" s="79">
        <v>5.76</v>
      </c>
      <c r="H218" s="79">
        <v>5.57</v>
      </c>
      <c r="I218" s="80">
        <v>4.91</v>
      </c>
      <c r="J218" s="80">
        <v>6</v>
      </c>
      <c r="K218" s="80">
        <v>7.01</v>
      </c>
      <c r="L218" s="80"/>
      <c r="M218" s="80"/>
      <c r="N218" s="80"/>
      <c r="O218" s="80"/>
      <c r="P218" s="81"/>
    </row>
    <row r="219" spans="5:16" x14ac:dyDescent="0.45">
      <c r="E219" s="115">
        <v>45743</v>
      </c>
      <c r="F219" s="108">
        <v>3.4632967032967032</v>
      </c>
      <c r="G219" s="79">
        <v>2.76</v>
      </c>
      <c r="H219" s="79">
        <v>3.05</v>
      </c>
      <c r="I219" s="80">
        <v>4.91</v>
      </c>
      <c r="J219" s="80">
        <v>6</v>
      </c>
      <c r="K219" s="80">
        <v>4.43</v>
      </c>
      <c r="L219" s="80">
        <v>4.92</v>
      </c>
      <c r="M219" s="80">
        <v>4.67</v>
      </c>
      <c r="N219" s="80"/>
      <c r="O219" s="80"/>
      <c r="P219" s="81"/>
    </row>
    <row r="220" spans="5:16" x14ac:dyDescent="0.45">
      <c r="E220" s="115">
        <v>45771</v>
      </c>
      <c r="F220" s="108">
        <v>3.41</v>
      </c>
      <c r="G220" s="79">
        <v>2.96</v>
      </c>
      <c r="H220" s="79">
        <v>2.96</v>
      </c>
      <c r="I220" s="79">
        <v>4.91</v>
      </c>
      <c r="J220" s="80">
        <v>6</v>
      </c>
      <c r="K220" s="80">
        <v>4.43</v>
      </c>
      <c r="L220" s="80">
        <v>4.92</v>
      </c>
      <c r="M220" s="80">
        <v>4.67</v>
      </c>
      <c r="N220" s="80"/>
      <c r="O220" s="80"/>
      <c r="P220" s="81"/>
    </row>
    <row r="221" spans="5:16" x14ac:dyDescent="0.45">
      <c r="E221" s="115">
        <v>45806</v>
      </c>
      <c r="F221" s="108">
        <v>3.27</v>
      </c>
      <c r="G221" s="79">
        <v>3.62</v>
      </c>
      <c r="H221" s="79">
        <v>4.46</v>
      </c>
      <c r="I221" s="79">
        <v>5.04</v>
      </c>
      <c r="J221" s="80">
        <v>6</v>
      </c>
      <c r="K221" s="80">
        <v>4.43</v>
      </c>
      <c r="L221" s="80">
        <v>4.92</v>
      </c>
      <c r="M221" s="80">
        <v>4.67</v>
      </c>
      <c r="N221" s="80"/>
      <c r="O221" s="80"/>
      <c r="P221" s="81"/>
    </row>
    <row r="222" spans="5:16" x14ac:dyDescent="0.45">
      <c r="E222" s="115">
        <v>45834</v>
      </c>
      <c r="F222" s="108">
        <v>3.34</v>
      </c>
      <c r="G222" s="79">
        <v>3.73</v>
      </c>
      <c r="H222" s="79">
        <v>5.04</v>
      </c>
      <c r="I222" s="79">
        <v>5.7</v>
      </c>
      <c r="J222" s="80">
        <v>6</v>
      </c>
      <c r="K222" s="80">
        <v>4.43</v>
      </c>
      <c r="L222" s="80">
        <v>4.92</v>
      </c>
      <c r="M222" s="80">
        <v>4.67</v>
      </c>
      <c r="N222" s="80"/>
      <c r="O222" s="80"/>
      <c r="P222" s="81"/>
    </row>
    <row r="223" spans="5:16" x14ac:dyDescent="0.45">
      <c r="E223" s="115">
        <v>45869</v>
      </c>
      <c r="F223" s="108">
        <v>3.18</v>
      </c>
      <c r="G223" s="79">
        <v>3.52</v>
      </c>
      <c r="H223" s="79">
        <v>4.42</v>
      </c>
      <c r="I223" s="79">
        <v>5.7</v>
      </c>
      <c r="J223" s="80">
        <v>6</v>
      </c>
      <c r="K223" s="80">
        <v>4.43</v>
      </c>
      <c r="L223" s="80">
        <v>4.92</v>
      </c>
      <c r="M223" s="80">
        <v>4.67</v>
      </c>
      <c r="N223" s="80"/>
      <c r="O223" s="80"/>
      <c r="P223" s="81"/>
    </row>
    <row r="224" spans="5:16" x14ac:dyDescent="0.45">
      <c r="E224" s="115">
        <v>45897</v>
      </c>
      <c r="F224" s="108">
        <v>3.22</v>
      </c>
      <c r="G224" s="79">
        <v>3.15</v>
      </c>
      <c r="H224" s="79">
        <v>4.5999999999999996</v>
      </c>
      <c r="I224" s="79">
        <v>5.7</v>
      </c>
      <c r="J224" s="80">
        <v>6</v>
      </c>
      <c r="K224" s="80">
        <v>4.43</v>
      </c>
      <c r="L224" s="80">
        <v>4.92</v>
      </c>
      <c r="M224" s="80">
        <v>4.67</v>
      </c>
      <c r="N224" s="80">
        <v>3.71</v>
      </c>
      <c r="O224" s="80">
        <v>3.84</v>
      </c>
      <c r="P224" s="81">
        <v>4.1500000000000004</v>
      </c>
    </row>
    <row r="225" spans="5:16" x14ac:dyDescent="0.45">
      <c r="E225" s="115">
        <v>45925</v>
      </c>
      <c r="F225" s="108">
        <v>3.1</v>
      </c>
      <c r="G225" s="79">
        <v>3.69</v>
      </c>
      <c r="H225" s="79">
        <v>2.93</v>
      </c>
      <c r="I225" s="79">
        <v>5.7</v>
      </c>
      <c r="J225" s="80">
        <v>6</v>
      </c>
      <c r="K225" s="80">
        <v>4.43</v>
      </c>
      <c r="L225" s="80">
        <v>4.92</v>
      </c>
      <c r="M225" s="80">
        <v>4.67</v>
      </c>
      <c r="N225" s="80">
        <v>3.71</v>
      </c>
      <c r="O225" s="80">
        <v>3.84</v>
      </c>
      <c r="P225" s="81">
        <v>4.1500000000000004</v>
      </c>
    </row>
    <row r="226" spans="5:16" x14ac:dyDescent="0.45">
      <c r="E226" s="115">
        <v>45960</v>
      </c>
      <c r="F226" s="108">
        <v>2.0699999999999998</v>
      </c>
      <c r="G226" s="79">
        <v>2.87</v>
      </c>
      <c r="H226" s="79">
        <v>5.37</v>
      </c>
      <c r="I226" s="79">
        <v>5.63</v>
      </c>
      <c r="J226" s="80">
        <v>6</v>
      </c>
      <c r="K226" s="80">
        <v>4.43</v>
      </c>
      <c r="L226" s="80">
        <v>4.92</v>
      </c>
      <c r="M226" s="80">
        <v>4.67</v>
      </c>
      <c r="N226" s="80">
        <v>3.71</v>
      </c>
      <c r="O226" s="80">
        <v>3.84</v>
      </c>
      <c r="P226" s="81">
        <v>4.1500000000000004</v>
      </c>
    </row>
    <row r="227" spans="5:16" x14ac:dyDescent="0.45">
      <c r="E227" s="86">
        <v>45988</v>
      </c>
      <c r="F227" s="79">
        <v>2.04</v>
      </c>
      <c r="G227" s="79">
        <v>2.12</v>
      </c>
      <c r="H227" s="79">
        <v>5.3</v>
      </c>
      <c r="I227" s="79">
        <v>5.83</v>
      </c>
      <c r="J227" s="80">
        <v>3.93</v>
      </c>
      <c r="K227" s="80">
        <v>4.43</v>
      </c>
      <c r="L227" s="80">
        <v>4.92</v>
      </c>
      <c r="M227" s="80">
        <v>4.67</v>
      </c>
      <c r="N227" s="80">
        <v>3.71</v>
      </c>
      <c r="O227" s="80">
        <v>3.84</v>
      </c>
      <c r="P227" s="81">
        <v>4.1500000000000004</v>
      </c>
    </row>
    <row r="228" spans="5:16" x14ac:dyDescent="0.45">
      <c r="E228" s="86">
        <v>46022</v>
      </c>
      <c r="F228" s="79">
        <v>2.04</v>
      </c>
      <c r="G228" s="79">
        <v>4.4400000000000004</v>
      </c>
      <c r="H228" s="79">
        <v>4.8099999999999996</v>
      </c>
      <c r="I228" s="79">
        <v>3.07</v>
      </c>
      <c r="J228" s="80">
        <v>3.93</v>
      </c>
      <c r="K228" s="80">
        <v>4.43</v>
      </c>
      <c r="L228" s="80">
        <v>4.92</v>
      </c>
      <c r="M228" s="80">
        <v>4.67</v>
      </c>
      <c r="N228" s="80">
        <v>3.71</v>
      </c>
      <c r="O228" s="80">
        <v>3.84</v>
      </c>
      <c r="P228" s="81">
        <v>4.1500000000000004</v>
      </c>
    </row>
    <row r="229" spans="5:16" ht="14.65" thickBot="1" x14ac:dyDescent="0.5">
      <c r="E229" s="86">
        <v>46050</v>
      </c>
      <c r="F229" s="109">
        <v>2.04</v>
      </c>
      <c r="G229" s="110">
        <v>3.6</v>
      </c>
      <c r="H229" s="110">
        <v>4.26</v>
      </c>
      <c r="I229" s="110">
        <v>4.37</v>
      </c>
      <c r="J229" s="111">
        <v>3.93</v>
      </c>
      <c r="K229" s="111">
        <v>5.49</v>
      </c>
      <c r="L229" s="111">
        <v>4.92</v>
      </c>
      <c r="M229" s="111">
        <v>4.67</v>
      </c>
      <c r="N229" s="111">
        <v>3.71</v>
      </c>
      <c r="O229" s="111">
        <v>3.84</v>
      </c>
      <c r="P229" s="112">
        <v>4.1500000000000004</v>
      </c>
    </row>
    <row r="293" spans="5:18" ht="14.65" thickBot="1" x14ac:dyDescent="0.5"/>
    <row r="294" spans="5:18" ht="28.5" x14ac:dyDescent="0.45">
      <c r="F294" s="106" t="s">
        <v>76</v>
      </c>
      <c r="G294" s="106" t="s">
        <v>77</v>
      </c>
      <c r="H294" s="106" t="s">
        <v>49</v>
      </c>
      <c r="I294" s="106" t="s">
        <v>50</v>
      </c>
      <c r="J294" s="106" t="s">
        <v>51</v>
      </c>
      <c r="K294" s="106" t="s">
        <v>52</v>
      </c>
      <c r="L294" s="106" t="s">
        <v>53</v>
      </c>
      <c r="M294" s="106" t="s">
        <v>54</v>
      </c>
      <c r="N294" s="117" t="s">
        <v>55</v>
      </c>
      <c r="O294" s="117" t="s">
        <v>56</v>
      </c>
      <c r="P294" s="117" t="s">
        <v>80</v>
      </c>
      <c r="Q294" s="117" t="s">
        <v>81</v>
      </c>
      <c r="R294" s="118" t="s">
        <v>82</v>
      </c>
    </row>
    <row r="295" spans="5:18" ht="42.75" x14ac:dyDescent="0.45">
      <c r="E295" s="107" t="s">
        <v>83</v>
      </c>
      <c r="F295" s="79">
        <v>2</v>
      </c>
      <c r="G295" s="79">
        <v>4.6699588843208915</v>
      </c>
      <c r="H295" s="79">
        <v>3.22</v>
      </c>
      <c r="I295" s="79">
        <v>3.15</v>
      </c>
      <c r="J295" s="79">
        <v>4.5999999999999996</v>
      </c>
      <c r="K295" s="79">
        <v>5.7</v>
      </c>
      <c r="L295" s="80">
        <v>6</v>
      </c>
      <c r="M295" s="80">
        <v>4.43</v>
      </c>
      <c r="N295" s="80">
        <v>4.92</v>
      </c>
      <c r="O295" s="80">
        <v>4.67</v>
      </c>
      <c r="P295" s="80">
        <v>3.71</v>
      </c>
      <c r="Q295" s="80">
        <v>3.84</v>
      </c>
      <c r="R295" s="80">
        <v>4.1500000000000004</v>
      </c>
    </row>
    <row r="296" spans="5:18" ht="42.75" x14ac:dyDescent="0.45">
      <c r="E296" s="107" t="s">
        <v>84</v>
      </c>
      <c r="F296" s="79">
        <v>2</v>
      </c>
      <c r="G296" s="79">
        <v>4.5199999999999996</v>
      </c>
      <c r="H296" s="79">
        <v>3.1</v>
      </c>
      <c r="I296" s="79">
        <v>3.69</v>
      </c>
      <c r="J296" s="79">
        <v>2.93</v>
      </c>
      <c r="K296" s="79">
        <v>5.7</v>
      </c>
      <c r="L296" s="80">
        <v>6</v>
      </c>
      <c r="M296" s="80">
        <v>4.43</v>
      </c>
      <c r="N296" s="80">
        <v>4.92</v>
      </c>
      <c r="O296" s="80">
        <v>4.67</v>
      </c>
      <c r="P296" s="80">
        <v>3.71</v>
      </c>
      <c r="Q296" s="80">
        <v>3.84</v>
      </c>
      <c r="R296" s="80">
        <v>4.1500000000000004</v>
      </c>
    </row>
    <row r="297" spans="5:18" ht="42.75" x14ac:dyDescent="0.45">
      <c r="E297" s="107" t="s">
        <v>89</v>
      </c>
      <c r="F297" s="79">
        <v>2</v>
      </c>
      <c r="G297" s="79">
        <v>5.77</v>
      </c>
      <c r="H297" s="79">
        <v>2.04</v>
      </c>
      <c r="I297" s="79">
        <v>4.12</v>
      </c>
      <c r="J297" s="79">
        <v>4.34</v>
      </c>
      <c r="K297" s="79">
        <v>3.56</v>
      </c>
      <c r="L297" s="80">
        <v>3.93</v>
      </c>
      <c r="M297" s="80">
        <v>5.49</v>
      </c>
      <c r="N297" s="80">
        <v>4.92</v>
      </c>
      <c r="O297" s="80">
        <v>4.67</v>
      </c>
      <c r="P297" s="80">
        <v>3.71</v>
      </c>
      <c r="Q297" s="80">
        <v>3.84</v>
      </c>
      <c r="R297" s="80">
        <v>4.1500000000000004</v>
      </c>
    </row>
    <row r="298" spans="5:18" ht="42.75" x14ac:dyDescent="0.45">
      <c r="E298" s="107" t="s">
        <v>90</v>
      </c>
      <c r="F298" s="79">
        <v>2</v>
      </c>
      <c r="G298" s="79">
        <v>5.82</v>
      </c>
      <c r="H298" s="79">
        <v>2.04</v>
      </c>
      <c r="I298" s="79">
        <v>4.12</v>
      </c>
      <c r="J298" s="79">
        <v>4.34</v>
      </c>
      <c r="K298" s="79">
        <v>3.56</v>
      </c>
      <c r="L298" s="80">
        <v>3.93</v>
      </c>
      <c r="M298" s="80">
        <v>5.49</v>
      </c>
      <c r="N298" s="80">
        <v>4.92</v>
      </c>
      <c r="O298" s="80">
        <v>4.67</v>
      </c>
      <c r="P298" s="80">
        <v>3.71</v>
      </c>
      <c r="Q298" s="80">
        <v>3.84</v>
      </c>
      <c r="R298" s="80">
        <v>4.1500000000000004</v>
      </c>
    </row>
    <row r="299" spans="5:18" x14ac:dyDescent="0.45">
      <c r="E299" t="s">
        <v>78</v>
      </c>
      <c r="F299" s="73">
        <f>F298-F297</f>
        <v>0</v>
      </c>
      <c r="G299" s="73">
        <f t="shared" ref="G299:R299" si="5">G298-G297</f>
        <v>5.0000000000000711E-2</v>
      </c>
      <c r="H299" s="73">
        <f t="shared" si="5"/>
        <v>0</v>
      </c>
      <c r="I299" s="73">
        <f t="shared" si="5"/>
        <v>0</v>
      </c>
      <c r="J299" s="73">
        <f t="shared" si="5"/>
        <v>0</v>
      </c>
      <c r="K299" s="73">
        <f t="shared" si="5"/>
        <v>0</v>
      </c>
      <c r="L299" s="73">
        <f t="shared" si="5"/>
        <v>0</v>
      </c>
      <c r="M299" s="73">
        <f t="shared" si="5"/>
        <v>0</v>
      </c>
      <c r="N299" s="73">
        <f t="shared" si="5"/>
        <v>0</v>
      </c>
      <c r="O299" s="73">
        <f t="shared" si="5"/>
        <v>0</v>
      </c>
      <c r="P299" s="73">
        <f t="shared" si="5"/>
        <v>0</v>
      </c>
      <c r="Q299" s="73">
        <f t="shared" si="5"/>
        <v>0</v>
      </c>
      <c r="R299" s="73">
        <f t="shared" si="5"/>
        <v>0</v>
      </c>
    </row>
  </sheetData>
  <autoFilter ref="B4:Q154" xr:uid="{BCC7137F-43FF-4734-AD6C-0FF518A74FD3}"/>
  <mergeCells count="1">
    <mergeCell ref="F3:I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E9D6-722F-4BE4-B1F8-4993F7B4C892}">
  <dimension ref="B20:I36"/>
  <sheetViews>
    <sheetView zoomScale="115" zoomScaleNormal="115" workbookViewId="0">
      <selection activeCell="E46" sqref="E46"/>
    </sheetView>
  </sheetViews>
  <sheetFormatPr baseColWidth="10" defaultColWidth="10.9296875" defaultRowHeight="14.25" x14ac:dyDescent="0.45"/>
  <cols>
    <col min="1" max="1" width="10.9296875" style="88"/>
    <col min="2" max="3" width="27.33203125" style="88" bestFit="1" customWidth="1"/>
    <col min="4" max="4" width="18.9296875" style="88" bestFit="1" customWidth="1"/>
    <col min="5" max="5" width="20.46484375" style="88" bestFit="1" customWidth="1"/>
    <col min="6" max="6" width="7.796875" style="88" bestFit="1" customWidth="1"/>
    <col min="7" max="8" width="6.9296875" style="88" bestFit="1" customWidth="1"/>
    <col min="9" max="9" width="17.33203125" style="88" bestFit="1" customWidth="1"/>
    <col min="10" max="16384" width="10.9296875" style="88"/>
  </cols>
  <sheetData>
    <row r="20" spans="2:9" x14ac:dyDescent="0.45">
      <c r="B20" s="93"/>
      <c r="C20" s="93" t="s">
        <v>62</v>
      </c>
      <c r="D20" s="93" t="s">
        <v>63</v>
      </c>
      <c r="E20" s="93" t="s">
        <v>64</v>
      </c>
      <c r="F20" s="93" t="s">
        <v>65</v>
      </c>
      <c r="G20" s="93" t="s">
        <v>66</v>
      </c>
      <c r="H20" s="93" t="s">
        <v>67</v>
      </c>
      <c r="I20" s="93" t="s">
        <v>68</v>
      </c>
    </row>
    <row r="21" spans="2:9" x14ac:dyDescent="0.45">
      <c r="B21" s="89">
        <v>2021</v>
      </c>
      <c r="C21" s="89">
        <v>2004.33</v>
      </c>
      <c r="D21" s="90">
        <v>0.1449</v>
      </c>
      <c r="E21" s="90">
        <v>0.85509999999999997</v>
      </c>
      <c r="F21" s="90">
        <v>0.99990000000000001</v>
      </c>
      <c r="G21" s="90">
        <v>1E-4</v>
      </c>
      <c r="H21" s="89">
        <v>2.61</v>
      </c>
      <c r="I21" s="91">
        <f>+H21/C21</f>
        <v>1.3021807786143E-3</v>
      </c>
    </row>
    <row r="22" spans="2:9" x14ac:dyDescent="0.45">
      <c r="B22" s="89">
        <v>2022</v>
      </c>
      <c r="C22" s="89">
        <v>1849.54</v>
      </c>
      <c r="D22" s="90">
        <v>0.34489999999999998</v>
      </c>
      <c r="E22" s="90">
        <v>0.65510000000000002</v>
      </c>
      <c r="F22" s="90">
        <v>0.97699999999999998</v>
      </c>
      <c r="G22" s="90">
        <v>2.3E-2</v>
      </c>
      <c r="H22" s="89">
        <v>22.67</v>
      </c>
      <c r="I22" s="91">
        <f t="shared" ref="I22:I25" si="0">+H22/C22</f>
        <v>1.2257101765844481E-2</v>
      </c>
    </row>
    <row r="23" spans="2:9" x14ac:dyDescent="0.45">
      <c r="B23" s="89">
        <v>2023</v>
      </c>
      <c r="C23" s="89">
        <v>2001.01</v>
      </c>
      <c r="D23" s="92">
        <v>0.52</v>
      </c>
      <c r="E23" s="92">
        <v>0.48</v>
      </c>
      <c r="F23" s="90">
        <v>0.8256</v>
      </c>
      <c r="G23" s="90">
        <v>0.1744</v>
      </c>
      <c r="H23" s="89">
        <v>84</v>
      </c>
      <c r="I23" s="91">
        <f t="shared" si="0"/>
        <v>4.1978800705643651E-2</v>
      </c>
    </row>
    <row r="24" spans="2:9" x14ac:dyDescent="0.45">
      <c r="B24" s="89">
        <v>2024</v>
      </c>
      <c r="C24" s="89">
        <v>1893.34</v>
      </c>
      <c r="D24" s="90">
        <v>0.62790000000000001</v>
      </c>
      <c r="E24" s="90">
        <v>0.37209999999999999</v>
      </c>
      <c r="F24" s="90">
        <v>0.75590000000000002</v>
      </c>
      <c r="G24" s="90">
        <v>0.24410000000000001</v>
      </c>
      <c r="H24" s="89">
        <v>86</v>
      </c>
      <c r="I24" s="91">
        <f t="shared" si="0"/>
        <v>4.5422375273326501E-2</v>
      </c>
    </row>
    <row r="25" spans="2:9" x14ac:dyDescent="0.45">
      <c r="B25" s="89">
        <v>2025</v>
      </c>
      <c r="C25" s="89">
        <v>2009.67</v>
      </c>
      <c r="D25" s="90">
        <v>0.60540000000000005</v>
      </c>
      <c r="E25" s="90">
        <v>0.39460000000000001</v>
      </c>
      <c r="F25" s="90">
        <v>0.75660000000000005</v>
      </c>
      <c r="G25" s="90">
        <v>0.24340000000000001</v>
      </c>
      <c r="H25" s="89">
        <v>80.2</v>
      </c>
      <c r="I25" s="91">
        <f t="shared" si="0"/>
        <v>3.9907049416073287E-2</v>
      </c>
    </row>
    <row r="27" spans="2:9" x14ac:dyDescent="0.45">
      <c r="E27" s="94"/>
      <c r="H27" s="88">
        <f>+H25/12</f>
        <v>6.6833333333333336</v>
      </c>
    </row>
    <row r="28" spans="2:9" x14ac:dyDescent="0.45">
      <c r="H28" s="88">
        <f>+H27*4</f>
        <v>26.733333333333334</v>
      </c>
    </row>
    <row r="29" spans="2:9" x14ac:dyDescent="0.45">
      <c r="B29" s="93" t="s">
        <v>61</v>
      </c>
      <c r="C29" s="89">
        <v>2021</v>
      </c>
      <c r="D29" s="89">
        <v>2022</v>
      </c>
      <c r="E29" s="89">
        <v>2023</v>
      </c>
      <c r="F29" s="89">
        <v>2024</v>
      </c>
      <c r="G29" s="89">
        <v>2025</v>
      </c>
    </row>
    <row r="30" spans="2:9" x14ac:dyDescent="0.45">
      <c r="B30" s="93" t="s">
        <v>62</v>
      </c>
      <c r="C30" s="89">
        <v>2004.33</v>
      </c>
      <c r="D30" s="89">
        <v>1849.54</v>
      </c>
      <c r="E30" s="89">
        <v>2001.01</v>
      </c>
      <c r="F30" s="89">
        <v>1893.34</v>
      </c>
      <c r="G30" s="89"/>
    </row>
    <row r="31" spans="2:9" x14ac:dyDescent="0.45">
      <c r="B31" s="93" t="s">
        <v>63</v>
      </c>
      <c r="C31" s="90">
        <v>0.1449</v>
      </c>
      <c r="D31" s="90">
        <v>0.34489999999999998</v>
      </c>
      <c r="E31" s="92">
        <v>0.52</v>
      </c>
      <c r="F31" s="90">
        <v>0.62790000000000001</v>
      </c>
      <c r="G31" s="89"/>
    </row>
    <row r="32" spans="2:9" x14ac:dyDescent="0.45">
      <c r="B32" s="93" t="s">
        <v>64</v>
      </c>
      <c r="C32" s="90">
        <v>0.85509999999999997</v>
      </c>
      <c r="D32" s="90">
        <v>0.65510000000000002</v>
      </c>
      <c r="E32" s="92">
        <v>0.48</v>
      </c>
      <c r="F32" s="90">
        <v>0.37209999999999999</v>
      </c>
      <c r="G32" s="89"/>
    </row>
    <row r="33" spans="2:7" x14ac:dyDescent="0.45">
      <c r="B33" s="93" t="s">
        <v>65</v>
      </c>
      <c r="C33" s="90">
        <v>0.99990000000000001</v>
      </c>
      <c r="D33" s="90">
        <v>0.97699999999999998</v>
      </c>
      <c r="E33" s="90">
        <v>0.8256</v>
      </c>
      <c r="F33" s="90">
        <v>0.75590000000000002</v>
      </c>
      <c r="G33" s="89"/>
    </row>
    <row r="34" spans="2:7" x14ac:dyDescent="0.45">
      <c r="B34" s="93" t="s">
        <v>66</v>
      </c>
      <c r="C34" s="90">
        <v>1E-4</v>
      </c>
      <c r="D34" s="90">
        <v>2.3E-2</v>
      </c>
      <c r="E34" s="90">
        <v>0.1744</v>
      </c>
      <c r="F34" s="90">
        <v>0.24410000000000001</v>
      </c>
      <c r="G34" s="89"/>
    </row>
    <row r="35" spans="2:7" x14ac:dyDescent="0.45">
      <c r="B35" s="93" t="s">
        <v>67</v>
      </c>
      <c r="C35" s="89">
        <v>2.61</v>
      </c>
      <c r="D35" s="89">
        <v>22.67</v>
      </c>
      <c r="E35" s="89">
        <v>84</v>
      </c>
      <c r="F35" s="89">
        <v>86</v>
      </c>
      <c r="G35" s="89"/>
    </row>
    <row r="36" spans="2:7" x14ac:dyDescent="0.45">
      <c r="B36" s="93" t="s">
        <v>68</v>
      </c>
      <c r="C36" s="91">
        <f>+C35/C30</f>
        <v>1.3021807786143E-3</v>
      </c>
      <c r="D36" s="91">
        <f>+D35/D30</f>
        <v>1.2257101765844481E-2</v>
      </c>
      <c r="E36" s="91">
        <f>+E35/E30</f>
        <v>4.1978800705643651E-2</v>
      </c>
      <c r="F36" s="91">
        <f>+F35/F30</f>
        <v>4.5422375273326501E-2</v>
      </c>
      <c r="G36" s="8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2A24-4531-4D9D-AD76-C7A2FCFAA01F}">
  <dimension ref="A1"/>
  <sheetViews>
    <sheetView workbookViewId="0">
      <selection activeCell="O13" sqref="O13"/>
    </sheetView>
  </sheetViews>
  <sheetFormatPr baseColWidth="10" defaultRowHeight="14.25" x14ac:dyDescent="0.4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B865-5CA3-47AA-A97F-20ABEF7A52B3}">
  <dimension ref="A1:V1517"/>
  <sheetViews>
    <sheetView zoomScale="90" zoomScaleNormal="90" workbookViewId="0">
      <pane xSplit="1" ySplit="1" topLeftCell="H1471" activePane="bottomRight" state="frozen"/>
      <selection pane="topRight" activeCell="B1" sqref="B1"/>
      <selection pane="bottomLeft" activeCell="A2" sqref="A2"/>
      <selection pane="bottomRight" activeCell="Z1514" sqref="Z1514"/>
    </sheetView>
  </sheetViews>
  <sheetFormatPr baseColWidth="10" defaultRowHeight="14.25" x14ac:dyDescent="0.45"/>
  <cols>
    <col min="1" max="1" width="10.6640625" style="100"/>
    <col min="2" max="2" width="15.796875" style="101" customWidth="1"/>
    <col min="3" max="3" width="15.796875" style="103" bestFit="1" customWidth="1"/>
    <col min="4" max="4" width="15.33203125" bestFit="1" customWidth="1"/>
    <col min="5" max="5" width="15.796875" style="102" customWidth="1"/>
    <col min="6" max="6" width="15.796875" style="103" bestFit="1" customWidth="1"/>
    <col min="7" max="7" width="15.796875" bestFit="1" customWidth="1"/>
    <col min="8" max="8" width="15.796875" style="104" customWidth="1"/>
    <col min="9" max="9" width="11.6640625" bestFit="1" customWidth="1"/>
    <col min="10" max="10" width="15.46484375" bestFit="1" customWidth="1"/>
    <col min="11" max="11" width="15.46484375" style="105" customWidth="1"/>
    <col min="12" max="13" width="15.796875" style="103" bestFit="1" customWidth="1"/>
    <col min="14" max="14" width="13.33203125" style="103" bestFit="1" customWidth="1"/>
    <col min="15" max="15" width="14.33203125" style="103" bestFit="1" customWidth="1"/>
    <col min="16" max="17" width="10.6640625" style="103"/>
    <col min="18" max="21" width="10.6640625" style="113"/>
  </cols>
  <sheetData>
    <row r="1" spans="1:21" s="1" customFormat="1" ht="28.5" x14ac:dyDescent="0.45">
      <c r="A1" s="119" t="s">
        <v>20</v>
      </c>
      <c r="B1" s="120" t="s">
        <v>33</v>
      </c>
      <c r="C1" s="121" t="s">
        <v>69</v>
      </c>
      <c r="D1" s="121" t="s">
        <v>70</v>
      </c>
      <c r="E1" s="122" t="s">
        <v>88</v>
      </c>
      <c r="F1" s="121" t="s">
        <v>71</v>
      </c>
      <c r="G1" s="123" t="s">
        <v>72</v>
      </c>
      <c r="H1" s="124" t="s">
        <v>34</v>
      </c>
      <c r="I1" s="123" t="s">
        <v>73</v>
      </c>
      <c r="J1" s="123" t="s">
        <v>74</v>
      </c>
      <c r="K1" s="125" t="s">
        <v>75</v>
      </c>
      <c r="L1" s="121" t="s">
        <v>31</v>
      </c>
      <c r="M1" s="121" t="s">
        <v>87</v>
      </c>
      <c r="N1" s="121" t="s">
        <v>86</v>
      </c>
      <c r="O1" s="121" t="s">
        <v>85</v>
      </c>
      <c r="P1" s="121" t="s">
        <v>29</v>
      </c>
      <c r="Q1" s="121" t="s">
        <v>14</v>
      </c>
      <c r="R1" s="126" t="s">
        <v>43</v>
      </c>
      <c r="S1" s="126" t="s">
        <v>44</v>
      </c>
      <c r="T1" s="126" t="s">
        <v>45</v>
      </c>
      <c r="U1" s="126" t="s">
        <v>79</v>
      </c>
    </row>
    <row r="2" spans="1:21" x14ac:dyDescent="0.45">
      <c r="A2" s="95">
        <v>44562</v>
      </c>
      <c r="B2" s="96">
        <v>4660</v>
      </c>
      <c r="C2" s="7">
        <v>960.7</v>
      </c>
      <c r="D2" s="7">
        <f t="shared" ref="D2:D65" si="0">B2-C2</f>
        <v>3699.3</v>
      </c>
      <c r="E2" s="97">
        <v>1515</v>
      </c>
      <c r="F2" s="7">
        <v>140</v>
      </c>
      <c r="G2" s="7">
        <f t="shared" ref="G2:G65" si="1">E2-F2</f>
        <v>1375</v>
      </c>
      <c r="H2" s="98">
        <v>0</v>
      </c>
      <c r="I2" s="7">
        <v>0</v>
      </c>
      <c r="J2" s="7"/>
      <c r="K2" s="99">
        <f>B2+E2+H2</f>
        <v>6175</v>
      </c>
      <c r="L2" s="7">
        <v>0</v>
      </c>
      <c r="M2" s="7">
        <v>0</v>
      </c>
      <c r="N2" s="7">
        <v>0</v>
      </c>
      <c r="O2" s="7">
        <v>0</v>
      </c>
      <c r="P2" s="7">
        <v>4295.0082800500495</v>
      </c>
      <c r="Q2" s="7">
        <v>11924.98594436995</v>
      </c>
      <c r="R2" s="113">
        <f>C2/B2</f>
        <v>0.20615879828326181</v>
      </c>
      <c r="S2" s="113">
        <f>F2/E2</f>
        <v>9.2409240924092403E-2</v>
      </c>
      <c r="T2" s="113">
        <f>IF(H2=0,0,I2/H2)</f>
        <v>0</v>
      </c>
      <c r="U2" s="113">
        <f>AVERAGE(R2:T2)</f>
        <v>9.9522679735784728E-2</v>
      </c>
    </row>
    <row r="3" spans="1:21" x14ac:dyDescent="0.45">
      <c r="A3" s="95">
        <v>44563</v>
      </c>
      <c r="B3" s="96">
        <v>4660</v>
      </c>
      <c r="C3" s="7">
        <v>960.7</v>
      </c>
      <c r="D3" s="7">
        <f t="shared" si="0"/>
        <v>3699.3</v>
      </c>
      <c r="E3" s="97">
        <v>1515</v>
      </c>
      <c r="F3" s="7">
        <v>140</v>
      </c>
      <c r="G3" s="7">
        <f t="shared" si="1"/>
        <v>1375</v>
      </c>
      <c r="H3" s="98">
        <v>0</v>
      </c>
      <c r="I3" s="7">
        <v>0</v>
      </c>
      <c r="J3" s="7"/>
      <c r="K3" s="99">
        <f>B3+E3+H3</f>
        <v>6175</v>
      </c>
      <c r="L3" s="7">
        <v>0</v>
      </c>
      <c r="M3" s="7">
        <v>0</v>
      </c>
      <c r="N3" s="7">
        <v>0</v>
      </c>
      <c r="O3" s="7">
        <v>0</v>
      </c>
      <c r="P3" s="7">
        <v>4295.0082800500495</v>
      </c>
      <c r="Q3" s="7">
        <v>11924.98594436995</v>
      </c>
      <c r="R3" s="113">
        <f t="shared" ref="R3:R66" si="2">C3/B3</f>
        <v>0.20615879828326181</v>
      </c>
      <c r="S3" s="113">
        <f t="shared" ref="S3:S66" si="3">F3/E3</f>
        <v>9.2409240924092403E-2</v>
      </c>
      <c r="T3" s="113">
        <f t="shared" ref="T3:T66" si="4">IF(H3=0,0,I3/H3)</f>
        <v>0</v>
      </c>
      <c r="U3" s="113">
        <f t="shared" ref="U3:U66" si="5">AVERAGE(R3:T3)</f>
        <v>9.9522679735784728E-2</v>
      </c>
    </row>
    <row r="4" spans="1:21" x14ac:dyDescent="0.45">
      <c r="A4" s="95">
        <v>44564</v>
      </c>
      <c r="B4" s="96">
        <v>4660</v>
      </c>
      <c r="C4" s="7">
        <v>960.7</v>
      </c>
      <c r="D4" s="7">
        <f t="shared" si="0"/>
        <v>3699.3</v>
      </c>
      <c r="E4" s="97">
        <v>1515</v>
      </c>
      <c r="F4" s="7">
        <v>140</v>
      </c>
      <c r="G4" s="7">
        <f t="shared" si="1"/>
        <v>1375</v>
      </c>
      <c r="H4" s="98">
        <v>0</v>
      </c>
      <c r="I4" s="7">
        <v>0</v>
      </c>
      <c r="J4" s="7"/>
      <c r="K4" s="99">
        <f t="shared" ref="K4:K67" si="6">B4+E4+H4</f>
        <v>6175</v>
      </c>
      <c r="L4" s="7">
        <v>0</v>
      </c>
      <c r="M4" s="7">
        <v>0</v>
      </c>
      <c r="N4" s="7">
        <v>0</v>
      </c>
      <c r="O4" s="7">
        <v>0</v>
      </c>
      <c r="P4" s="7">
        <v>4295.0082800500495</v>
      </c>
      <c r="Q4" s="7">
        <v>11924.98594436995</v>
      </c>
      <c r="R4" s="113">
        <f t="shared" si="2"/>
        <v>0.20615879828326181</v>
      </c>
      <c r="S4" s="113">
        <f t="shared" si="3"/>
        <v>9.2409240924092403E-2</v>
      </c>
      <c r="T4" s="113">
        <f t="shared" si="4"/>
        <v>0</v>
      </c>
      <c r="U4" s="113">
        <f t="shared" si="5"/>
        <v>9.9522679735784728E-2</v>
      </c>
    </row>
    <row r="5" spans="1:21" x14ac:dyDescent="0.45">
      <c r="A5" s="95">
        <v>44565</v>
      </c>
      <c r="B5" s="96">
        <v>4660</v>
      </c>
      <c r="C5" s="7">
        <v>960.7</v>
      </c>
      <c r="D5" s="7">
        <f t="shared" si="0"/>
        <v>3699.3</v>
      </c>
      <c r="E5" s="97">
        <v>1515</v>
      </c>
      <c r="F5" s="7">
        <v>140</v>
      </c>
      <c r="G5" s="7">
        <f t="shared" si="1"/>
        <v>1375</v>
      </c>
      <c r="H5" s="98">
        <v>0</v>
      </c>
      <c r="I5" s="7">
        <v>0</v>
      </c>
      <c r="J5" s="7"/>
      <c r="K5" s="99">
        <f t="shared" si="6"/>
        <v>6175</v>
      </c>
      <c r="L5" s="7">
        <v>0</v>
      </c>
      <c r="M5" s="7">
        <v>0</v>
      </c>
      <c r="N5" s="7">
        <v>0</v>
      </c>
      <c r="O5" s="7">
        <v>0</v>
      </c>
      <c r="P5" s="7">
        <v>4295.0082800500495</v>
      </c>
      <c r="Q5" s="7">
        <v>11692.688345269949</v>
      </c>
      <c r="R5" s="113">
        <f t="shared" si="2"/>
        <v>0.20615879828326181</v>
      </c>
      <c r="S5" s="113">
        <f t="shared" si="3"/>
        <v>9.2409240924092403E-2</v>
      </c>
      <c r="T5" s="113">
        <f t="shared" si="4"/>
        <v>0</v>
      </c>
      <c r="U5" s="113">
        <f t="shared" si="5"/>
        <v>9.9522679735784728E-2</v>
      </c>
    </row>
    <row r="6" spans="1:21" x14ac:dyDescent="0.45">
      <c r="A6" s="95">
        <v>44566</v>
      </c>
      <c r="B6" s="96">
        <v>4610</v>
      </c>
      <c r="C6" s="7">
        <v>960.7</v>
      </c>
      <c r="D6" s="7">
        <f t="shared" si="0"/>
        <v>3649.3</v>
      </c>
      <c r="E6" s="97">
        <v>1515</v>
      </c>
      <c r="F6" s="7">
        <v>140</v>
      </c>
      <c r="G6" s="7">
        <f t="shared" si="1"/>
        <v>1375</v>
      </c>
      <c r="H6" s="98">
        <v>0</v>
      </c>
      <c r="I6" s="7">
        <v>0</v>
      </c>
      <c r="J6" s="7"/>
      <c r="K6" s="99">
        <f t="shared" si="6"/>
        <v>6125</v>
      </c>
      <c r="L6" s="7">
        <v>0</v>
      </c>
      <c r="M6" s="7">
        <v>0</v>
      </c>
      <c r="N6" s="7">
        <v>0</v>
      </c>
      <c r="O6" s="7">
        <v>0</v>
      </c>
      <c r="P6" s="7">
        <v>4295.0082800500495</v>
      </c>
      <c r="Q6" s="7">
        <v>11640.779772229951</v>
      </c>
      <c r="R6" s="113">
        <f t="shared" si="2"/>
        <v>0.2083947939262473</v>
      </c>
      <c r="S6" s="113">
        <f t="shared" si="3"/>
        <v>9.2409240924092403E-2</v>
      </c>
      <c r="T6" s="113">
        <f t="shared" si="4"/>
        <v>0</v>
      </c>
      <c r="U6" s="113">
        <f t="shared" si="5"/>
        <v>0.1002680116167799</v>
      </c>
    </row>
    <row r="7" spans="1:21" x14ac:dyDescent="0.45">
      <c r="A7" s="95">
        <v>44567</v>
      </c>
      <c r="B7" s="96">
        <v>4610</v>
      </c>
      <c r="C7" s="7">
        <v>960.7</v>
      </c>
      <c r="D7" s="7">
        <f t="shared" si="0"/>
        <v>3649.3</v>
      </c>
      <c r="E7" s="97">
        <v>1515</v>
      </c>
      <c r="F7" s="7">
        <v>140</v>
      </c>
      <c r="G7" s="7">
        <f t="shared" si="1"/>
        <v>1375</v>
      </c>
      <c r="H7" s="98">
        <v>0</v>
      </c>
      <c r="I7" s="7">
        <v>0</v>
      </c>
      <c r="J7" s="7"/>
      <c r="K7" s="99">
        <f t="shared" si="6"/>
        <v>6125</v>
      </c>
      <c r="L7" s="7">
        <v>0</v>
      </c>
      <c r="M7" s="7">
        <v>0</v>
      </c>
      <c r="N7" s="7">
        <v>0</v>
      </c>
      <c r="O7" s="7">
        <v>0</v>
      </c>
      <c r="P7" s="7">
        <v>4295.0082800500495</v>
      </c>
      <c r="Q7" s="7">
        <v>11417.00310872995</v>
      </c>
      <c r="R7" s="113">
        <f t="shared" si="2"/>
        <v>0.2083947939262473</v>
      </c>
      <c r="S7" s="113">
        <f t="shared" si="3"/>
        <v>9.2409240924092403E-2</v>
      </c>
      <c r="T7" s="113">
        <f t="shared" si="4"/>
        <v>0</v>
      </c>
      <c r="U7" s="113">
        <f t="shared" si="5"/>
        <v>0.1002680116167799</v>
      </c>
    </row>
    <row r="8" spans="1:21" x14ac:dyDescent="0.45">
      <c r="A8" s="95">
        <v>44568</v>
      </c>
      <c r="B8" s="96">
        <v>4610</v>
      </c>
      <c r="C8" s="7">
        <v>960.7</v>
      </c>
      <c r="D8" s="7">
        <f t="shared" si="0"/>
        <v>3649.3</v>
      </c>
      <c r="E8" s="97">
        <v>1515</v>
      </c>
      <c r="F8" s="7">
        <v>140</v>
      </c>
      <c r="G8" s="7">
        <f t="shared" si="1"/>
        <v>1375</v>
      </c>
      <c r="H8" s="98">
        <v>0</v>
      </c>
      <c r="I8" s="7">
        <v>0</v>
      </c>
      <c r="J8" s="7"/>
      <c r="K8" s="99">
        <f t="shared" si="6"/>
        <v>6125</v>
      </c>
      <c r="L8" s="7">
        <v>0</v>
      </c>
      <c r="M8" s="7">
        <v>0</v>
      </c>
      <c r="N8" s="7">
        <v>0</v>
      </c>
      <c r="O8" s="7">
        <v>0</v>
      </c>
      <c r="P8" s="7">
        <v>4295.0082800500495</v>
      </c>
      <c r="Q8" s="7">
        <v>11240.911006639952</v>
      </c>
      <c r="R8" s="113">
        <f t="shared" si="2"/>
        <v>0.2083947939262473</v>
      </c>
      <c r="S8" s="113">
        <f t="shared" si="3"/>
        <v>9.2409240924092403E-2</v>
      </c>
      <c r="T8" s="113">
        <f t="shared" si="4"/>
        <v>0</v>
      </c>
      <c r="U8" s="113">
        <f t="shared" si="5"/>
        <v>0.1002680116167799</v>
      </c>
    </row>
    <row r="9" spans="1:21" x14ac:dyDescent="0.45">
      <c r="A9" s="95">
        <v>44569</v>
      </c>
      <c r="B9" s="96">
        <v>4610</v>
      </c>
      <c r="C9" s="7">
        <v>960.7</v>
      </c>
      <c r="D9" s="7">
        <f t="shared" si="0"/>
        <v>3649.3</v>
      </c>
      <c r="E9" s="97">
        <v>1515</v>
      </c>
      <c r="F9" s="7">
        <v>140</v>
      </c>
      <c r="G9" s="7">
        <f t="shared" si="1"/>
        <v>1375</v>
      </c>
      <c r="H9" s="98">
        <v>0</v>
      </c>
      <c r="I9" s="7">
        <v>0</v>
      </c>
      <c r="J9" s="7"/>
      <c r="K9" s="99">
        <f t="shared" si="6"/>
        <v>6125</v>
      </c>
      <c r="L9" s="7">
        <v>0</v>
      </c>
      <c r="M9" s="7">
        <v>0</v>
      </c>
      <c r="N9" s="7">
        <v>0</v>
      </c>
      <c r="O9" s="7">
        <v>0</v>
      </c>
      <c r="P9" s="7">
        <v>4295.0082800500495</v>
      </c>
      <c r="Q9" s="7">
        <v>11240.911006639952</v>
      </c>
      <c r="R9" s="113">
        <f t="shared" si="2"/>
        <v>0.2083947939262473</v>
      </c>
      <c r="S9" s="113">
        <f t="shared" si="3"/>
        <v>9.2409240924092403E-2</v>
      </c>
      <c r="T9" s="113">
        <f t="shared" si="4"/>
        <v>0</v>
      </c>
      <c r="U9" s="113">
        <f t="shared" si="5"/>
        <v>0.1002680116167799</v>
      </c>
    </row>
    <row r="10" spans="1:21" x14ac:dyDescent="0.45">
      <c r="A10" s="95">
        <v>44570</v>
      </c>
      <c r="B10" s="96">
        <v>4610</v>
      </c>
      <c r="C10" s="7">
        <v>960.7</v>
      </c>
      <c r="D10" s="7">
        <f t="shared" si="0"/>
        <v>3649.3</v>
      </c>
      <c r="E10" s="97">
        <v>1515</v>
      </c>
      <c r="F10" s="7">
        <v>140</v>
      </c>
      <c r="G10" s="7">
        <f t="shared" si="1"/>
        <v>1375</v>
      </c>
      <c r="H10" s="98">
        <v>0</v>
      </c>
      <c r="I10" s="7">
        <v>0</v>
      </c>
      <c r="J10" s="7"/>
      <c r="K10" s="99">
        <f t="shared" si="6"/>
        <v>6125</v>
      </c>
      <c r="L10" s="7">
        <v>0</v>
      </c>
      <c r="M10" s="7">
        <v>0</v>
      </c>
      <c r="N10" s="7">
        <v>0</v>
      </c>
      <c r="O10" s="7">
        <v>0</v>
      </c>
      <c r="P10" s="7">
        <v>4295.0082800500495</v>
      </c>
      <c r="Q10" s="7">
        <v>11240.911006639952</v>
      </c>
      <c r="R10" s="113">
        <f t="shared" si="2"/>
        <v>0.2083947939262473</v>
      </c>
      <c r="S10" s="113">
        <f t="shared" si="3"/>
        <v>9.2409240924092403E-2</v>
      </c>
      <c r="T10" s="113">
        <f t="shared" si="4"/>
        <v>0</v>
      </c>
      <c r="U10" s="113">
        <f t="shared" si="5"/>
        <v>0.1002680116167799</v>
      </c>
    </row>
    <row r="11" spans="1:21" x14ac:dyDescent="0.45">
      <c r="A11" s="95">
        <v>44571</v>
      </c>
      <c r="B11" s="96">
        <v>4610</v>
      </c>
      <c r="C11" s="7">
        <v>960.7</v>
      </c>
      <c r="D11" s="7">
        <f t="shared" si="0"/>
        <v>3649.3</v>
      </c>
      <c r="E11" s="97">
        <v>1515</v>
      </c>
      <c r="F11" s="7">
        <v>140</v>
      </c>
      <c r="G11" s="7">
        <f t="shared" si="1"/>
        <v>1375</v>
      </c>
      <c r="H11" s="98">
        <v>0</v>
      </c>
      <c r="I11" s="7">
        <v>0</v>
      </c>
      <c r="J11" s="7"/>
      <c r="K11" s="99">
        <f t="shared" si="6"/>
        <v>6125</v>
      </c>
      <c r="L11" s="7">
        <v>0</v>
      </c>
      <c r="M11" s="7">
        <v>0</v>
      </c>
      <c r="N11" s="7">
        <v>0</v>
      </c>
      <c r="O11" s="7">
        <v>0</v>
      </c>
      <c r="P11" s="7">
        <v>4295.0082800500495</v>
      </c>
      <c r="Q11" s="7">
        <v>11266.359281019952</v>
      </c>
      <c r="R11" s="113">
        <f t="shared" si="2"/>
        <v>0.2083947939262473</v>
      </c>
      <c r="S11" s="113">
        <f t="shared" si="3"/>
        <v>9.2409240924092403E-2</v>
      </c>
      <c r="T11" s="113">
        <f t="shared" si="4"/>
        <v>0</v>
      </c>
      <c r="U11" s="113">
        <f t="shared" si="5"/>
        <v>0.1002680116167799</v>
      </c>
    </row>
    <row r="12" spans="1:21" x14ac:dyDescent="0.45">
      <c r="A12" s="95">
        <v>44572</v>
      </c>
      <c r="B12" s="96">
        <v>4610</v>
      </c>
      <c r="C12" s="7">
        <v>960.7</v>
      </c>
      <c r="D12" s="7">
        <f t="shared" si="0"/>
        <v>3649.3</v>
      </c>
      <c r="E12" s="97">
        <v>1515</v>
      </c>
      <c r="F12" s="7">
        <v>140</v>
      </c>
      <c r="G12" s="7">
        <f t="shared" si="1"/>
        <v>1375</v>
      </c>
      <c r="H12" s="98">
        <v>0</v>
      </c>
      <c r="I12" s="7">
        <v>0</v>
      </c>
      <c r="J12" s="7"/>
      <c r="K12" s="99">
        <f t="shared" si="6"/>
        <v>6125</v>
      </c>
      <c r="L12" s="7">
        <v>0</v>
      </c>
      <c r="M12" s="7">
        <v>0</v>
      </c>
      <c r="N12" s="7">
        <v>0</v>
      </c>
      <c r="O12" s="7">
        <v>0</v>
      </c>
      <c r="P12" s="7">
        <v>4295.0082800500495</v>
      </c>
      <c r="Q12" s="7">
        <v>11428.856957569948</v>
      </c>
      <c r="R12" s="113">
        <f t="shared" si="2"/>
        <v>0.2083947939262473</v>
      </c>
      <c r="S12" s="113">
        <f t="shared" si="3"/>
        <v>9.2409240924092403E-2</v>
      </c>
      <c r="T12" s="113">
        <f t="shared" si="4"/>
        <v>0</v>
      </c>
      <c r="U12" s="113">
        <f t="shared" si="5"/>
        <v>0.1002680116167799</v>
      </c>
    </row>
    <row r="13" spans="1:21" x14ac:dyDescent="0.45">
      <c r="A13" s="95">
        <v>44573</v>
      </c>
      <c r="B13" s="96">
        <v>4710</v>
      </c>
      <c r="C13" s="7">
        <v>960.7</v>
      </c>
      <c r="D13" s="7">
        <f t="shared" si="0"/>
        <v>3749.3</v>
      </c>
      <c r="E13" s="97">
        <v>1515</v>
      </c>
      <c r="F13" s="7">
        <v>140</v>
      </c>
      <c r="G13" s="7">
        <f t="shared" si="1"/>
        <v>1375</v>
      </c>
      <c r="H13" s="98">
        <v>0</v>
      </c>
      <c r="I13" s="7">
        <v>0</v>
      </c>
      <c r="J13" s="7"/>
      <c r="K13" s="99">
        <f t="shared" si="6"/>
        <v>6225</v>
      </c>
      <c r="L13" s="7">
        <v>0</v>
      </c>
      <c r="M13" s="7">
        <v>0</v>
      </c>
      <c r="N13" s="7">
        <v>0</v>
      </c>
      <c r="O13" s="7">
        <v>0</v>
      </c>
      <c r="P13" s="7">
        <v>4295.0082800500495</v>
      </c>
      <c r="Q13" s="7">
        <v>10622.882109199951</v>
      </c>
      <c r="R13" s="113">
        <f t="shared" si="2"/>
        <v>0.20397027600849257</v>
      </c>
      <c r="S13" s="113">
        <f t="shared" si="3"/>
        <v>9.2409240924092403E-2</v>
      </c>
      <c r="T13" s="113">
        <f t="shared" si="4"/>
        <v>0</v>
      </c>
      <c r="U13" s="113">
        <f t="shared" si="5"/>
        <v>9.8793172310861654E-2</v>
      </c>
    </row>
    <row r="14" spans="1:21" x14ac:dyDescent="0.45">
      <c r="A14" s="95">
        <v>44574</v>
      </c>
      <c r="B14" s="96">
        <v>4710</v>
      </c>
      <c r="C14" s="7">
        <v>960.7</v>
      </c>
      <c r="D14" s="7">
        <f t="shared" si="0"/>
        <v>3749.3</v>
      </c>
      <c r="E14" s="97">
        <v>1515</v>
      </c>
      <c r="F14" s="7">
        <v>140</v>
      </c>
      <c r="G14" s="7">
        <f t="shared" si="1"/>
        <v>1375</v>
      </c>
      <c r="H14" s="98">
        <v>0</v>
      </c>
      <c r="I14" s="7">
        <v>0</v>
      </c>
      <c r="J14" s="7"/>
      <c r="K14" s="99">
        <f t="shared" si="6"/>
        <v>6225</v>
      </c>
      <c r="L14" s="7">
        <v>0</v>
      </c>
      <c r="M14" s="7">
        <v>0</v>
      </c>
      <c r="N14" s="7">
        <v>0</v>
      </c>
      <c r="O14" s="7">
        <v>0</v>
      </c>
      <c r="P14" s="7">
        <v>4295.0082800500495</v>
      </c>
      <c r="Q14" s="7">
        <v>10469.727763129949</v>
      </c>
      <c r="R14" s="113">
        <f t="shared" si="2"/>
        <v>0.20397027600849257</v>
      </c>
      <c r="S14" s="113">
        <f t="shared" si="3"/>
        <v>9.2409240924092403E-2</v>
      </c>
      <c r="T14" s="113">
        <f t="shared" si="4"/>
        <v>0</v>
      </c>
      <c r="U14" s="113">
        <f t="shared" si="5"/>
        <v>9.8793172310861654E-2</v>
      </c>
    </row>
    <row r="15" spans="1:21" x14ac:dyDescent="0.45">
      <c r="A15" s="95">
        <v>44575</v>
      </c>
      <c r="B15" s="96">
        <v>4710</v>
      </c>
      <c r="C15" s="7">
        <v>960.7</v>
      </c>
      <c r="D15" s="7">
        <f t="shared" si="0"/>
        <v>3749.3</v>
      </c>
      <c r="E15" s="97">
        <v>1515</v>
      </c>
      <c r="F15" s="7">
        <v>140</v>
      </c>
      <c r="G15" s="7">
        <f t="shared" si="1"/>
        <v>1375</v>
      </c>
      <c r="H15" s="98">
        <v>0</v>
      </c>
      <c r="I15" s="7">
        <v>0</v>
      </c>
      <c r="J15" s="7"/>
      <c r="K15" s="99">
        <f t="shared" si="6"/>
        <v>6225</v>
      </c>
      <c r="L15" s="7">
        <v>0</v>
      </c>
      <c r="M15" s="7">
        <v>0</v>
      </c>
      <c r="N15" s="7">
        <v>0</v>
      </c>
      <c r="O15" s="7">
        <v>0</v>
      </c>
      <c r="P15" s="7">
        <v>4295.0082800500495</v>
      </c>
      <c r="Q15" s="7">
        <v>10278.069446279951</v>
      </c>
      <c r="R15" s="113">
        <f t="shared" si="2"/>
        <v>0.20397027600849257</v>
      </c>
      <c r="S15" s="113">
        <f t="shared" si="3"/>
        <v>9.2409240924092403E-2</v>
      </c>
      <c r="T15" s="113">
        <f t="shared" si="4"/>
        <v>0</v>
      </c>
      <c r="U15" s="113">
        <f t="shared" si="5"/>
        <v>9.8793172310861654E-2</v>
      </c>
    </row>
    <row r="16" spans="1:21" x14ac:dyDescent="0.45">
      <c r="A16" s="95">
        <v>44576</v>
      </c>
      <c r="B16" s="96">
        <v>4710</v>
      </c>
      <c r="C16" s="7">
        <v>960.7</v>
      </c>
      <c r="D16" s="7">
        <f t="shared" si="0"/>
        <v>3749.3</v>
      </c>
      <c r="E16" s="97">
        <v>1515</v>
      </c>
      <c r="F16" s="7">
        <v>140</v>
      </c>
      <c r="G16" s="7">
        <f t="shared" si="1"/>
        <v>1375</v>
      </c>
      <c r="H16" s="98">
        <v>0</v>
      </c>
      <c r="I16" s="7">
        <v>0</v>
      </c>
      <c r="J16" s="7"/>
      <c r="K16" s="99">
        <f t="shared" si="6"/>
        <v>6225</v>
      </c>
      <c r="L16" s="7">
        <v>0</v>
      </c>
      <c r="M16" s="7">
        <v>0</v>
      </c>
      <c r="N16" s="7">
        <v>0</v>
      </c>
      <c r="O16" s="7">
        <v>0</v>
      </c>
      <c r="P16" s="7">
        <v>4295.0082800500495</v>
      </c>
      <c r="Q16" s="7">
        <v>10278.069446279951</v>
      </c>
      <c r="R16" s="113">
        <f t="shared" si="2"/>
        <v>0.20397027600849257</v>
      </c>
      <c r="S16" s="113">
        <f t="shared" si="3"/>
        <v>9.2409240924092403E-2</v>
      </c>
      <c r="T16" s="113">
        <f t="shared" si="4"/>
        <v>0</v>
      </c>
      <c r="U16" s="113">
        <f t="shared" si="5"/>
        <v>9.8793172310861654E-2</v>
      </c>
    </row>
    <row r="17" spans="1:21" x14ac:dyDescent="0.45">
      <c r="A17" s="95">
        <v>44577</v>
      </c>
      <c r="B17" s="96">
        <v>4710</v>
      </c>
      <c r="C17" s="7">
        <v>960.7</v>
      </c>
      <c r="D17" s="7">
        <f t="shared" si="0"/>
        <v>3749.3</v>
      </c>
      <c r="E17" s="97">
        <v>1515</v>
      </c>
      <c r="F17" s="7">
        <v>140</v>
      </c>
      <c r="G17" s="7">
        <f t="shared" si="1"/>
        <v>1375</v>
      </c>
      <c r="H17" s="98">
        <v>0</v>
      </c>
      <c r="I17" s="7">
        <v>0</v>
      </c>
      <c r="J17" s="7"/>
      <c r="K17" s="99">
        <f t="shared" si="6"/>
        <v>6225</v>
      </c>
      <c r="L17" s="7">
        <v>0</v>
      </c>
      <c r="M17" s="7">
        <v>0</v>
      </c>
      <c r="N17" s="7">
        <v>0</v>
      </c>
      <c r="O17" s="7">
        <v>0</v>
      </c>
      <c r="P17" s="7">
        <v>4295.0082800500495</v>
      </c>
      <c r="Q17" s="7">
        <v>10278.069446279951</v>
      </c>
      <c r="R17" s="113">
        <f t="shared" si="2"/>
        <v>0.20397027600849257</v>
      </c>
      <c r="S17" s="113">
        <f t="shared" si="3"/>
        <v>9.2409240924092403E-2</v>
      </c>
      <c r="T17" s="113">
        <f t="shared" si="4"/>
        <v>0</v>
      </c>
      <c r="U17" s="113">
        <f t="shared" si="5"/>
        <v>9.8793172310861654E-2</v>
      </c>
    </row>
    <row r="18" spans="1:21" x14ac:dyDescent="0.45">
      <c r="A18" s="95">
        <v>44578</v>
      </c>
      <c r="B18" s="96">
        <v>4710</v>
      </c>
      <c r="C18" s="7">
        <v>960.7</v>
      </c>
      <c r="D18" s="7">
        <f t="shared" si="0"/>
        <v>3749.3</v>
      </c>
      <c r="E18" s="97">
        <v>1515</v>
      </c>
      <c r="F18" s="7">
        <v>140</v>
      </c>
      <c r="G18" s="7">
        <f t="shared" si="1"/>
        <v>1375</v>
      </c>
      <c r="H18" s="98">
        <v>0</v>
      </c>
      <c r="I18" s="7">
        <v>0</v>
      </c>
      <c r="J18" s="7"/>
      <c r="K18" s="99">
        <f t="shared" si="6"/>
        <v>6225</v>
      </c>
      <c r="L18" s="7">
        <v>0</v>
      </c>
      <c r="M18" s="7">
        <v>0</v>
      </c>
      <c r="N18" s="7">
        <v>0</v>
      </c>
      <c r="O18" s="7">
        <v>0</v>
      </c>
      <c r="P18" s="7">
        <v>4295.0082800500495</v>
      </c>
      <c r="Q18" s="7">
        <v>9500.4313766999512</v>
      </c>
      <c r="R18" s="113">
        <f t="shared" si="2"/>
        <v>0.20397027600849257</v>
      </c>
      <c r="S18" s="113">
        <f t="shared" si="3"/>
        <v>9.2409240924092403E-2</v>
      </c>
      <c r="T18" s="113">
        <f t="shared" si="4"/>
        <v>0</v>
      </c>
      <c r="U18" s="113">
        <f t="shared" si="5"/>
        <v>9.8793172310861654E-2</v>
      </c>
    </row>
    <row r="19" spans="1:21" x14ac:dyDescent="0.45">
      <c r="A19" s="95">
        <v>44579</v>
      </c>
      <c r="B19" s="96">
        <v>4710</v>
      </c>
      <c r="C19" s="7">
        <v>960.7</v>
      </c>
      <c r="D19" s="7">
        <f t="shared" si="0"/>
        <v>3749.3</v>
      </c>
      <c r="E19" s="97">
        <v>1515</v>
      </c>
      <c r="F19" s="7">
        <v>140</v>
      </c>
      <c r="G19" s="7">
        <f t="shared" si="1"/>
        <v>1375</v>
      </c>
      <c r="H19" s="98">
        <v>0</v>
      </c>
      <c r="I19" s="7">
        <v>0</v>
      </c>
      <c r="J19" s="7"/>
      <c r="K19" s="99">
        <f t="shared" si="6"/>
        <v>6225</v>
      </c>
      <c r="L19" s="7">
        <v>0</v>
      </c>
      <c r="M19" s="7">
        <v>0</v>
      </c>
      <c r="N19" s="7">
        <v>0</v>
      </c>
      <c r="O19" s="7">
        <v>0</v>
      </c>
      <c r="P19" s="7">
        <v>4295.0082800500495</v>
      </c>
      <c r="Q19" s="7">
        <v>9087.4567485799489</v>
      </c>
      <c r="R19" s="113">
        <f t="shared" si="2"/>
        <v>0.20397027600849257</v>
      </c>
      <c r="S19" s="113">
        <f t="shared" si="3"/>
        <v>9.2409240924092403E-2</v>
      </c>
      <c r="T19" s="113">
        <f t="shared" si="4"/>
        <v>0</v>
      </c>
      <c r="U19" s="113">
        <f t="shared" si="5"/>
        <v>9.8793172310861654E-2</v>
      </c>
    </row>
    <row r="20" spans="1:21" x14ac:dyDescent="0.45">
      <c r="A20" s="95">
        <v>44580</v>
      </c>
      <c r="B20" s="96">
        <v>4808</v>
      </c>
      <c r="C20" s="7">
        <v>960.7</v>
      </c>
      <c r="D20" s="7">
        <f t="shared" si="0"/>
        <v>3847.3</v>
      </c>
      <c r="E20" s="97">
        <v>1515</v>
      </c>
      <c r="F20" s="7">
        <v>140</v>
      </c>
      <c r="G20" s="7">
        <f t="shared" si="1"/>
        <v>1375</v>
      </c>
      <c r="H20" s="98">
        <v>0</v>
      </c>
      <c r="I20" s="7">
        <v>0</v>
      </c>
      <c r="J20" s="7"/>
      <c r="K20" s="99">
        <f t="shared" si="6"/>
        <v>6323</v>
      </c>
      <c r="L20" s="7">
        <v>0</v>
      </c>
      <c r="M20" s="7">
        <v>0</v>
      </c>
      <c r="N20" s="7">
        <v>0</v>
      </c>
      <c r="O20" s="7">
        <v>0</v>
      </c>
      <c r="P20" s="7">
        <v>4295.0082800500495</v>
      </c>
      <c r="Q20" s="7">
        <v>9058.2051912199495</v>
      </c>
      <c r="R20" s="113">
        <f t="shared" si="2"/>
        <v>0.19981281198003328</v>
      </c>
      <c r="S20" s="113">
        <f t="shared" si="3"/>
        <v>9.2409240924092403E-2</v>
      </c>
      <c r="T20" s="113">
        <f t="shared" si="4"/>
        <v>0</v>
      </c>
      <c r="U20" s="113">
        <f t="shared" si="5"/>
        <v>9.7407350968041886E-2</v>
      </c>
    </row>
    <row r="21" spans="1:21" x14ac:dyDescent="0.45">
      <c r="A21" s="95">
        <v>44581</v>
      </c>
      <c r="B21" s="96">
        <v>4808</v>
      </c>
      <c r="C21" s="7">
        <v>1008.7</v>
      </c>
      <c r="D21" s="7">
        <f t="shared" si="0"/>
        <v>3799.3</v>
      </c>
      <c r="E21" s="97">
        <v>1515</v>
      </c>
      <c r="F21" s="7">
        <v>140</v>
      </c>
      <c r="G21" s="7">
        <f t="shared" si="1"/>
        <v>1375</v>
      </c>
      <c r="H21" s="98">
        <v>0</v>
      </c>
      <c r="I21" s="7">
        <v>0</v>
      </c>
      <c r="J21" s="7"/>
      <c r="K21" s="99">
        <f t="shared" si="6"/>
        <v>6323</v>
      </c>
      <c r="L21" s="7">
        <v>0</v>
      </c>
      <c r="M21" s="7">
        <v>0</v>
      </c>
      <c r="N21" s="7">
        <v>0</v>
      </c>
      <c r="O21" s="7">
        <v>0</v>
      </c>
      <c r="P21" s="7">
        <v>4295.0082800500495</v>
      </c>
      <c r="Q21" s="7">
        <v>9076.8065751099493</v>
      </c>
      <c r="R21" s="113">
        <f t="shared" si="2"/>
        <v>0.20979617304492512</v>
      </c>
      <c r="S21" s="113">
        <f t="shared" si="3"/>
        <v>9.2409240924092403E-2</v>
      </c>
      <c r="T21" s="113">
        <f t="shared" si="4"/>
        <v>0</v>
      </c>
      <c r="U21" s="113">
        <f t="shared" si="5"/>
        <v>0.1007351379896725</v>
      </c>
    </row>
    <row r="22" spans="1:21" x14ac:dyDescent="0.45">
      <c r="A22" s="95">
        <v>44582</v>
      </c>
      <c r="B22" s="96">
        <v>4808</v>
      </c>
      <c r="C22" s="7">
        <v>1008.7</v>
      </c>
      <c r="D22" s="7">
        <f t="shared" si="0"/>
        <v>3799.3</v>
      </c>
      <c r="E22" s="97">
        <v>1515</v>
      </c>
      <c r="F22" s="7">
        <v>140</v>
      </c>
      <c r="G22" s="7">
        <f t="shared" si="1"/>
        <v>1375</v>
      </c>
      <c r="H22" s="98">
        <v>0</v>
      </c>
      <c r="I22" s="7">
        <v>0</v>
      </c>
      <c r="J22" s="7"/>
      <c r="K22" s="99">
        <f t="shared" si="6"/>
        <v>6323</v>
      </c>
      <c r="L22" s="7">
        <v>0</v>
      </c>
      <c r="M22" s="7">
        <v>0</v>
      </c>
      <c r="N22" s="7">
        <v>0</v>
      </c>
      <c r="O22" s="7">
        <v>0</v>
      </c>
      <c r="P22" s="7">
        <v>4295.0082800500495</v>
      </c>
      <c r="Q22" s="7">
        <v>8968.9483451499509</v>
      </c>
      <c r="R22" s="113">
        <f t="shared" si="2"/>
        <v>0.20979617304492512</v>
      </c>
      <c r="S22" s="113">
        <f t="shared" si="3"/>
        <v>9.2409240924092403E-2</v>
      </c>
      <c r="T22" s="113">
        <f t="shared" si="4"/>
        <v>0</v>
      </c>
      <c r="U22" s="113">
        <f t="shared" si="5"/>
        <v>0.1007351379896725</v>
      </c>
    </row>
    <row r="23" spans="1:21" x14ac:dyDescent="0.45">
      <c r="A23" s="95">
        <v>44583</v>
      </c>
      <c r="B23" s="96">
        <v>4808</v>
      </c>
      <c r="C23" s="7">
        <v>1008.7</v>
      </c>
      <c r="D23" s="7">
        <f t="shared" si="0"/>
        <v>3799.3</v>
      </c>
      <c r="E23" s="97">
        <v>1515</v>
      </c>
      <c r="F23" s="7">
        <v>140</v>
      </c>
      <c r="G23" s="7">
        <f t="shared" si="1"/>
        <v>1375</v>
      </c>
      <c r="H23" s="98">
        <v>0</v>
      </c>
      <c r="I23" s="7">
        <v>0</v>
      </c>
      <c r="J23" s="7"/>
      <c r="K23" s="99">
        <f t="shared" si="6"/>
        <v>6323</v>
      </c>
      <c r="L23" s="7">
        <v>0</v>
      </c>
      <c r="M23" s="7">
        <v>0</v>
      </c>
      <c r="N23" s="7">
        <v>0</v>
      </c>
      <c r="O23" s="7">
        <v>0</v>
      </c>
      <c r="P23" s="7">
        <v>4295.0082800500495</v>
      </c>
      <c r="Q23" s="7">
        <v>8968.9483451499509</v>
      </c>
      <c r="R23" s="113">
        <f t="shared" si="2"/>
        <v>0.20979617304492512</v>
      </c>
      <c r="S23" s="113">
        <f t="shared" si="3"/>
        <v>9.2409240924092403E-2</v>
      </c>
      <c r="T23" s="113">
        <f t="shared" si="4"/>
        <v>0</v>
      </c>
      <c r="U23" s="113">
        <f t="shared" si="5"/>
        <v>0.1007351379896725</v>
      </c>
    </row>
    <row r="24" spans="1:21" x14ac:dyDescent="0.45">
      <c r="A24" s="95">
        <v>44584</v>
      </c>
      <c r="B24" s="96">
        <v>4808</v>
      </c>
      <c r="C24" s="7">
        <v>1008.7</v>
      </c>
      <c r="D24" s="7">
        <f t="shared" si="0"/>
        <v>3799.3</v>
      </c>
      <c r="E24" s="97">
        <v>1515</v>
      </c>
      <c r="F24" s="7">
        <v>140</v>
      </c>
      <c r="G24" s="7">
        <f t="shared" si="1"/>
        <v>1375</v>
      </c>
      <c r="H24" s="98">
        <v>0</v>
      </c>
      <c r="I24" s="7">
        <v>0</v>
      </c>
      <c r="J24" s="7"/>
      <c r="K24" s="99">
        <f t="shared" si="6"/>
        <v>6323</v>
      </c>
      <c r="L24" s="7">
        <v>0</v>
      </c>
      <c r="M24" s="7">
        <v>0</v>
      </c>
      <c r="N24" s="7">
        <v>0</v>
      </c>
      <c r="O24" s="7">
        <v>0</v>
      </c>
      <c r="P24" s="7">
        <v>4295.0082800500495</v>
      </c>
      <c r="Q24" s="7">
        <v>8968.9483451499509</v>
      </c>
      <c r="R24" s="113">
        <f t="shared" si="2"/>
        <v>0.20979617304492512</v>
      </c>
      <c r="S24" s="113">
        <f t="shared" si="3"/>
        <v>9.2409240924092403E-2</v>
      </c>
      <c r="T24" s="113">
        <f t="shared" si="4"/>
        <v>0</v>
      </c>
      <c r="U24" s="113">
        <f t="shared" si="5"/>
        <v>0.1007351379896725</v>
      </c>
    </row>
    <row r="25" spans="1:21" x14ac:dyDescent="0.45">
      <c r="A25" s="95">
        <v>44585</v>
      </c>
      <c r="B25" s="96">
        <v>4808</v>
      </c>
      <c r="C25" s="7">
        <v>1008.7</v>
      </c>
      <c r="D25" s="7">
        <f t="shared" si="0"/>
        <v>3799.3</v>
      </c>
      <c r="E25" s="97">
        <v>1515</v>
      </c>
      <c r="F25" s="7">
        <v>140</v>
      </c>
      <c r="G25" s="7">
        <f t="shared" si="1"/>
        <v>1375</v>
      </c>
      <c r="H25" s="98">
        <v>0</v>
      </c>
      <c r="I25" s="7">
        <v>0</v>
      </c>
      <c r="J25" s="7"/>
      <c r="K25" s="99">
        <f t="shared" si="6"/>
        <v>6323</v>
      </c>
      <c r="L25" s="7">
        <v>0</v>
      </c>
      <c r="M25" s="7">
        <v>0</v>
      </c>
      <c r="N25" s="7">
        <v>0</v>
      </c>
      <c r="O25" s="7">
        <v>0</v>
      </c>
      <c r="P25" s="7">
        <v>4485.7732165063499</v>
      </c>
      <c r="Q25" s="7">
        <v>8270.3701493436511</v>
      </c>
      <c r="R25" s="113">
        <f t="shared" si="2"/>
        <v>0.20979617304492512</v>
      </c>
      <c r="S25" s="113">
        <f t="shared" si="3"/>
        <v>9.2409240924092403E-2</v>
      </c>
      <c r="T25" s="113">
        <f t="shared" si="4"/>
        <v>0</v>
      </c>
      <c r="U25" s="113">
        <f t="shared" si="5"/>
        <v>0.1007351379896725</v>
      </c>
    </row>
    <row r="26" spans="1:21" x14ac:dyDescent="0.45">
      <c r="A26" s="95">
        <v>44586</v>
      </c>
      <c r="B26" s="96">
        <v>4808</v>
      </c>
      <c r="C26" s="7">
        <v>1008.7</v>
      </c>
      <c r="D26" s="7">
        <f t="shared" si="0"/>
        <v>3799.3</v>
      </c>
      <c r="E26" s="97">
        <v>1220</v>
      </c>
      <c r="F26" s="7">
        <v>140</v>
      </c>
      <c r="G26" s="7">
        <f t="shared" si="1"/>
        <v>1080</v>
      </c>
      <c r="H26" s="98">
        <v>0</v>
      </c>
      <c r="I26" s="7">
        <v>0</v>
      </c>
      <c r="J26" s="7"/>
      <c r="K26" s="99">
        <f t="shared" si="6"/>
        <v>6028</v>
      </c>
      <c r="L26" s="7">
        <v>0</v>
      </c>
      <c r="M26" s="7">
        <v>0</v>
      </c>
      <c r="N26" s="7">
        <v>0</v>
      </c>
      <c r="O26" s="7">
        <v>0</v>
      </c>
      <c r="P26" s="7">
        <v>4485.7732165063499</v>
      </c>
      <c r="Q26" s="7">
        <v>8886.9938372636498</v>
      </c>
      <c r="R26" s="113">
        <f t="shared" si="2"/>
        <v>0.20979617304492512</v>
      </c>
      <c r="S26" s="113">
        <f t="shared" si="3"/>
        <v>0.11475409836065574</v>
      </c>
      <c r="T26" s="113">
        <f t="shared" si="4"/>
        <v>0</v>
      </c>
      <c r="U26" s="113">
        <f t="shared" si="5"/>
        <v>0.10818342380186029</v>
      </c>
    </row>
    <row r="27" spans="1:21" x14ac:dyDescent="0.45">
      <c r="A27" s="95">
        <v>44587</v>
      </c>
      <c r="B27" s="96">
        <v>4158</v>
      </c>
      <c r="C27" s="7">
        <v>1008.7</v>
      </c>
      <c r="D27" s="7">
        <f t="shared" si="0"/>
        <v>3149.3</v>
      </c>
      <c r="E27" s="97">
        <v>1220</v>
      </c>
      <c r="F27" s="7">
        <v>140</v>
      </c>
      <c r="G27" s="7">
        <f t="shared" si="1"/>
        <v>1080</v>
      </c>
      <c r="H27" s="98">
        <v>0</v>
      </c>
      <c r="I27" s="7">
        <v>0</v>
      </c>
      <c r="J27" s="7"/>
      <c r="K27" s="99">
        <f t="shared" si="6"/>
        <v>5378</v>
      </c>
      <c r="L27" s="7">
        <v>0</v>
      </c>
      <c r="M27" s="7">
        <v>0</v>
      </c>
      <c r="N27" s="7">
        <v>0</v>
      </c>
      <c r="O27" s="7">
        <v>0</v>
      </c>
      <c r="P27" s="7">
        <v>4485.7732165063499</v>
      </c>
      <c r="Q27" s="7">
        <v>8975.2247636536504</v>
      </c>
      <c r="R27" s="113">
        <f t="shared" si="2"/>
        <v>0.24259259259259261</v>
      </c>
      <c r="S27" s="113">
        <f t="shared" si="3"/>
        <v>0.11475409836065574</v>
      </c>
      <c r="T27" s="113">
        <f t="shared" si="4"/>
        <v>0</v>
      </c>
      <c r="U27" s="113">
        <f t="shared" si="5"/>
        <v>0.11911556365108278</v>
      </c>
    </row>
    <row r="28" spans="1:21" x14ac:dyDescent="0.45">
      <c r="A28" s="95">
        <v>44588</v>
      </c>
      <c r="B28" s="96">
        <v>4158</v>
      </c>
      <c r="C28" s="7">
        <v>912</v>
      </c>
      <c r="D28" s="7">
        <f t="shared" si="0"/>
        <v>3246</v>
      </c>
      <c r="E28" s="97">
        <v>1595</v>
      </c>
      <c r="F28" s="7">
        <v>140</v>
      </c>
      <c r="G28" s="7">
        <f t="shared" si="1"/>
        <v>1455</v>
      </c>
      <c r="H28" s="98">
        <v>0</v>
      </c>
      <c r="I28" s="7">
        <v>0</v>
      </c>
      <c r="J28" s="7"/>
      <c r="K28" s="99">
        <f t="shared" si="6"/>
        <v>5753</v>
      </c>
      <c r="L28" s="7">
        <v>0</v>
      </c>
      <c r="M28" s="7">
        <v>0</v>
      </c>
      <c r="N28" s="7">
        <v>0</v>
      </c>
      <c r="O28" s="7">
        <v>0</v>
      </c>
      <c r="P28" s="7">
        <v>4485.7732165063499</v>
      </c>
      <c r="Q28" s="7">
        <v>9321.0744302836501</v>
      </c>
      <c r="R28" s="113">
        <f t="shared" si="2"/>
        <v>0.21933621933621933</v>
      </c>
      <c r="S28" s="113">
        <f t="shared" si="3"/>
        <v>8.7774294670846395E-2</v>
      </c>
      <c r="T28" s="113">
        <f t="shared" si="4"/>
        <v>0</v>
      </c>
      <c r="U28" s="113">
        <f t="shared" si="5"/>
        <v>0.10237017133568858</v>
      </c>
    </row>
    <row r="29" spans="1:21" x14ac:dyDescent="0.45">
      <c r="A29" s="95">
        <v>44589</v>
      </c>
      <c r="B29" s="96">
        <v>4158</v>
      </c>
      <c r="C29" s="7">
        <v>912</v>
      </c>
      <c r="D29" s="7">
        <f t="shared" si="0"/>
        <v>3246</v>
      </c>
      <c r="E29" s="97">
        <v>1595</v>
      </c>
      <c r="F29" s="7">
        <v>140</v>
      </c>
      <c r="G29" s="7">
        <f t="shared" si="1"/>
        <v>1455</v>
      </c>
      <c r="H29" s="98">
        <v>0</v>
      </c>
      <c r="I29" s="7">
        <v>0</v>
      </c>
      <c r="J29" s="7"/>
      <c r="K29" s="99">
        <f t="shared" si="6"/>
        <v>5753</v>
      </c>
      <c r="L29" s="7">
        <v>0</v>
      </c>
      <c r="M29" s="7">
        <v>0</v>
      </c>
      <c r="N29" s="7">
        <v>0</v>
      </c>
      <c r="O29" s="7">
        <v>0</v>
      </c>
      <c r="P29" s="7">
        <v>4485.7732165063499</v>
      </c>
      <c r="Q29" s="7">
        <v>10293.009995593649</v>
      </c>
      <c r="R29" s="113">
        <f t="shared" si="2"/>
        <v>0.21933621933621933</v>
      </c>
      <c r="S29" s="113">
        <f t="shared" si="3"/>
        <v>8.7774294670846395E-2</v>
      </c>
      <c r="T29" s="113">
        <f t="shared" si="4"/>
        <v>0</v>
      </c>
      <c r="U29" s="113">
        <f t="shared" si="5"/>
        <v>0.10237017133568858</v>
      </c>
    </row>
    <row r="30" spans="1:21" x14ac:dyDescent="0.45">
      <c r="A30" s="95">
        <v>44590</v>
      </c>
      <c r="B30" s="96">
        <v>4158</v>
      </c>
      <c r="C30" s="7">
        <v>912</v>
      </c>
      <c r="D30" s="7">
        <f t="shared" si="0"/>
        <v>3246</v>
      </c>
      <c r="E30" s="97">
        <v>1595</v>
      </c>
      <c r="F30" s="7">
        <v>140</v>
      </c>
      <c r="G30" s="7">
        <f t="shared" si="1"/>
        <v>1455</v>
      </c>
      <c r="H30" s="98">
        <v>0</v>
      </c>
      <c r="I30" s="7">
        <v>0</v>
      </c>
      <c r="J30" s="7"/>
      <c r="K30" s="99">
        <f t="shared" si="6"/>
        <v>5753</v>
      </c>
      <c r="L30" s="7">
        <v>0</v>
      </c>
      <c r="M30" s="7">
        <v>0</v>
      </c>
      <c r="N30" s="7">
        <v>0</v>
      </c>
      <c r="O30" s="7">
        <v>0</v>
      </c>
      <c r="P30" s="7">
        <v>4485.7732165063499</v>
      </c>
      <c r="Q30" s="7">
        <v>10293.009995593649</v>
      </c>
      <c r="R30" s="113">
        <f t="shared" si="2"/>
        <v>0.21933621933621933</v>
      </c>
      <c r="S30" s="113">
        <f t="shared" si="3"/>
        <v>8.7774294670846395E-2</v>
      </c>
      <c r="T30" s="113">
        <f t="shared" si="4"/>
        <v>0</v>
      </c>
      <c r="U30" s="113">
        <f t="shared" si="5"/>
        <v>0.10237017133568858</v>
      </c>
    </row>
    <row r="31" spans="1:21" x14ac:dyDescent="0.45">
      <c r="A31" s="95">
        <v>44591</v>
      </c>
      <c r="B31" s="96">
        <v>4158</v>
      </c>
      <c r="C31" s="7">
        <v>912</v>
      </c>
      <c r="D31" s="7">
        <f t="shared" si="0"/>
        <v>3246</v>
      </c>
      <c r="E31" s="97">
        <v>1595</v>
      </c>
      <c r="F31" s="7">
        <v>140</v>
      </c>
      <c r="G31" s="7">
        <f t="shared" si="1"/>
        <v>1455</v>
      </c>
      <c r="H31" s="98">
        <v>0</v>
      </c>
      <c r="I31" s="7">
        <v>0</v>
      </c>
      <c r="J31" s="7"/>
      <c r="K31" s="99">
        <f t="shared" si="6"/>
        <v>5753</v>
      </c>
      <c r="L31" s="7">
        <v>0</v>
      </c>
      <c r="M31" s="7">
        <v>0</v>
      </c>
      <c r="N31" s="7">
        <v>0</v>
      </c>
      <c r="O31" s="7">
        <v>0</v>
      </c>
      <c r="P31" s="7">
        <v>4485.7732165063499</v>
      </c>
      <c r="Q31" s="7">
        <v>10293.009995593649</v>
      </c>
      <c r="R31" s="113">
        <f t="shared" si="2"/>
        <v>0.21933621933621933</v>
      </c>
      <c r="S31" s="113">
        <f t="shared" si="3"/>
        <v>8.7774294670846395E-2</v>
      </c>
      <c r="T31" s="113">
        <f t="shared" si="4"/>
        <v>0</v>
      </c>
      <c r="U31" s="113">
        <f t="shared" si="5"/>
        <v>0.10237017133568858</v>
      </c>
    </row>
    <row r="32" spans="1:21" x14ac:dyDescent="0.45">
      <c r="A32" s="95">
        <v>44592</v>
      </c>
      <c r="B32" s="96">
        <v>4158</v>
      </c>
      <c r="C32" s="7">
        <v>912</v>
      </c>
      <c r="D32" s="7">
        <f t="shared" si="0"/>
        <v>3246</v>
      </c>
      <c r="E32" s="97">
        <v>1595</v>
      </c>
      <c r="F32" s="7">
        <v>140</v>
      </c>
      <c r="G32" s="7">
        <f t="shared" si="1"/>
        <v>1455</v>
      </c>
      <c r="H32" s="98">
        <v>0</v>
      </c>
      <c r="I32" s="7">
        <v>0</v>
      </c>
      <c r="J32" s="7"/>
      <c r="K32" s="99">
        <f t="shared" si="6"/>
        <v>5753</v>
      </c>
      <c r="L32" s="7">
        <v>0</v>
      </c>
      <c r="M32" s="7">
        <v>0</v>
      </c>
      <c r="N32" s="7">
        <v>0</v>
      </c>
      <c r="O32" s="7">
        <v>0</v>
      </c>
      <c r="P32" s="7">
        <v>4485.7732165063499</v>
      </c>
      <c r="Q32" s="7">
        <v>9951.3651462836515</v>
      </c>
      <c r="R32" s="113">
        <f t="shared" si="2"/>
        <v>0.21933621933621933</v>
      </c>
      <c r="S32" s="113">
        <f t="shared" si="3"/>
        <v>8.7774294670846395E-2</v>
      </c>
      <c r="T32" s="113">
        <f t="shared" si="4"/>
        <v>0</v>
      </c>
      <c r="U32" s="113">
        <f t="shared" si="5"/>
        <v>0.10237017133568858</v>
      </c>
    </row>
    <row r="33" spans="1:21" x14ac:dyDescent="0.45">
      <c r="A33" s="95">
        <v>44593</v>
      </c>
      <c r="B33" s="96">
        <v>4158</v>
      </c>
      <c r="C33" s="7">
        <v>912</v>
      </c>
      <c r="D33" s="7">
        <f t="shared" si="0"/>
        <v>3246</v>
      </c>
      <c r="E33" s="97">
        <v>1475</v>
      </c>
      <c r="F33" s="7">
        <v>140</v>
      </c>
      <c r="G33" s="7">
        <f t="shared" si="1"/>
        <v>1335</v>
      </c>
      <c r="H33" s="98">
        <v>0</v>
      </c>
      <c r="I33" s="7">
        <v>0</v>
      </c>
      <c r="J33" s="7"/>
      <c r="K33" s="99">
        <f t="shared" si="6"/>
        <v>5633</v>
      </c>
      <c r="L33" s="7">
        <v>0</v>
      </c>
      <c r="M33" s="7">
        <v>0</v>
      </c>
      <c r="N33" s="7">
        <v>0</v>
      </c>
      <c r="O33" s="7">
        <v>0</v>
      </c>
      <c r="P33" s="7">
        <v>4485.7732165063499</v>
      </c>
      <c r="Q33" s="7">
        <v>9280.3541356936512</v>
      </c>
      <c r="R33" s="113">
        <f t="shared" si="2"/>
        <v>0.21933621933621933</v>
      </c>
      <c r="S33" s="113">
        <f t="shared" si="3"/>
        <v>9.4915254237288138E-2</v>
      </c>
      <c r="T33" s="113">
        <f t="shared" si="4"/>
        <v>0</v>
      </c>
      <c r="U33" s="113">
        <f t="shared" si="5"/>
        <v>0.10475049119116915</v>
      </c>
    </row>
    <row r="34" spans="1:21" x14ac:dyDescent="0.45">
      <c r="A34" s="95">
        <v>44594</v>
      </c>
      <c r="B34" s="96">
        <v>4159</v>
      </c>
      <c r="C34" s="7">
        <v>912</v>
      </c>
      <c r="D34" s="7">
        <f t="shared" si="0"/>
        <v>3247</v>
      </c>
      <c r="E34" s="97">
        <v>1475</v>
      </c>
      <c r="F34" s="7">
        <v>140</v>
      </c>
      <c r="G34" s="7">
        <f t="shared" si="1"/>
        <v>1335</v>
      </c>
      <c r="H34" s="98">
        <v>0</v>
      </c>
      <c r="I34" s="7">
        <v>0</v>
      </c>
      <c r="J34" s="7"/>
      <c r="K34" s="99">
        <f t="shared" si="6"/>
        <v>5634</v>
      </c>
      <c r="L34" s="7">
        <v>0</v>
      </c>
      <c r="M34" s="7">
        <v>0</v>
      </c>
      <c r="N34" s="7">
        <v>0</v>
      </c>
      <c r="O34" s="7">
        <v>0</v>
      </c>
      <c r="P34" s="7">
        <v>4485.7732165063499</v>
      </c>
      <c r="Q34" s="7">
        <v>9148.7088906136505</v>
      </c>
      <c r="R34" s="113">
        <f t="shared" si="2"/>
        <v>0.21928348160615532</v>
      </c>
      <c r="S34" s="113">
        <f t="shared" si="3"/>
        <v>9.4915254237288138E-2</v>
      </c>
      <c r="T34" s="113">
        <f t="shared" si="4"/>
        <v>0</v>
      </c>
      <c r="U34" s="113">
        <f t="shared" si="5"/>
        <v>0.10473291194781449</v>
      </c>
    </row>
    <row r="35" spans="1:21" x14ac:dyDescent="0.45">
      <c r="A35" s="95">
        <v>44595</v>
      </c>
      <c r="B35" s="96">
        <v>4159</v>
      </c>
      <c r="C35" s="7">
        <v>913</v>
      </c>
      <c r="D35" s="7">
        <f t="shared" si="0"/>
        <v>3246</v>
      </c>
      <c r="E35" s="97">
        <v>1475</v>
      </c>
      <c r="F35" s="7">
        <v>140</v>
      </c>
      <c r="G35" s="7">
        <f t="shared" si="1"/>
        <v>1335</v>
      </c>
      <c r="H35" s="98">
        <v>0</v>
      </c>
      <c r="I35" s="7">
        <v>0</v>
      </c>
      <c r="J35" s="7"/>
      <c r="K35" s="99">
        <f t="shared" si="6"/>
        <v>5634</v>
      </c>
      <c r="L35" s="7">
        <v>0</v>
      </c>
      <c r="M35" s="7">
        <v>0</v>
      </c>
      <c r="N35" s="7">
        <v>0</v>
      </c>
      <c r="O35" s="7">
        <v>0</v>
      </c>
      <c r="P35" s="7">
        <v>4485.7732165063499</v>
      </c>
      <c r="Q35" s="7">
        <v>9148.3874924136508</v>
      </c>
      <c r="R35" s="113">
        <f t="shared" si="2"/>
        <v>0.21952392402019716</v>
      </c>
      <c r="S35" s="113">
        <f t="shared" si="3"/>
        <v>9.4915254237288138E-2</v>
      </c>
      <c r="T35" s="113">
        <f t="shared" si="4"/>
        <v>0</v>
      </c>
      <c r="U35" s="113">
        <f t="shared" si="5"/>
        <v>0.10481305941916176</v>
      </c>
    </row>
    <row r="36" spans="1:21" x14ac:dyDescent="0.45">
      <c r="A36" s="95">
        <v>44596</v>
      </c>
      <c r="B36" s="96">
        <v>4159</v>
      </c>
      <c r="C36" s="7">
        <v>913</v>
      </c>
      <c r="D36" s="7">
        <f t="shared" si="0"/>
        <v>3246</v>
      </c>
      <c r="E36" s="97">
        <v>1475</v>
      </c>
      <c r="F36" s="7">
        <v>140</v>
      </c>
      <c r="G36" s="7">
        <f t="shared" si="1"/>
        <v>1335</v>
      </c>
      <c r="H36" s="98">
        <v>0</v>
      </c>
      <c r="I36" s="7">
        <v>0</v>
      </c>
      <c r="J36" s="7"/>
      <c r="K36" s="99">
        <f t="shared" si="6"/>
        <v>5634</v>
      </c>
      <c r="L36" s="7">
        <v>0</v>
      </c>
      <c r="M36" s="7">
        <v>0</v>
      </c>
      <c r="N36" s="7">
        <v>0</v>
      </c>
      <c r="O36" s="7">
        <v>0</v>
      </c>
      <c r="P36" s="7">
        <v>4485.7732165063499</v>
      </c>
      <c r="Q36" s="7">
        <v>9116.8324164436508</v>
      </c>
      <c r="R36" s="113">
        <f t="shared" si="2"/>
        <v>0.21952392402019716</v>
      </c>
      <c r="S36" s="113">
        <f t="shared" si="3"/>
        <v>9.4915254237288138E-2</v>
      </c>
      <c r="T36" s="113">
        <f t="shared" si="4"/>
        <v>0</v>
      </c>
      <c r="U36" s="113">
        <f t="shared" si="5"/>
        <v>0.10481305941916176</v>
      </c>
    </row>
    <row r="37" spans="1:21" x14ac:dyDescent="0.45">
      <c r="A37" s="95">
        <v>44597</v>
      </c>
      <c r="B37" s="96">
        <v>4159</v>
      </c>
      <c r="C37" s="7">
        <v>913</v>
      </c>
      <c r="D37" s="7">
        <f t="shared" si="0"/>
        <v>3246</v>
      </c>
      <c r="E37" s="97">
        <v>1475</v>
      </c>
      <c r="F37" s="7">
        <v>140</v>
      </c>
      <c r="G37" s="7">
        <f t="shared" si="1"/>
        <v>1335</v>
      </c>
      <c r="H37" s="98">
        <v>0</v>
      </c>
      <c r="I37" s="7">
        <v>0</v>
      </c>
      <c r="J37" s="7"/>
      <c r="K37" s="99">
        <f t="shared" si="6"/>
        <v>5634</v>
      </c>
      <c r="L37" s="7">
        <v>0</v>
      </c>
      <c r="M37" s="7">
        <v>0</v>
      </c>
      <c r="N37" s="7">
        <v>0</v>
      </c>
      <c r="O37" s="7">
        <v>0</v>
      </c>
      <c r="P37" s="7">
        <v>4485.7732165063499</v>
      </c>
      <c r="Q37" s="7">
        <v>9116.8324164436508</v>
      </c>
      <c r="R37" s="113">
        <f t="shared" si="2"/>
        <v>0.21952392402019716</v>
      </c>
      <c r="S37" s="113">
        <f t="shared" si="3"/>
        <v>9.4915254237288138E-2</v>
      </c>
      <c r="T37" s="113">
        <f t="shared" si="4"/>
        <v>0</v>
      </c>
      <c r="U37" s="113">
        <f t="shared" si="5"/>
        <v>0.10481305941916176</v>
      </c>
    </row>
    <row r="38" spans="1:21" x14ac:dyDescent="0.45">
      <c r="A38" s="95">
        <v>44598</v>
      </c>
      <c r="B38" s="96">
        <v>4159</v>
      </c>
      <c r="C38" s="7">
        <v>913</v>
      </c>
      <c r="D38" s="7">
        <f t="shared" si="0"/>
        <v>3246</v>
      </c>
      <c r="E38" s="97">
        <v>1475</v>
      </c>
      <c r="F38" s="7">
        <v>140</v>
      </c>
      <c r="G38" s="7">
        <f t="shared" si="1"/>
        <v>1335</v>
      </c>
      <c r="H38" s="98">
        <v>0</v>
      </c>
      <c r="I38" s="7">
        <v>0</v>
      </c>
      <c r="J38" s="7"/>
      <c r="K38" s="99">
        <f t="shared" si="6"/>
        <v>5634</v>
      </c>
      <c r="L38" s="7">
        <v>0</v>
      </c>
      <c r="M38" s="7">
        <v>0</v>
      </c>
      <c r="N38" s="7">
        <v>0</v>
      </c>
      <c r="O38" s="7">
        <v>0</v>
      </c>
      <c r="P38" s="7">
        <v>4485.7732165063499</v>
      </c>
      <c r="Q38" s="7">
        <v>9116.8324164436508</v>
      </c>
      <c r="R38" s="113">
        <f t="shared" si="2"/>
        <v>0.21952392402019716</v>
      </c>
      <c r="S38" s="113">
        <f t="shared" si="3"/>
        <v>9.4915254237288138E-2</v>
      </c>
      <c r="T38" s="113">
        <f t="shared" si="4"/>
        <v>0</v>
      </c>
      <c r="U38" s="113">
        <f t="shared" si="5"/>
        <v>0.10481305941916176</v>
      </c>
    </row>
    <row r="39" spans="1:21" x14ac:dyDescent="0.45">
      <c r="A39" s="95">
        <v>44599</v>
      </c>
      <c r="B39" s="96">
        <v>4159</v>
      </c>
      <c r="C39" s="7">
        <v>913</v>
      </c>
      <c r="D39" s="7">
        <f t="shared" si="0"/>
        <v>3246</v>
      </c>
      <c r="E39" s="97">
        <v>1475</v>
      </c>
      <c r="F39" s="7">
        <v>140</v>
      </c>
      <c r="G39" s="7">
        <f t="shared" si="1"/>
        <v>1335</v>
      </c>
      <c r="H39" s="98">
        <v>0</v>
      </c>
      <c r="I39" s="7">
        <v>0</v>
      </c>
      <c r="J39" s="7"/>
      <c r="K39" s="99">
        <f t="shared" si="6"/>
        <v>5634</v>
      </c>
      <c r="L39" s="7">
        <v>0</v>
      </c>
      <c r="M39" s="7">
        <v>0</v>
      </c>
      <c r="N39" s="7">
        <v>0</v>
      </c>
      <c r="O39" s="7">
        <v>0</v>
      </c>
      <c r="P39" s="7">
        <v>4485.7732165063499</v>
      </c>
      <c r="Q39" s="7">
        <v>8753.0278540136496</v>
      </c>
      <c r="R39" s="113">
        <f t="shared" si="2"/>
        <v>0.21952392402019716</v>
      </c>
      <c r="S39" s="113">
        <f t="shared" si="3"/>
        <v>9.4915254237288138E-2</v>
      </c>
      <c r="T39" s="113">
        <f t="shared" si="4"/>
        <v>0</v>
      </c>
      <c r="U39" s="113">
        <f t="shared" si="5"/>
        <v>0.10481305941916176</v>
      </c>
    </row>
    <row r="40" spans="1:21" x14ac:dyDescent="0.45">
      <c r="A40" s="95">
        <v>44600</v>
      </c>
      <c r="B40" s="96">
        <v>4159</v>
      </c>
      <c r="C40" s="7">
        <v>913</v>
      </c>
      <c r="D40" s="7">
        <f t="shared" si="0"/>
        <v>3246</v>
      </c>
      <c r="E40" s="97">
        <v>1475</v>
      </c>
      <c r="F40" s="7">
        <v>140</v>
      </c>
      <c r="G40" s="7">
        <f t="shared" si="1"/>
        <v>1335</v>
      </c>
      <c r="H40" s="98">
        <v>0</v>
      </c>
      <c r="I40" s="7">
        <v>0</v>
      </c>
      <c r="J40" s="7"/>
      <c r="K40" s="99">
        <f t="shared" si="6"/>
        <v>5634</v>
      </c>
      <c r="L40" s="7">
        <v>0</v>
      </c>
      <c r="M40" s="7">
        <v>0</v>
      </c>
      <c r="N40" s="7">
        <v>0</v>
      </c>
      <c r="O40" s="7">
        <v>0</v>
      </c>
      <c r="P40" s="7">
        <v>4485.7732165063499</v>
      </c>
      <c r="Q40" s="7">
        <v>8710.8142874036494</v>
      </c>
      <c r="R40" s="113">
        <f t="shared" si="2"/>
        <v>0.21952392402019716</v>
      </c>
      <c r="S40" s="113">
        <f t="shared" si="3"/>
        <v>9.4915254237288138E-2</v>
      </c>
      <c r="T40" s="113">
        <f t="shared" si="4"/>
        <v>0</v>
      </c>
      <c r="U40" s="113">
        <f t="shared" si="5"/>
        <v>0.10481305941916176</v>
      </c>
    </row>
    <row r="41" spans="1:21" x14ac:dyDescent="0.45">
      <c r="A41" s="95">
        <v>44601</v>
      </c>
      <c r="B41" s="96">
        <v>4339</v>
      </c>
      <c r="C41" s="7">
        <v>913</v>
      </c>
      <c r="D41" s="7">
        <f t="shared" si="0"/>
        <v>3426</v>
      </c>
      <c r="E41" s="97">
        <v>1475</v>
      </c>
      <c r="F41" s="7">
        <v>140</v>
      </c>
      <c r="G41" s="7">
        <f t="shared" si="1"/>
        <v>1335</v>
      </c>
      <c r="H41" s="98">
        <v>0</v>
      </c>
      <c r="I41" s="7">
        <v>0</v>
      </c>
      <c r="J41" s="7"/>
      <c r="K41" s="99">
        <f t="shared" si="6"/>
        <v>5814</v>
      </c>
      <c r="L41" s="7">
        <v>0</v>
      </c>
      <c r="M41" s="7">
        <v>0</v>
      </c>
      <c r="N41" s="7">
        <v>0</v>
      </c>
      <c r="O41" s="7">
        <v>0</v>
      </c>
      <c r="P41" s="7">
        <v>4485.7732165063499</v>
      </c>
      <c r="Q41" s="7">
        <v>9038.7124405136492</v>
      </c>
      <c r="R41" s="113">
        <f t="shared" si="2"/>
        <v>0.21041714680802029</v>
      </c>
      <c r="S41" s="113">
        <f t="shared" si="3"/>
        <v>9.4915254237288138E-2</v>
      </c>
      <c r="T41" s="113">
        <f t="shared" si="4"/>
        <v>0</v>
      </c>
      <c r="U41" s="113">
        <f t="shared" si="5"/>
        <v>0.10177746701510282</v>
      </c>
    </row>
    <row r="42" spans="1:21" x14ac:dyDescent="0.45">
      <c r="A42" s="95">
        <v>44602</v>
      </c>
      <c r="B42" s="96">
        <v>4339</v>
      </c>
      <c r="C42" s="7">
        <v>913</v>
      </c>
      <c r="D42" s="7">
        <f t="shared" si="0"/>
        <v>3426</v>
      </c>
      <c r="E42" s="97">
        <v>1475</v>
      </c>
      <c r="F42" s="7">
        <v>140</v>
      </c>
      <c r="G42" s="7">
        <f t="shared" si="1"/>
        <v>1335</v>
      </c>
      <c r="H42" s="98">
        <v>0</v>
      </c>
      <c r="I42" s="7">
        <v>0</v>
      </c>
      <c r="J42" s="7"/>
      <c r="K42" s="99">
        <f t="shared" si="6"/>
        <v>5814</v>
      </c>
      <c r="L42" s="7">
        <v>0</v>
      </c>
      <c r="M42" s="7">
        <v>0</v>
      </c>
      <c r="N42" s="7">
        <v>0</v>
      </c>
      <c r="O42" s="7">
        <v>0</v>
      </c>
      <c r="P42" s="7">
        <v>4485.7732165063499</v>
      </c>
      <c r="Q42" s="7">
        <v>8831.2323874736467</v>
      </c>
      <c r="R42" s="113">
        <f t="shared" si="2"/>
        <v>0.21041714680802029</v>
      </c>
      <c r="S42" s="113">
        <f t="shared" si="3"/>
        <v>9.4915254237288138E-2</v>
      </c>
      <c r="T42" s="113">
        <f t="shared" si="4"/>
        <v>0</v>
      </c>
      <c r="U42" s="113">
        <f t="shared" si="5"/>
        <v>0.10177746701510282</v>
      </c>
    </row>
    <row r="43" spans="1:21" x14ac:dyDescent="0.45">
      <c r="A43" s="95">
        <v>44603</v>
      </c>
      <c r="B43" s="96">
        <v>4339</v>
      </c>
      <c r="C43" s="7">
        <v>913</v>
      </c>
      <c r="D43" s="7">
        <f t="shared" si="0"/>
        <v>3426</v>
      </c>
      <c r="E43" s="97">
        <v>1475</v>
      </c>
      <c r="F43" s="7">
        <v>140</v>
      </c>
      <c r="G43" s="7">
        <f t="shared" si="1"/>
        <v>1335</v>
      </c>
      <c r="H43" s="98">
        <v>0</v>
      </c>
      <c r="I43" s="7">
        <v>0</v>
      </c>
      <c r="J43" s="7"/>
      <c r="K43" s="99">
        <f t="shared" si="6"/>
        <v>5814</v>
      </c>
      <c r="L43" s="7">
        <v>0</v>
      </c>
      <c r="M43" s="7">
        <v>0</v>
      </c>
      <c r="N43" s="7">
        <v>0</v>
      </c>
      <c r="O43" s="7">
        <v>0</v>
      </c>
      <c r="P43" s="7">
        <v>4485.7732165063499</v>
      </c>
      <c r="Q43" s="7">
        <v>9142.3369469336503</v>
      </c>
      <c r="R43" s="113">
        <f t="shared" si="2"/>
        <v>0.21041714680802029</v>
      </c>
      <c r="S43" s="113">
        <f t="shared" si="3"/>
        <v>9.4915254237288138E-2</v>
      </c>
      <c r="T43" s="113">
        <f t="shared" si="4"/>
        <v>0</v>
      </c>
      <c r="U43" s="113">
        <f t="shared" si="5"/>
        <v>0.10177746701510282</v>
      </c>
    </row>
    <row r="44" spans="1:21" x14ac:dyDescent="0.45">
      <c r="A44" s="95">
        <v>44604</v>
      </c>
      <c r="B44" s="96">
        <v>4339</v>
      </c>
      <c r="C44" s="7">
        <v>913</v>
      </c>
      <c r="D44" s="7">
        <f t="shared" si="0"/>
        <v>3426</v>
      </c>
      <c r="E44" s="97">
        <v>1475</v>
      </c>
      <c r="F44" s="7">
        <v>140</v>
      </c>
      <c r="G44" s="7">
        <f t="shared" si="1"/>
        <v>1335</v>
      </c>
      <c r="H44" s="98">
        <v>0</v>
      </c>
      <c r="I44" s="7">
        <v>0</v>
      </c>
      <c r="J44" s="7"/>
      <c r="K44" s="99">
        <f t="shared" si="6"/>
        <v>5814</v>
      </c>
      <c r="L44" s="7">
        <v>0</v>
      </c>
      <c r="M44" s="7">
        <v>0</v>
      </c>
      <c r="N44" s="7">
        <v>0</v>
      </c>
      <c r="O44" s="7">
        <v>0</v>
      </c>
      <c r="P44" s="7">
        <v>4485.7732165063499</v>
      </c>
      <c r="Q44" s="7">
        <v>9142.3369469336503</v>
      </c>
      <c r="R44" s="113">
        <f t="shared" si="2"/>
        <v>0.21041714680802029</v>
      </c>
      <c r="S44" s="113">
        <f t="shared" si="3"/>
        <v>9.4915254237288138E-2</v>
      </c>
      <c r="T44" s="113">
        <f t="shared" si="4"/>
        <v>0</v>
      </c>
      <c r="U44" s="113">
        <f t="shared" si="5"/>
        <v>0.10177746701510282</v>
      </c>
    </row>
    <row r="45" spans="1:21" x14ac:dyDescent="0.45">
      <c r="A45" s="95">
        <v>44605</v>
      </c>
      <c r="B45" s="96">
        <v>4339</v>
      </c>
      <c r="C45" s="7">
        <v>913</v>
      </c>
      <c r="D45" s="7">
        <f t="shared" si="0"/>
        <v>3426</v>
      </c>
      <c r="E45" s="97">
        <v>1475</v>
      </c>
      <c r="F45" s="7">
        <v>140</v>
      </c>
      <c r="G45" s="7">
        <f t="shared" si="1"/>
        <v>1335</v>
      </c>
      <c r="H45" s="98">
        <v>0</v>
      </c>
      <c r="I45" s="7">
        <v>0</v>
      </c>
      <c r="J45" s="7"/>
      <c r="K45" s="99">
        <f t="shared" si="6"/>
        <v>5814</v>
      </c>
      <c r="L45" s="7">
        <v>0</v>
      </c>
      <c r="M45" s="7">
        <v>0</v>
      </c>
      <c r="N45" s="7">
        <v>0</v>
      </c>
      <c r="O45" s="7">
        <v>0</v>
      </c>
      <c r="P45" s="7">
        <v>4485.7732165063499</v>
      </c>
      <c r="Q45" s="7">
        <v>9142.3369469336503</v>
      </c>
      <c r="R45" s="113">
        <f t="shared" si="2"/>
        <v>0.21041714680802029</v>
      </c>
      <c r="S45" s="113">
        <f t="shared" si="3"/>
        <v>9.4915254237288138E-2</v>
      </c>
      <c r="T45" s="113">
        <f t="shared" si="4"/>
        <v>0</v>
      </c>
      <c r="U45" s="113">
        <f t="shared" si="5"/>
        <v>0.10177746701510282</v>
      </c>
    </row>
    <row r="46" spans="1:21" x14ac:dyDescent="0.45">
      <c r="A46" s="95">
        <v>44606</v>
      </c>
      <c r="B46" s="96">
        <v>4339</v>
      </c>
      <c r="C46" s="7">
        <v>913</v>
      </c>
      <c r="D46" s="7">
        <f t="shared" si="0"/>
        <v>3426</v>
      </c>
      <c r="E46" s="97">
        <v>1475</v>
      </c>
      <c r="F46" s="7">
        <v>140</v>
      </c>
      <c r="G46" s="7">
        <f t="shared" si="1"/>
        <v>1335</v>
      </c>
      <c r="H46" s="98">
        <v>0</v>
      </c>
      <c r="I46" s="7">
        <v>0</v>
      </c>
      <c r="J46" s="7"/>
      <c r="K46" s="99">
        <f t="shared" si="6"/>
        <v>5814</v>
      </c>
      <c r="L46" s="7">
        <v>0</v>
      </c>
      <c r="M46" s="7">
        <v>0</v>
      </c>
      <c r="N46" s="7">
        <v>0</v>
      </c>
      <c r="O46" s="7">
        <v>0</v>
      </c>
      <c r="P46" s="7">
        <v>4485.7732165063499</v>
      </c>
      <c r="Q46" s="7">
        <v>8830.0258667536509</v>
      </c>
      <c r="R46" s="113">
        <f t="shared" si="2"/>
        <v>0.21041714680802029</v>
      </c>
      <c r="S46" s="113">
        <f t="shared" si="3"/>
        <v>9.4915254237288138E-2</v>
      </c>
      <c r="T46" s="113">
        <f t="shared" si="4"/>
        <v>0</v>
      </c>
      <c r="U46" s="113">
        <f t="shared" si="5"/>
        <v>0.10177746701510282</v>
      </c>
    </row>
    <row r="47" spans="1:21" x14ac:dyDescent="0.45">
      <c r="A47" s="95">
        <v>44607</v>
      </c>
      <c r="B47" s="96">
        <v>4339</v>
      </c>
      <c r="C47" s="7">
        <v>913</v>
      </c>
      <c r="D47" s="7">
        <f t="shared" si="0"/>
        <v>3426</v>
      </c>
      <c r="E47" s="97">
        <v>1475</v>
      </c>
      <c r="F47" s="7">
        <v>140</v>
      </c>
      <c r="G47" s="7">
        <f t="shared" si="1"/>
        <v>1335</v>
      </c>
      <c r="H47" s="98">
        <v>0</v>
      </c>
      <c r="I47" s="7">
        <v>0</v>
      </c>
      <c r="J47" s="7"/>
      <c r="K47" s="99">
        <f t="shared" si="6"/>
        <v>5814</v>
      </c>
      <c r="L47" s="7">
        <v>0</v>
      </c>
      <c r="M47" s="7">
        <v>0</v>
      </c>
      <c r="N47" s="7">
        <v>0</v>
      </c>
      <c r="O47" s="7">
        <v>0</v>
      </c>
      <c r="P47" s="7">
        <v>4485.7732165063499</v>
      </c>
      <c r="Q47" s="7">
        <v>8425.4764379436492</v>
      </c>
      <c r="R47" s="113">
        <f t="shared" si="2"/>
        <v>0.21041714680802029</v>
      </c>
      <c r="S47" s="113">
        <f t="shared" si="3"/>
        <v>9.4915254237288138E-2</v>
      </c>
      <c r="T47" s="113">
        <f t="shared" si="4"/>
        <v>0</v>
      </c>
      <c r="U47" s="113">
        <f t="shared" si="5"/>
        <v>0.10177746701510282</v>
      </c>
    </row>
    <row r="48" spans="1:21" x14ac:dyDescent="0.45">
      <c r="A48" s="95">
        <v>44608</v>
      </c>
      <c r="B48" s="96">
        <v>4639</v>
      </c>
      <c r="C48" s="7">
        <v>913</v>
      </c>
      <c r="D48" s="7">
        <f t="shared" si="0"/>
        <v>3726</v>
      </c>
      <c r="E48" s="97">
        <v>1475</v>
      </c>
      <c r="F48" s="7">
        <v>140</v>
      </c>
      <c r="G48" s="7">
        <f t="shared" si="1"/>
        <v>1335</v>
      </c>
      <c r="H48" s="98">
        <v>0</v>
      </c>
      <c r="I48" s="7">
        <v>0</v>
      </c>
      <c r="J48" s="7"/>
      <c r="K48" s="99">
        <f t="shared" si="6"/>
        <v>6114</v>
      </c>
      <c r="L48" s="7">
        <v>0</v>
      </c>
      <c r="M48" s="7">
        <v>0</v>
      </c>
      <c r="N48" s="7">
        <v>0</v>
      </c>
      <c r="O48" s="7">
        <v>0</v>
      </c>
      <c r="P48" s="7">
        <v>4485.7732165063499</v>
      </c>
      <c r="Q48" s="7">
        <v>7956.4411202336505</v>
      </c>
      <c r="R48" s="113">
        <f t="shared" si="2"/>
        <v>0.19680965725371846</v>
      </c>
      <c r="S48" s="113">
        <f t="shared" si="3"/>
        <v>9.4915254237288138E-2</v>
      </c>
      <c r="T48" s="113">
        <f t="shared" si="4"/>
        <v>0</v>
      </c>
      <c r="U48" s="113">
        <f t="shared" si="5"/>
        <v>9.7241637163668862E-2</v>
      </c>
    </row>
    <row r="49" spans="1:21" x14ac:dyDescent="0.45">
      <c r="A49" s="95">
        <v>44609</v>
      </c>
      <c r="B49" s="96">
        <v>4639</v>
      </c>
      <c r="C49" s="7">
        <v>913</v>
      </c>
      <c r="D49" s="7">
        <f t="shared" si="0"/>
        <v>3726</v>
      </c>
      <c r="E49" s="97">
        <v>1475</v>
      </c>
      <c r="F49" s="7">
        <v>140</v>
      </c>
      <c r="G49" s="7">
        <f t="shared" si="1"/>
        <v>1335</v>
      </c>
      <c r="H49" s="98">
        <v>0</v>
      </c>
      <c r="I49" s="7">
        <v>0</v>
      </c>
      <c r="J49" s="7"/>
      <c r="K49" s="99">
        <f t="shared" si="6"/>
        <v>6114</v>
      </c>
      <c r="L49" s="7">
        <v>0</v>
      </c>
      <c r="M49" s="7">
        <v>0</v>
      </c>
      <c r="N49" s="7">
        <v>0</v>
      </c>
      <c r="O49" s="7">
        <v>0</v>
      </c>
      <c r="P49" s="7">
        <v>4485.7732165063499</v>
      </c>
      <c r="Q49" s="7">
        <v>7804.4959970136506</v>
      </c>
      <c r="R49" s="113">
        <f t="shared" si="2"/>
        <v>0.19680965725371846</v>
      </c>
      <c r="S49" s="113">
        <f t="shared" si="3"/>
        <v>9.4915254237288138E-2</v>
      </c>
      <c r="T49" s="113">
        <f t="shared" si="4"/>
        <v>0</v>
      </c>
      <c r="U49" s="113">
        <f t="shared" si="5"/>
        <v>9.7241637163668862E-2</v>
      </c>
    </row>
    <row r="50" spans="1:21" x14ac:dyDescent="0.45">
      <c r="A50" s="95">
        <v>44610</v>
      </c>
      <c r="B50" s="96">
        <v>4639</v>
      </c>
      <c r="C50" s="7">
        <v>913</v>
      </c>
      <c r="D50" s="7">
        <f t="shared" si="0"/>
        <v>3726</v>
      </c>
      <c r="E50" s="97">
        <v>1475</v>
      </c>
      <c r="F50" s="7">
        <v>140</v>
      </c>
      <c r="G50" s="7">
        <f t="shared" si="1"/>
        <v>1335</v>
      </c>
      <c r="H50" s="98">
        <v>0</v>
      </c>
      <c r="I50" s="7">
        <v>0</v>
      </c>
      <c r="J50" s="7"/>
      <c r="K50" s="99">
        <f t="shared" si="6"/>
        <v>6114</v>
      </c>
      <c r="L50" s="7">
        <v>0</v>
      </c>
      <c r="M50" s="7">
        <v>0</v>
      </c>
      <c r="N50" s="7">
        <v>0</v>
      </c>
      <c r="O50" s="7">
        <v>0</v>
      </c>
      <c r="P50" s="7">
        <v>4485.7732165063499</v>
      </c>
      <c r="Q50" s="7">
        <v>7814.4613492936505</v>
      </c>
      <c r="R50" s="113">
        <f t="shared" si="2"/>
        <v>0.19680965725371846</v>
      </c>
      <c r="S50" s="113">
        <f t="shared" si="3"/>
        <v>9.4915254237288138E-2</v>
      </c>
      <c r="T50" s="113">
        <f t="shared" si="4"/>
        <v>0</v>
      </c>
      <c r="U50" s="113">
        <f t="shared" si="5"/>
        <v>9.7241637163668862E-2</v>
      </c>
    </row>
    <row r="51" spans="1:21" x14ac:dyDescent="0.45">
      <c r="A51" s="95">
        <v>44611</v>
      </c>
      <c r="B51" s="96">
        <v>4639</v>
      </c>
      <c r="C51" s="7">
        <v>913</v>
      </c>
      <c r="D51" s="7">
        <f t="shared" si="0"/>
        <v>3726</v>
      </c>
      <c r="E51" s="97">
        <v>1475</v>
      </c>
      <c r="F51" s="7">
        <v>140</v>
      </c>
      <c r="G51" s="7">
        <f t="shared" si="1"/>
        <v>1335</v>
      </c>
      <c r="H51" s="98">
        <v>0</v>
      </c>
      <c r="I51" s="7">
        <v>0</v>
      </c>
      <c r="J51" s="7"/>
      <c r="K51" s="99">
        <f t="shared" si="6"/>
        <v>6114</v>
      </c>
      <c r="L51" s="7">
        <v>0</v>
      </c>
      <c r="M51" s="7">
        <v>0</v>
      </c>
      <c r="N51" s="7">
        <v>0</v>
      </c>
      <c r="O51" s="7">
        <v>0</v>
      </c>
      <c r="P51" s="7">
        <v>4485.7732165063499</v>
      </c>
      <c r="Q51" s="7">
        <v>7814.4613492936505</v>
      </c>
      <c r="R51" s="113">
        <f t="shared" si="2"/>
        <v>0.19680965725371846</v>
      </c>
      <c r="S51" s="113">
        <f t="shared" si="3"/>
        <v>9.4915254237288138E-2</v>
      </c>
      <c r="T51" s="113">
        <f t="shared" si="4"/>
        <v>0</v>
      </c>
      <c r="U51" s="113">
        <f t="shared" si="5"/>
        <v>9.7241637163668862E-2</v>
      </c>
    </row>
    <row r="52" spans="1:21" x14ac:dyDescent="0.45">
      <c r="A52" s="95">
        <v>44612</v>
      </c>
      <c r="B52" s="96">
        <v>4639</v>
      </c>
      <c r="C52" s="7">
        <v>913</v>
      </c>
      <c r="D52" s="7">
        <f t="shared" si="0"/>
        <v>3726</v>
      </c>
      <c r="E52" s="97">
        <v>1475</v>
      </c>
      <c r="F52" s="7">
        <v>140</v>
      </c>
      <c r="G52" s="7">
        <f t="shared" si="1"/>
        <v>1335</v>
      </c>
      <c r="H52" s="98">
        <v>0</v>
      </c>
      <c r="I52" s="7">
        <v>0</v>
      </c>
      <c r="J52" s="7"/>
      <c r="K52" s="99">
        <f t="shared" si="6"/>
        <v>6114</v>
      </c>
      <c r="L52" s="7">
        <v>0</v>
      </c>
      <c r="M52" s="7">
        <v>0</v>
      </c>
      <c r="N52" s="7">
        <v>0</v>
      </c>
      <c r="O52" s="7">
        <v>0</v>
      </c>
      <c r="P52" s="7">
        <v>4485.7732165063499</v>
      </c>
      <c r="Q52" s="7">
        <v>7814.4613492936505</v>
      </c>
      <c r="R52" s="113">
        <f t="shared" si="2"/>
        <v>0.19680965725371846</v>
      </c>
      <c r="S52" s="113">
        <f t="shared" si="3"/>
        <v>9.4915254237288138E-2</v>
      </c>
      <c r="T52" s="113">
        <f t="shared" si="4"/>
        <v>0</v>
      </c>
      <c r="U52" s="113">
        <f t="shared" si="5"/>
        <v>9.7241637163668862E-2</v>
      </c>
    </row>
    <row r="53" spans="1:21" x14ac:dyDescent="0.45">
      <c r="A53" s="95">
        <v>44613</v>
      </c>
      <c r="B53" s="96">
        <v>4639</v>
      </c>
      <c r="C53" s="7">
        <v>913</v>
      </c>
      <c r="D53" s="7">
        <f t="shared" si="0"/>
        <v>3726</v>
      </c>
      <c r="E53" s="97">
        <v>1475</v>
      </c>
      <c r="F53" s="7">
        <v>140</v>
      </c>
      <c r="G53" s="7">
        <f t="shared" si="1"/>
        <v>1335</v>
      </c>
      <c r="H53" s="98">
        <v>0</v>
      </c>
      <c r="I53" s="7">
        <v>0</v>
      </c>
      <c r="J53" s="7"/>
      <c r="K53" s="99">
        <f t="shared" si="6"/>
        <v>6114</v>
      </c>
      <c r="L53" s="7">
        <v>0</v>
      </c>
      <c r="M53" s="7">
        <v>0</v>
      </c>
      <c r="N53" s="7">
        <v>0</v>
      </c>
      <c r="O53" s="7">
        <v>0</v>
      </c>
      <c r="P53" s="7">
        <v>4456.9370432053493</v>
      </c>
      <c r="Q53" s="7">
        <v>7681.8036854346501</v>
      </c>
      <c r="R53" s="113">
        <f t="shared" si="2"/>
        <v>0.19680965725371846</v>
      </c>
      <c r="S53" s="113">
        <f t="shared" si="3"/>
        <v>9.4915254237288138E-2</v>
      </c>
      <c r="T53" s="113">
        <f t="shared" si="4"/>
        <v>0</v>
      </c>
      <c r="U53" s="113">
        <f t="shared" si="5"/>
        <v>9.7241637163668862E-2</v>
      </c>
    </row>
    <row r="54" spans="1:21" x14ac:dyDescent="0.45">
      <c r="A54" s="95">
        <v>44614</v>
      </c>
      <c r="B54" s="96">
        <v>4639</v>
      </c>
      <c r="C54" s="7">
        <v>913</v>
      </c>
      <c r="D54" s="7">
        <f t="shared" si="0"/>
        <v>3726</v>
      </c>
      <c r="E54" s="97">
        <v>1475</v>
      </c>
      <c r="F54" s="7">
        <v>140</v>
      </c>
      <c r="G54" s="7">
        <f t="shared" si="1"/>
        <v>1335</v>
      </c>
      <c r="H54" s="98">
        <v>0</v>
      </c>
      <c r="I54" s="7">
        <v>0</v>
      </c>
      <c r="J54" s="7"/>
      <c r="K54" s="99">
        <f t="shared" si="6"/>
        <v>6114</v>
      </c>
      <c r="L54" s="7">
        <v>0</v>
      </c>
      <c r="M54" s="7">
        <v>0</v>
      </c>
      <c r="N54" s="7">
        <v>0</v>
      </c>
      <c r="O54" s="7">
        <v>0</v>
      </c>
      <c r="P54" s="7">
        <v>4456.9370432053493</v>
      </c>
      <c r="Q54" s="7">
        <v>8845.2120091746492</v>
      </c>
      <c r="R54" s="113">
        <f t="shared" si="2"/>
        <v>0.19680965725371846</v>
      </c>
      <c r="S54" s="113">
        <f t="shared" si="3"/>
        <v>9.4915254237288138E-2</v>
      </c>
      <c r="T54" s="113">
        <f t="shared" si="4"/>
        <v>0</v>
      </c>
      <c r="U54" s="113">
        <f t="shared" si="5"/>
        <v>9.7241637163668862E-2</v>
      </c>
    </row>
    <row r="55" spans="1:21" x14ac:dyDescent="0.45">
      <c r="A55" s="95">
        <v>44615</v>
      </c>
      <c r="B55" s="96">
        <v>4639</v>
      </c>
      <c r="C55" s="7">
        <v>913</v>
      </c>
      <c r="D55" s="7">
        <f t="shared" si="0"/>
        <v>3726</v>
      </c>
      <c r="E55" s="97">
        <v>1475</v>
      </c>
      <c r="F55" s="7">
        <v>140</v>
      </c>
      <c r="G55" s="7">
        <f t="shared" si="1"/>
        <v>1335</v>
      </c>
      <c r="H55" s="98">
        <v>0</v>
      </c>
      <c r="I55" s="7">
        <v>0</v>
      </c>
      <c r="J55" s="7"/>
      <c r="K55" s="99">
        <f t="shared" si="6"/>
        <v>6114</v>
      </c>
      <c r="L55" s="7">
        <v>0</v>
      </c>
      <c r="M55" s="7">
        <v>0</v>
      </c>
      <c r="N55" s="7">
        <v>0</v>
      </c>
      <c r="O55" s="7">
        <v>0</v>
      </c>
      <c r="P55" s="7">
        <v>4456.9370432053493</v>
      </c>
      <c r="Q55" s="7">
        <v>8587.4446569846514</v>
      </c>
      <c r="R55" s="113">
        <f t="shared" si="2"/>
        <v>0.19680965725371846</v>
      </c>
      <c r="S55" s="113">
        <f t="shared" si="3"/>
        <v>9.4915254237288138E-2</v>
      </c>
      <c r="T55" s="113">
        <f t="shared" si="4"/>
        <v>0</v>
      </c>
      <c r="U55" s="113">
        <f t="shared" si="5"/>
        <v>9.7241637163668862E-2</v>
      </c>
    </row>
    <row r="56" spans="1:21" x14ac:dyDescent="0.45">
      <c r="A56" s="95">
        <v>44616</v>
      </c>
      <c r="B56" s="96">
        <v>4639</v>
      </c>
      <c r="C56" s="7">
        <v>913</v>
      </c>
      <c r="D56" s="7">
        <f t="shared" si="0"/>
        <v>3726</v>
      </c>
      <c r="E56" s="97">
        <v>1475</v>
      </c>
      <c r="F56" s="7">
        <v>140</v>
      </c>
      <c r="G56" s="7">
        <f t="shared" si="1"/>
        <v>1335</v>
      </c>
      <c r="H56" s="98">
        <v>0</v>
      </c>
      <c r="I56" s="7">
        <v>0</v>
      </c>
      <c r="J56" s="7"/>
      <c r="K56" s="99">
        <f t="shared" si="6"/>
        <v>6114</v>
      </c>
      <c r="L56" s="7">
        <v>0</v>
      </c>
      <c r="M56" s="7">
        <v>0</v>
      </c>
      <c r="N56" s="7">
        <v>0</v>
      </c>
      <c r="O56" s="7">
        <v>0</v>
      </c>
      <c r="P56" s="7">
        <v>4456.9370432053493</v>
      </c>
      <c r="Q56" s="7">
        <v>7865.6215744046494</v>
      </c>
      <c r="R56" s="113">
        <f t="shared" si="2"/>
        <v>0.19680965725371846</v>
      </c>
      <c r="S56" s="113">
        <f t="shared" si="3"/>
        <v>9.4915254237288138E-2</v>
      </c>
      <c r="T56" s="113">
        <f t="shared" si="4"/>
        <v>0</v>
      </c>
      <c r="U56" s="113">
        <f t="shared" si="5"/>
        <v>9.7241637163668862E-2</v>
      </c>
    </row>
    <row r="57" spans="1:21" x14ac:dyDescent="0.45">
      <c r="A57" s="95">
        <v>44617</v>
      </c>
      <c r="B57" s="96">
        <v>4639</v>
      </c>
      <c r="C57" s="7">
        <v>913</v>
      </c>
      <c r="D57" s="7">
        <f t="shared" si="0"/>
        <v>3726</v>
      </c>
      <c r="E57" s="97">
        <v>1475</v>
      </c>
      <c r="F57" s="7">
        <v>140</v>
      </c>
      <c r="G57" s="7">
        <f t="shared" si="1"/>
        <v>1335</v>
      </c>
      <c r="H57" s="98">
        <v>0</v>
      </c>
      <c r="I57" s="7">
        <v>0</v>
      </c>
      <c r="J57" s="7"/>
      <c r="K57" s="99">
        <f t="shared" si="6"/>
        <v>6114</v>
      </c>
      <c r="L57" s="7">
        <v>0</v>
      </c>
      <c r="M57" s="7">
        <v>0</v>
      </c>
      <c r="N57" s="7">
        <v>0</v>
      </c>
      <c r="O57" s="7">
        <v>0</v>
      </c>
      <c r="P57" s="7">
        <v>4456.9370432053493</v>
      </c>
      <c r="Q57" s="7">
        <v>8040.5291478246509</v>
      </c>
      <c r="R57" s="113">
        <f t="shared" si="2"/>
        <v>0.19680965725371846</v>
      </c>
      <c r="S57" s="113">
        <f t="shared" si="3"/>
        <v>9.4915254237288138E-2</v>
      </c>
      <c r="T57" s="113">
        <f t="shared" si="4"/>
        <v>0</v>
      </c>
      <c r="U57" s="113">
        <f t="shared" si="5"/>
        <v>9.7241637163668862E-2</v>
      </c>
    </row>
    <row r="58" spans="1:21" x14ac:dyDescent="0.45">
      <c r="A58" s="95">
        <v>44618</v>
      </c>
      <c r="B58" s="96">
        <v>4639</v>
      </c>
      <c r="C58" s="7">
        <v>913</v>
      </c>
      <c r="D58" s="7">
        <f t="shared" si="0"/>
        <v>3726</v>
      </c>
      <c r="E58" s="97">
        <v>1475</v>
      </c>
      <c r="F58" s="7">
        <v>140</v>
      </c>
      <c r="G58" s="7">
        <f t="shared" si="1"/>
        <v>1335</v>
      </c>
      <c r="H58" s="98">
        <v>0</v>
      </c>
      <c r="I58" s="7">
        <v>0</v>
      </c>
      <c r="J58" s="7"/>
      <c r="K58" s="99">
        <f t="shared" si="6"/>
        <v>6114</v>
      </c>
      <c r="L58" s="7">
        <v>0</v>
      </c>
      <c r="M58" s="7">
        <v>0</v>
      </c>
      <c r="N58" s="7">
        <v>0</v>
      </c>
      <c r="O58" s="7">
        <v>0</v>
      </c>
      <c r="P58" s="7">
        <v>4456.9370432053493</v>
      </c>
      <c r="Q58" s="7">
        <v>8040.5291478246509</v>
      </c>
      <c r="R58" s="113">
        <f t="shared" si="2"/>
        <v>0.19680965725371846</v>
      </c>
      <c r="S58" s="113">
        <f t="shared" si="3"/>
        <v>9.4915254237288138E-2</v>
      </c>
      <c r="T58" s="113">
        <f t="shared" si="4"/>
        <v>0</v>
      </c>
      <c r="U58" s="113">
        <f t="shared" si="5"/>
        <v>9.7241637163668862E-2</v>
      </c>
    </row>
    <row r="59" spans="1:21" x14ac:dyDescent="0.45">
      <c r="A59" s="95">
        <v>44619</v>
      </c>
      <c r="B59" s="96">
        <v>4639</v>
      </c>
      <c r="C59" s="7">
        <v>913</v>
      </c>
      <c r="D59" s="7">
        <f t="shared" si="0"/>
        <v>3726</v>
      </c>
      <c r="E59" s="97">
        <v>1475</v>
      </c>
      <c r="F59" s="7">
        <v>140</v>
      </c>
      <c r="G59" s="7">
        <f t="shared" si="1"/>
        <v>1335</v>
      </c>
      <c r="H59" s="98">
        <v>0</v>
      </c>
      <c r="I59" s="7">
        <v>0</v>
      </c>
      <c r="J59" s="7"/>
      <c r="K59" s="99">
        <f t="shared" si="6"/>
        <v>6114</v>
      </c>
      <c r="L59" s="7">
        <v>0</v>
      </c>
      <c r="M59" s="7">
        <v>0</v>
      </c>
      <c r="N59" s="7">
        <v>0</v>
      </c>
      <c r="O59" s="7">
        <v>0</v>
      </c>
      <c r="P59" s="7">
        <v>4456.9370432053493</v>
      </c>
      <c r="Q59" s="7">
        <v>8040.5291478246509</v>
      </c>
      <c r="R59" s="113">
        <f t="shared" si="2"/>
        <v>0.19680965725371846</v>
      </c>
      <c r="S59" s="113">
        <f t="shared" si="3"/>
        <v>9.4915254237288138E-2</v>
      </c>
      <c r="T59" s="113">
        <f t="shared" si="4"/>
        <v>0</v>
      </c>
      <c r="U59" s="113">
        <f t="shared" si="5"/>
        <v>9.7241637163668862E-2</v>
      </c>
    </row>
    <row r="60" spans="1:21" x14ac:dyDescent="0.45">
      <c r="A60" s="95">
        <v>44620</v>
      </c>
      <c r="B60" s="96">
        <v>4639</v>
      </c>
      <c r="C60" s="7">
        <v>913</v>
      </c>
      <c r="D60" s="7">
        <f t="shared" si="0"/>
        <v>3726</v>
      </c>
      <c r="E60" s="97">
        <v>1475</v>
      </c>
      <c r="F60" s="7">
        <v>140</v>
      </c>
      <c r="G60" s="7">
        <f t="shared" si="1"/>
        <v>1335</v>
      </c>
      <c r="H60" s="98">
        <v>0</v>
      </c>
      <c r="I60" s="7">
        <v>0</v>
      </c>
      <c r="J60" s="7"/>
      <c r="K60" s="99">
        <f t="shared" si="6"/>
        <v>6114</v>
      </c>
      <c r="L60" s="7">
        <v>0</v>
      </c>
      <c r="M60" s="7">
        <v>0</v>
      </c>
      <c r="N60" s="7">
        <v>0</v>
      </c>
      <c r="O60" s="7">
        <v>0</v>
      </c>
      <c r="P60" s="7">
        <v>4456.9370432053493</v>
      </c>
      <c r="Q60" s="7">
        <v>8266.5828929146519</v>
      </c>
      <c r="R60" s="113">
        <f t="shared" si="2"/>
        <v>0.19680965725371846</v>
      </c>
      <c r="S60" s="113">
        <f t="shared" si="3"/>
        <v>9.4915254237288138E-2</v>
      </c>
      <c r="T60" s="113">
        <f t="shared" si="4"/>
        <v>0</v>
      </c>
      <c r="U60" s="113">
        <f t="shared" si="5"/>
        <v>9.7241637163668862E-2</v>
      </c>
    </row>
    <row r="61" spans="1:21" x14ac:dyDescent="0.45">
      <c r="A61" s="95">
        <v>44621</v>
      </c>
      <c r="B61" s="96">
        <v>4639</v>
      </c>
      <c r="C61" s="7">
        <v>913</v>
      </c>
      <c r="D61" s="7">
        <f t="shared" si="0"/>
        <v>3726</v>
      </c>
      <c r="E61" s="97">
        <v>1475</v>
      </c>
      <c r="F61" s="7">
        <v>140</v>
      </c>
      <c r="G61" s="7">
        <f t="shared" si="1"/>
        <v>1335</v>
      </c>
      <c r="H61" s="98">
        <v>0</v>
      </c>
      <c r="I61" s="7">
        <v>0</v>
      </c>
      <c r="J61" s="7"/>
      <c r="K61" s="99">
        <f t="shared" si="6"/>
        <v>6114</v>
      </c>
      <c r="L61" s="7">
        <v>0</v>
      </c>
      <c r="M61" s="7">
        <v>0</v>
      </c>
      <c r="N61" s="7">
        <v>0</v>
      </c>
      <c r="O61" s="7">
        <v>0</v>
      </c>
      <c r="P61" s="7">
        <v>4456.9370432053493</v>
      </c>
      <c r="Q61" s="7">
        <v>9303.4062388646507</v>
      </c>
      <c r="R61" s="113">
        <f t="shared" si="2"/>
        <v>0.19680965725371846</v>
      </c>
      <c r="S61" s="113">
        <f t="shared" si="3"/>
        <v>9.4915254237288138E-2</v>
      </c>
      <c r="T61" s="113">
        <f t="shared" si="4"/>
        <v>0</v>
      </c>
      <c r="U61" s="113">
        <f t="shared" si="5"/>
        <v>9.7241637163668862E-2</v>
      </c>
    </row>
    <row r="62" spans="1:21" x14ac:dyDescent="0.45">
      <c r="A62" s="95">
        <v>44622</v>
      </c>
      <c r="B62" s="96">
        <v>4759</v>
      </c>
      <c r="C62" s="7">
        <v>913</v>
      </c>
      <c r="D62" s="7">
        <f t="shared" si="0"/>
        <v>3846</v>
      </c>
      <c r="E62" s="97">
        <v>1475</v>
      </c>
      <c r="F62" s="7">
        <v>140</v>
      </c>
      <c r="G62" s="7">
        <f t="shared" si="1"/>
        <v>1335</v>
      </c>
      <c r="H62" s="98">
        <v>0</v>
      </c>
      <c r="I62" s="7">
        <v>0</v>
      </c>
      <c r="J62" s="7"/>
      <c r="K62" s="99">
        <f t="shared" si="6"/>
        <v>6234</v>
      </c>
      <c r="L62" s="7">
        <v>0</v>
      </c>
      <c r="M62" s="7">
        <v>0</v>
      </c>
      <c r="N62" s="7">
        <v>0</v>
      </c>
      <c r="O62" s="7">
        <v>0</v>
      </c>
      <c r="P62" s="7">
        <v>4456.9370432053493</v>
      </c>
      <c r="Q62" s="7">
        <v>8794.4306887346502</v>
      </c>
      <c r="R62" s="113">
        <f t="shared" si="2"/>
        <v>0.19184702668627862</v>
      </c>
      <c r="S62" s="113">
        <f t="shared" si="3"/>
        <v>9.4915254237288138E-2</v>
      </c>
      <c r="T62" s="113">
        <f t="shared" si="4"/>
        <v>0</v>
      </c>
      <c r="U62" s="113">
        <f t="shared" si="5"/>
        <v>9.5587426974522258E-2</v>
      </c>
    </row>
    <row r="63" spans="1:21" x14ac:dyDescent="0.45">
      <c r="A63" s="95">
        <v>44623</v>
      </c>
      <c r="B63" s="96">
        <v>4759</v>
      </c>
      <c r="C63" s="7">
        <v>1033</v>
      </c>
      <c r="D63" s="7">
        <f t="shared" si="0"/>
        <v>3726</v>
      </c>
      <c r="E63" s="97">
        <v>1475</v>
      </c>
      <c r="F63" s="7">
        <v>140</v>
      </c>
      <c r="G63" s="7">
        <f t="shared" si="1"/>
        <v>1335</v>
      </c>
      <c r="H63" s="98">
        <v>0</v>
      </c>
      <c r="I63" s="7">
        <v>0</v>
      </c>
      <c r="J63" s="7"/>
      <c r="K63" s="99">
        <f t="shared" si="6"/>
        <v>6234</v>
      </c>
      <c r="L63" s="7">
        <v>0</v>
      </c>
      <c r="M63" s="7">
        <v>0</v>
      </c>
      <c r="N63" s="7">
        <v>0</v>
      </c>
      <c r="O63" s="7">
        <v>0</v>
      </c>
      <c r="P63" s="7">
        <v>4456.9370432053493</v>
      </c>
      <c r="Q63" s="7">
        <v>8897.3145279246492</v>
      </c>
      <c r="R63" s="113">
        <f t="shared" si="2"/>
        <v>0.21706240806892205</v>
      </c>
      <c r="S63" s="113">
        <f t="shared" si="3"/>
        <v>9.4915254237288138E-2</v>
      </c>
      <c r="T63" s="113">
        <f t="shared" si="4"/>
        <v>0</v>
      </c>
      <c r="U63" s="113">
        <f t="shared" si="5"/>
        <v>0.10399255410207005</v>
      </c>
    </row>
    <row r="64" spans="1:21" x14ac:dyDescent="0.45">
      <c r="A64" s="95">
        <v>44624</v>
      </c>
      <c r="B64" s="96">
        <v>4759</v>
      </c>
      <c r="C64" s="7">
        <v>1033</v>
      </c>
      <c r="D64" s="7">
        <f t="shared" si="0"/>
        <v>3726</v>
      </c>
      <c r="E64" s="97">
        <v>1475</v>
      </c>
      <c r="F64" s="7">
        <v>140</v>
      </c>
      <c r="G64" s="7">
        <f t="shared" si="1"/>
        <v>1335</v>
      </c>
      <c r="H64" s="98">
        <v>0</v>
      </c>
      <c r="I64" s="7">
        <v>0</v>
      </c>
      <c r="J64" s="7"/>
      <c r="K64" s="99">
        <f t="shared" si="6"/>
        <v>6234</v>
      </c>
      <c r="L64" s="7">
        <v>0</v>
      </c>
      <c r="M64" s="7">
        <v>0</v>
      </c>
      <c r="N64" s="7">
        <v>0</v>
      </c>
      <c r="O64" s="7">
        <v>0</v>
      </c>
      <c r="P64" s="7">
        <v>4456.9370432053493</v>
      </c>
      <c r="Q64" s="7">
        <v>8820.1844274146515</v>
      </c>
      <c r="R64" s="113">
        <f t="shared" si="2"/>
        <v>0.21706240806892205</v>
      </c>
      <c r="S64" s="113">
        <f t="shared" si="3"/>
        <v>9.4915254237288138E-2</v>
      </c>
      <c r="T64" s="113">
        <f t="shared" si="4"/>
        <v>0</v>
      </c>
      <c r="U64" s="113">
        <f t="shared" si="5"/>
        <v>0.10399255410207005</v>
      </c>
    </row>
    <row r="65" spans="1:21" x14ac:dyDescent="0.45">
      <c r="A65" s="95">
        <v>44625</v>
      </c>
      <c r="B65" s="96">
        <v>4759</v>
      </c>
      <c r="C65" s="7">
        <v>1033</v>
      </c>
      <c r="D65" s="7">
        <f t="shared" si="0"/>
        <v>3726</v>
      </c>
      <c r="E65" s="97">
        <v>1475</v>
      </c>
      <c r="F65" s="7">
        <v>140</v>
      </c>
      <c r="G65" s="7">
        <f t="shared" si="1"/>
        <v>1335</v>
      </c>
      <c r="H65" s="98">
        <v>0</v>
      </c>
      <c r="I65" s="7">
        <v>0</v>
      </c>
      <c r="J65" s="7"/>
      <c r="K65" s="99">
        <f t="shared" si="6"/>
        <v>6234</v>
      </c>
      <c r="L65" s="7">
        <v>0</v>
      </c>
      <c r="M65" s="7">
        <v>0</v>
      </c>
      <c r="N65" s="7">
        <v>0</v>
      </c>
      <c r="O65" s="7">
        <v>0</v>
      </c>
      <c r="P65" s="7">
        <v>4456.9370432053493</v>
      </c>
      <c r="Q65" s="7">
        <v>8820.1844274146515</v>
      </c>
      <c r="R65" s="113">
        <f t="shared" si="2"/>
        <v>0.21706240806892205</v>
      </c>
      <c r="S65" s="113">
        <f t="shared" si="3"/>
        <v>9.4915254237288138E-2</v>
      </c>
      <c r="T65" s="113">
        <f t="shared" si="4"/>
        <v>0</v>
      </c>
      <c r="U65" s="113">
        <f t="shared" si="5"/>
        <v>0.10399255410207005</v>
      </c>
    </row>
    <row r="66" spans="1:21" x14ac:dyDescent="0.45">
      <c r="A66" s="95">
        <v>44626</v>
      </c>
      <c r="B66" s="96">
        <v>4759</v>
      </c>
      <c r="C66" s="7">
        <v>1033</v>
      </c>
      <c r="D66" s="7">
        <f t="shared" ref="D66:D129" si="7">B66-C66</f>
        <v>3726</v>
      </c>
      <c r="E66" s="97">
        <v>1475</v>
      </c>
      <c r="F66" s="7">
        <v>140</v>
      </c>
      <c r="G66" s="7">
        <f t="shared" ref="G66:G129" si="8">E66-F66</f>
        <v>1335</v>
      </c>
      <c r="H66" s="98">
        <v>0</v>
      </c>
      <c r="I66" s="7">
        <v>0</v>
      </c>
      <c r="J66" s="7"/>
      <c r="K66" s="99">
        <f t="shared" si="6"/>
        <v>6234</v>
      </c>
      <c r="L66" s="7">
        <v>0</v>
      </c>
      <c r="M66" s="7">
        <v>0</v>
      </c>
      <c r="N66" s="7">
        <v>0</v>
      </c>
      <c r="O66" s="7">
        <v>0</v>
      </c>
      <c r="P66" s="7">
        <v>4456.9370432053493</v>
      </c>
      <c r="Q66" s="7">
        <v>8820.1844274146515</v>
      </c>
      <c r="R66" s="113">
        <f t="shared" si="2"/>
        <v>0.21706240806892205</v>
      </c>
      <c r="S66" s="113">
        <f t="shared" si="3"/>
        <v>9.4915254237288138E-2</v>
      </c>
      <c r="T66" s="113">
        <f t="shared" si="4"/>
        <v>0</v>
      </c>
      <c r="U66" s="113">
        <f t="shared" si="5"/>
        <v>0.10399255410207005</v>
      </c>
    </row>
    <row r="67" spans="1:21" x14ac:dyDescent="0.45">
      <c r="A67" s="95">
        <v>44627</v>
      </c>
      <c r="B67" s="96">
        <v>4759</v>
      </c>
      <c r="C67" s="7">
        <v>1033</v>
      </c>
      <c r="D67" s="7">
        <f t="shared" si="7"/>
        <v>3726</v>
      </c>
      <c r="E67" s="97">
        <v>1475</v>
      </c>
      <c r="F67" s="7">
        <v>140</v>
      </c>
      <c r="G67" s="7">
        <f t="shared" si="8"/>
        <v>1335</v>
      </c>
      <c r="H67" s="98">
        <v>0</v>
      </c>
      <c r="I67" s="7">
        <v>0</v>
      </c>
      <c r="J67" s="7"/>
      <c r="K67" s="99">
        <f t="shared" si="6"/>
        <v>6234</v>
      </c>
      <c r="L67" s="7">
        <v>0</v>
      </c>
      <c r="M67" s="7">
        <v>0</v>
      </c>
      <c r="N67" s="7">
        <v>0</v>
      </c>
      <c r="O67" s="7">
        <v>0</v>
      </c>
      <c r="P67" s="7">
        <v>4456.9370432053493</v>
      </c>
      <c r="Q67" s="7">
        <v>8753.3212717146507</v>
      </c>
      <c r="R67" s="113">
        <f t="shared" ref="R67:R130" si="9">C67/B67</f>
        <v>0.21706240806892205</v>
      </c>
      <c r="S67" s="113">
        <f t="shared" ref="S67:S130" si="10">F67/E67</f>
        <v>9.4915254237288138E-2</v>
      </c>
      <c r="T67" s="113">
        <f t="shared" ref="T67:T130" si="11">IF(H67=0,0,I67/H67)</f>
        <v>0</v>
      </c>
      <c r="U67" s="113">
        <f t="shared" ref="U67:U130" si="12">AVERAGE(R67:T67)</f>
        <v>0.10399255410207005</v>
      </c>
    </row>
    <row r="68" spans="1:21" x14ac:dyDescent="0.45">
      <c r="A68" s="95">
        <v>44628</v>
      </c>
      <c r="B68" s="96">
        <v>4759</v>
      </c>
      <c r="C68" s="7">
        <v>1033</v>
      </c>
      <c r="D68" s="7">
        <f t="shared" si="7"/>
        <v>3726</v>
      </c>
      <c r="E68" s="97">
        <v>1475</v>
      </c>
      <c r="F68" s="7">
        <v>140</v>
      </c>
      <c r="G68" s="7">
        <f t="shared" si="8"/>
        <v>1335</v>
      </c>
      <c r="H68" s="98">
        <v>0</v>
      </c>
      <c r="I68" s="7">
        <v>0</v>
      </c>
      <c r="J68" s="7"/>
      <c r="K68" s="99">
        <f t="shared" ref="K68:K131" si="13">B68+E68+H68</f>
        <v>6234</v>
      </c>
      <c r="L68" s="7">
        <v>0</v>
      </c>
      <c r="M68" s="7">
        <v>0</v>
      </c>
      <c r="N68" s="7">
        <v>0</v>
      </c>
      <c r="O68" s="7">
        <v>0</v>
      </c>
      <c r="P68" s="7">
        <v>4456.9370432053493</v>
      </c>
      <c r="Q68" s="7">
        <v>8404.2627305046517</v>
      </c>
      <c r="R68" s="113">
        <f t="shared" si="9"/>
        <v>0.21706240806892205</v>
      </c>
      <c r="S68" s="113">
        <f t="shared" si="10"/>
        <v>9.4915254237288138E-2</v>
      </c>
      <c r="T68" s="113">
        <f t="shared" si="11"/>
        <v>0</v>
      </c>
      <c r="U68" s="113">
        <f t="shared" si="12"/>
        <v>0.10399255410207005</v>
      </c>
    </row>
    <row r="69" spans="1:21" x14ac:dyDescent="0.45">
      <c r="A69" s="95">
        <v>44629</v>
      </c>
      <c r="B69" s="96">
        <v>4759</v>
      </c>
      <c r="C69" s="7">
        <v>1033</v>
      </c>
      <c r="D69" s="7">
        <f t="shared" si="7"/>
        <v>3726</v>
      </c>
      <c r="E69" s="97">
        <v>1475</v>
      </c>
      <c r="F69" s="7">
        <v>140</v>
      </c>
      <c r="G69" s="7">
        <f t="shared" si="8"/>
        <v>1335</v>
      </c>
      <c r="H69" s="98">
        <v>0</v>
      </c>
      <c r="I69" s="7">
        <v>0</v>
      </c>
      <c r="J69" s="7"/>
      <c r="K69" s="99">
        <f t="shared" si="13"/>
        <v>6234</v>
      </c>
      <c r="L69" s="7">
        <v>0</v>
      </c>
      <c r="M69" s="7">
        <v>0</v>
      </c>
      <c r="N69" s="7">
        <v>0</v>
      </c>
      <c r="O69" s="7">
        <v>0</v>
      </c>
      <c r="P69" s="7">
        <v>4456.9370432053493</v>
      </c>
      <c r="Q69" s="7">
        <v>8054.2393078346504</v>
      </c>
      <c r="R69" s="113">
        <f t="shared" si="9"/>
        <v>0.21706240806892205</v>
      </c>
      <c r="S69" s="113">
        <f t="shared" si="10"/>
        <v>9.4915254237288138E-2</v>
      </c>
      <c r="T69" s="113">
        <f t="shared" si="11"/>
        <v>0</v>
      </c>
      <c r="U69" s="113">
        <f t="shared" si="12"/>
        <v>0.10399255410207005</v>
      </c>
    </row>
    <row r="70" spans="1:21" x14ac:dyDescent="0.45">
      <c r="A70" s="95">
        <v>44630</v>
      </c>
      <c r="B70" s="96">
        <v>4759</v>
      </c>
      <c r="C70" s="7">
        <v>1033</v>
      </c>
      <c r="D70" s="7">
        <f t="shared" si="7"/>
        <v>3726</v>
      </c>
      <c r="E70" s="97">
        <v>1475</v>
      </c>
      <c r="F70" s="7">
        <v>140</v>
      </c>
      <c r="G70" s="7">
        <f t="shared" si="8"/>
        <v>1335</v>
      </c>
      <c r="H70" s="98">
        <v>0</v>
      </c>
      <c r="I70" s="7">
        <v>0</v>
      </c>
      <c r="J70" s="7"/>
      <c r="K70" s="99">
        <f t="shared" si="13"/>
        <v>6234</v>
      </c>
      <c r="L70" s="7">
        <v>0</v>
      </c>
      <c r="M70" s="7">
        <v>0</v>
      </c>
      <c r="N70" s="7">
        <v>0</v>
      </c>
      <c r="O70" s="7">
        <v>0</v>
      </c>
      <c r="P70" s="7">
        <v>4456.9370432053493</v>
      </c>
      <c r="Q70" s="7">
        <v>7746.6192897346518</v>
      </c>
      <c r="R70" s="113">
        <f t="shared" si="9"/>
        <v>0.21706240806892205</v>
      </c>
      <c r="S70" s="113">
        <f t="shared" si="10"/>
        <v>9.4915254237288138E-2</v>
      </c>
      <c r="T70" s="113">
        <f t="shared" si="11"/>
        <v>0</v>
      </c>
      <c r="U70" s="113">
        <f t="shared" si="12"/>
        <v>0.10399255410207005</v>
      </c>
    </row>
    <row r="71" spans="1:21" x14ac:dyDescent="0.45">
      <c r="A71" s="95">
        <v>44631</v>
      </c>
      <c r="B71" s="96">
        <v>4759</v>
      </c>
      <c r="C71" s="7">
        <v>1033</v>
      </c>
      <c r="D71" s="7">
        <f t="shared" si="7"/>
        <v>3726</v>
      </c>
      <c r="E71" s="97">
        <v>1475</v>
      </c>
      <c r="F71" s="7">
        <v>140</v>
      </c>
      <c r="G71" s="7">
        <f t="shared" si="8"/>
        <v>1335</v>
      </c>
      <c r="H71" s="98">
        <v>0</v>
      </c>
      <c r="I71" s="7">
        <v>0</v>
      </c>
      <c r="J71" s="7"/>
      <c r="K71" s="99">
        <f t="shared" si="13"/>
        <v>6234</v>
      </c>
      <c r="L71" s="7">
        <v>0</v>
      </c>
      <c r="M71" s="7">
        <v>0</v>
      </c>
      <c r="N71" s="7">
        <v>0</v>
      </c>
      <c r="O71" s="7">
        <v>0</v>
      </c>
      <c r="P71" s="7">
        <v>4456.9370432053493</v>
      </c>
      <c r="Q71" s="7">
        <v>7880.2032807046498</v>
      </c>
      <c r="R71" s="113">
        <f t="shared" si="9"/>
        <v>0.21706240806892205</v>
      </c>
      <c r="S71" s="113">
        <f t="shared" si="10"/>
        <v>9.4915254237288138E-2</v>
      </c>
      <c r="T71" s="113">
        <f t="shared" si="11"/>
        <v>0</v>
      </c>
      <c r="U71" s="113">
        <f t="shared" si="12"/>
        <v>0.10399255410207005</v>
      </c>
    </row>
    <row r="72" spans="1:21" x14ac:dyDescent="0.45">
      <c r="A72" s="95">
        <v>44632</v>
      </c>
      <c r="B72" s="96">
        <v>4759</v>
      </c>
      <c r="C72" s="7">
        <v>1033</v>
      </c>
      <c r="D72" s="7">
        <f t="shared" si="7"/>
        <v>3726</v>
      </c>
      <c r="E72" s="97">
        <v>1475</v>
      </c>
      <c r="F72" s="7">
        <v>140</v>
      </c>
      <c r="G72" s="7">
        <f t="shared" si="8"/>
        <v>1335</v>
      </c>
      <c r="H72" s="98">
        <v>0</v>
      </c>
      <c r="I72" s="7">
        <v>0</v>
      </c>
      <c r="J72" s="7"/>
      <c r="K72" s="99">
        <f t="shared" si="13"/>
        <v>6234</v>
      </c>
      <c r="L72" s="7">
        <v>0</v>
      </c>
      <c r="M72" s="7">
        <v>0</v>
      </c>
      <c r="N72" s="7">
        <v>0</v>
      </c>
      <c r="O72" s="7">
        <v>0</v>
      </c>
      <c r="P72" s="7">
        <v>4456.9370432053493</v>
      </c>
      <c r="Q72" s="7">
        <v>7880.2032807046498</v>
      </c>
      <c r="R72" s="113">
        <f t="shared" si="9"/>
        <v>0.21706240806892205</v>
      </c>
      <c r="S72" s="113">
        <f t="shared" si="10"/>
        <v>9.4915254237288138E-2</v>
      </c>
      <c r="T72" s="113">
        <f t="shared" si="11"/>
        <v>0</v>
      </c>
      <c r="U72" s="113">
        <f t="shared" si="12"/>
        <v>0.10399255410207005</v>
      </c>
    </row>
    <row r="73" spans="1:21" x14ac:dyDescent="0.45">
      <c r="A73" s="95">
        <v>44633</v>
      </c>
      <c r="B73" s="96">
        <v>4759</v>
      </c>
      <c r="C73" s="7">
        <v>1033</v>
      </c>
      <c r="D73" s="7">
        <f t="shared" si="7"/>
        <v>3726</v>
      </c>
      <c r="E73" s="97">
        <v>1475</v>
      </c>
      <c r="F73" s="7">
        <v>140</v>
      </c>
      <c r="G73" s="7">
        <f t="shared" si="8"/>
        <v>1335</v>
      </c>
      <c r="H73" s="98">
        <v>0</v>
      </c>
      <c r="I73" s="7">
        <v>0</v>
      </c>
      <c r="J73" s="7"/>
      <c r="K73" s="99">
        <f t="shared" si="13"/>
        <v>6234</v>
      </c>
      <c r="L73" s="7">
        <v>0</v>
      </c>
      <c r="M73" s="7">
        <v>0</v>
      </c>
      <c r="N73" s="7">
        <v>0</v>
      </c>
      <c r="O73" s="7">
        <v>0</v>
      </c>
      <c r="P73" s="7">
        <v>4456.9370432053493</v>
      </c>
      <c r="Q73" s="7">
        <v>7880.2032807046498</v>
      </c>
      <c r="R73" s="113">
        <f t="shared" si="9"/>
        <v>0.21706240806892205</v>
      </c>
      <c r="S73" s="113">
        <f t="shared" si="10"/>
        <v>9.4915254237288138E-2</v>
      </c>
      <c r="T73" s="113">
        <f t="shared" si="11"/>
        <v>0</v>
      </c>
      <c r="U73" s="113">
        <f t="shared" si="12"/>
        <v>0.10399255410207005</v>
      </c>
    </row>
    <row r="74" spans="1:21" x14ac:dyDescent="0.45">
      <c r="A74" s="95">
        <v>44634</v>
      </c>
      <c r="B74" s="96">
        <v>4759</v>
      </c>
      <c r="C74" s="7">
        <v>1033</v>
      </c>
      <c r="D74" s="7">
        <f t="shared" si="7"/>
        <v>3726</v>
      </c>
      <c r="E74" s="97">
        <v>1475</v>
      </c>
      <c r="F74" s="7">
        <v>140</v>
      </c>
      <c r="G74" s="7">
        <f t="shared" si="8"/>
        <v>1335</v>
      </c>
      <c r="H74" s="98">
        <v>0</v>
      </c>
      <c r="I74" s="7">
        <v>0</v>
      </c>
      <c r="J74" s="7"/>
      <c r="K74" s="99">
        <f t="shared" si="13"/>
        <v>6234</v>
      </c>
      <c r="L74" s="7">
        <v>0</v>
      </c>
      <c r="M74" s="7">
        <v>0</v>
      </c>
      <c r="N74" s="7">
        <v>0</v>
      </c>
      <c r="O74" s="7">
        <v>0</v>
      </c>
      <c r="P74" s="7">
        <v>4456.9370432053493</v>
      </c>
      <c r="Q74" s="7">
        <v>8355.8308250446516</v>
      </c>
      <c r="R74" s="113">
        <f t="shared" si="9"/>
        <v>0.21706240806892205</v>
      </c>
      <c r="S74" s="113">
        <f t="shared" si="10"/>
        <v>9.4915254237288138E-2</v>
      </c>
      <c r="T74" s="113">
        <f t="shared" si="11"/>
        <v>0</v>
      </c>
      <c r="U74" s="113">
        <f t="shared" si="12"/>
        <v>0.10399255410207005</v>
      </c>
    </row>
    <row r="75" spans="1:21" x14ac:dyDescent="0.45">
      <c r="A75" s="95">
        <v>44635</v>
      </c>
      <c r="B75" s="96">
        <v>4759</v>
      </c>
      <c r="C75" s="7">
        <v>1033</v>
      </c>
      <c r="D75" s="7">
        <f t="shared" si="7"/>
        <v>3726</v>
      </c>
      <c r="E75" s="97">
        <v>1475</v>
      </c>
      <c r="F75" s="7">
        <v>140</v>
      </c>
      <c r="G75" s="7">
        <f t="shared" si="8"/>
        <v>1335</v>
      </c>
      <c r="H75" s="98">
        <v>0</v>
      </c>
      <c r="I75" s="7">
        <v>0</v>
      </c>
      <c r="J75" s="7"/>
      <c r="K75" s="99">
        <f t="shared" si="13"/>
        <v>6234</v>
      </c>
      <c r="L75" s="7">
        <v>0</v>
      </c>
      <c r="M75" s="7">
        <v>0</v>
      </c>
      <c r="N75" s="7">
        <v>0</v>
      </c>
      <c r="O75" s="7">
        <v>0</v>
      </c>
      <c r="P75" s="7">
        <v>4456.9370432053493</v>
      </c>
      <c r="Q75" s="7">
        <v>8175.0977838846502</v>
      </c>
      <c r="R75" s="113">
        <f t="shared" si="9"/>
        <v>0.21706240806892205</v>
      </c>
      <c r="S75" s="113">
        <f t="shared" si="10"/>
        <v>9.4915254237288138E-2</v>
      </c>
      <c r="T75" s="113">
        <f t="shared" si="11"/>
        <v>0</v>
      </c>
      <c r="U75" s="113">
        <f t="shared" si="12"/>
        <v>0.10399255410207005</v>
      </c>
    </row>
    <row r="76" spans="1:21" x14ac:dyDescent="0.45">
      <c r="A76" s="95">
        <v>44636</v>
      </c>
      <c r="B76" s="96">
        <v>4759</v>
      </c>
      <c r="C76" s="7">
        <v>1033</v>
      </c>
      <c r="D76" s="7">
        <f t="shared" si="7"/>
        <v>3726</v>
      </c>
      <c r="E76" s="97">
        <v>1475</v>
      </c>
      <c r="F76" s="7">
        <v>140</v>
      </c>
      <c r="G76" s="7">
        <f t="shared" si="8"/>
        <v>1335</v>
      </c>
      <c r="H76" s="98">
        <v>0</v>
      </c>
      <c r="I76" s="7">
        <v>0</v>
      </c>
      <c r="J76" s="7"/>
      <c r="K76" s="99">
        <f t="shared" si="13"/>
        <v>6234</v>
      </c>
      <c r="L76" s="7">
        <v>0</v>
      </c>
      <c r="M76" s="7">
        <v>0</v>
      </c>
      <c r="N76" s="7">
        <v>0</v>
      </c>
      <c r="O76" s="7">
        <v>0</v>
      </c>
      <c r="P76" s="7">
        <v>4456.9370432053493</v>
      </c>
      <c r="Q76" s="7">
        <v>8137.7910493546478</v>
      </c>
      <c r="R76" s="113">
        <f t="shared" si="9"/>
        <v>0.21706240806892205</v>
      </c>
      <c r="S76" s="113">
        <f t="shared" si="10"/>
        <v>9.4915254237288138E-2</v>
      </c>
      <c r="T76" s="113">
        <f t="shared" si="11"/>
        <v>0</v>
      </c>
      <c r="U76" s="113">
        <f t="shared" si="12"/>
        <v>0.10399255410207005</v>
      </c>
    </row>
    <row r="77" spans="1:21" x14ac:dyDescent="0.45">
      <c r="A77" s="95">
        <v>44637</v>
      </c>
      <c r="B77" s="96">
        <v>4759</v>
      </c>
      <c r="C77" s="7">
        <v>1033</v>
      </c>
      <c r="D77" s="7">
        <f t="shared" si="7"/>
        <v>3726</v>
      </c>
      <c r="E77" s="97">
        <v>1475</v>
      </c>
      <c r="F77" s="7">
        <v>140</v>
      </c>
      <c r="G77" s="7">
        <f t="shared" si="8"/>
        <v>1335</v>
      </c>
      <c r="H77" s="98">
        <v>0</v>
      </c>
      <c r="I77" s="7">
        <v>0</v>
      </c>
      <c r="J77" s="7"/>
      <c r="K77" s="99">
        <f t="shared" si="13"/>
        <v>6234</v>
      </c>
      <c r="L77" s="7">
        <v>0</v>
      </c>
      <c r="M77" s="7">
        <v>0</v>
      </c>
      <c r="N77" s="7">
        <v>0</v>
      </c>
      <c r="O77" s="7">
        <v>0</v>
      </c>
      <c r="P77" s="7">
        <v>4456.9370432053493</v>
      </c>
      <c r="Q77" s="7">
        <v>7207.5285374346504</v>
      </c>
      <c r="R77" s="113">
        <f t="shared" si="9"/>
        <v>0.21706240806892205</v>
      </c>
      <c r="S77" s="113">
        <f t="shared" si="10"/>
        <v>9.4915254237288138E-2</v>
      </c>
      <c r="T77" s="113">
        <f t="shared" si="11"/>
        <v>0</v>
      </c>
      <c r="U77" s="113">
        <f t="shared" si="12"/>
        <v>0.10399255410207005</v>
      </c>
    </row>
    <row r="78" spans="1:21" x14ac:dyDescent="0.45">
      <c r="A78" s="95">
        <v>44638</v>
      </c>
      <c r="B78" s="96">
        <v>4759</v>
      </c>
      <c r="C78" s="7">
        <v>1033</v>
      </c>
      <c r="D78" s="7">
        <f t="shared" si="7"/>
        <v>3726</v>
      </c>
      <c r="E78" s="97">
        <v>1475</v>
      </c>
      <c r="F78" s="7">
        <v>140</v>
      </c>
      <c r="G78" s="7">
        <f t="shared" si="8"/>
        <v>1335</v>
      </c>
      <c r="H78" s="98">
        <v>0</v>
      </c>
      <c r="I78" s="7">
        <v>0</v>
      </c>
      <c r="J78" s="7"/>
      <c r="K78" s="99">
        <f t="shared" si="13"/>
        <v>6234</v>
      </c>
      <c r="L78" s="7">
        <v>0</v>
      </c>
      <c r="M78" s="7">
        <v>0</v>
      </c>
      <c r="N78" s="7">
        <v>0</v>
      </c>
      <c r="O78" s="7">
        <v>0</v>
      </c>
      <c r="P78" s="7">
        <v>4456.9370432053493</v>
      </c>
      <c r="Q78" s="7">
        <v>7195.5967736146513</v>
      </c>
      <c r="R78" s="113">
        <f t="shared" si="9"/>
        <v>0.21706240806892205</v>
      </c>
      <c r="S78" s="113">
        <f t="shared" si="10"/>
        <v>9.4915254237288138E-2</v>
      </c>
      <c r="T78" s="113">
        <f t="shared" si="11"/>
        <v>0</v>
      </c>
      <c r="U78" s="113">
        <f t="shared" si="12"/>
        <v>0.10399255410207005</v>
      </c>
    </row>
    <row r="79" spans="1:21" x14ac:dyDescent="0.45">
      <c r="A79" s="95">
        <v>44639</v>
      </c>
      <c r="B79" s="96">
        <v>4759</v>
      </c>
      <c r="C79" s="7">
        <v>1033</v>
      </c>
      <c r="D79" s="7">
        <f t="shared" si="7"/>
        <v>3726</v>
      </c>
      <c r="E79" s="97">
        <v>1475</v>
      </c>
      <c r="F79" s="7">
        <v>140</v>
      </c>
      <c r="G79" s="7">
        <f t="shared" si="8"/>
        <v>1335</v>
      </c>
      <c r="H79" s="98">
        <v>0</v>
      </c>
      <c r="I79" s="7">
        <v>0</v>
      </c>
      <c r="J79" s="7"/>
      <c r="K79" s="99">
        <f t="shared" si="13"/>
        <v>6234</v>
      </c>
      <c r="L79" s="7">
        <v>0</v>
      </c>
      <c r="M79" s="7">
        <v>0</v>
      </c>
      <c r="N79" s="7">
        <v>0</v>
      </c>
      <c r="O79" s="7">
        <v>0</v>
      </c>
      <c r="P79" s="7">
        <v>4456.9370432053493</v>
      </c>
      <c r="Q79" s="7">
        <v>7195.5967736146513</v>
      </c>
      <c r="R79" s="113">
        <f t="shared" si="9"/>
        <v>0.21706240806892205</v>
      </c>
      <c r="S79" s="113">
        <f t="shared" si="10"/>
        <v>9.4915254237288138E-2</v>
      </c>
      <c r="T79" s="113">
        <f t="shared" si="11"/>
        <v>0</v>
      </c>
      <c r="U79" s="113">
        <f t="shared" si="12"/>
        <v>0.10399255410207005</v>
      </c>
    </row>
    <row r="80" spans="1:21" x14ac:dyDescent="0.45">
      <c r="A80" s="95">
        <v>44640</v>
      </c>
      <c r="B80" s="96">
        <v>4759</v>
      </c>
      <c r="C80" s="7">
        <v>1033</v>
      </c>
      <c r="D80" s="7">
        <f t="shared" si="7"/>
        <v>3726</v>
      </c>
      <c r="E80" s="97">
        <v>1475</v>
      </c>
      <c r="F80" s="7">
        <v>140</v>
      </c>
      <c r="G80" s="7">
        <f t="shared" si="8"/>
        <v>1335</v>
      </c>
      <c r="H80" s="98">
        <v>0</v>
      </c>
      <c r="I80" s="7">
        <v>0</v>
      </c>
      <c r="J80" s="7"/>
      <c r="K80" s="99">
        <f t="shared" si="13"/>
        <v>6234</v>
      </c>
      <c r="L80" s="7">
        <v>0</v>
      </c>
      <c r="M80" s="7">
        <v>0</v>
      </c>
      <c r="N80" s="7">
        <v>0</v>
      </c>
      <c r="O80" s="7">
        <v>0</v>
      </c>
      <c r="P80" s="7">
        <v>4456.9370432053493</v>
      </c>
      <c r="Q80" s="7">
        <v>7195.5967736146513</v>
      </c>
      <c r="R80" s="113">
        <f t="shared" si="9"/>
        <v>0.21706240806892205</v>
      </c>
      <c r="S80" s="113">
        <f t="shared" si="10"/>
        <v>9.4915254237288138E-2</v>
      </c>
      <c r="T80" s="113">
        <f t="shared" si="11"/>
        <v>0</v>
      </c>
      <c r="U80" s="113">
        <f t="shared" si="12"/>
        <v>0.10399255410207005</v>
      </c>
    </row>
    <row r="81" spans="1:21" x14ac:dyDescent="0.45">
      <c r="A81" s="95">
        <v>44641</v>
      </c>
      <c r="B81" s="96">
        <v>4759</v>
      </c>
      <c r="C81" s="7">
        <v>1033</v>
      </c>
      <c r="D81" s="7">
        <f t="shared" si="7"/>
        <v>3726</v>
      </c>
      <c r="E81" s="97">
        <v>1475</v>
      </c>
      <c r="F81" s="7">
        <v>140</v>
      </c>
      <c r="G81" s="7">
        <f t="shared" si="8"/>
        <v>1335</v>
      </c>
      <c r="H81" s="98">
        <v>0</v>
      </c>
      <c r="I81" s="7">
        <v>0</v>
      </c>
      <c r="J81" s="7"/>
      <c r="K81" s="99">
        <f t="shared" si="13"/>
        <v>6234</v>
      </c>
      <c r="L81" s="7">
        <v>0</v>
      </c>
      <c r="M81" s="7">
        <v>0</v>
      </c>
      <c r="N81" s="7">
        <v>0</v>
      </c>
      <c r="O81" s="7">
        <v>0</v>
      </c>
      <c r="P81" s="7">
        <v>4473.8409049871998</v>
      </c>
      <c r="Q81" s="7">
        <v>7395.9791877728021</v>
      </c>
      <c r="R81" s="113">
        <f t="shared" si="9"/>
        <v>0.21706240806892205</v>
      </c>
      <c r="S81" s="113">
        <f t="shared" si="10"/>
        <v>9.4915254237288138E-2</v>
      </c>
      <c r="T81" s="113">
        <f t="shared" si="11"/>
        <v>0</v>
      </c>
      <c r="U81" s="113">
        <f t="shared" si="12"/>
        <v>0.10399255410207005</v>
      </c>
    </row>
    <row r="82" spans="1:21" x14ac:dyDescent="0.45">
      <c r="A82" s="95">
        <v>44642</v>
      </c>
      <c r="B82" s="96">
        <v>4759</v>
      </c>
      <c r="C82" s="7">
        <v>1033</v>
      </c>
      <c r="D82" s="7">
        <f t="shared" si="7"/>
        <v>3726</v>
      </c>
      <c r="E82" s="97">
        <v>1475</v>
      </c>
      <c r="F82" s="7">
        <v>140</v>
      </c>
      <c r="G82" s="7">
        <f t="shared" si="8"/>
        <v>1335</v>
      </c>
      <c r="H82" s="98">
        <v>0</v>
      </c>
      <c r="I82" s="7">
        <v>0</v>
      </c>
      <c r="J82" s="7"/>
      <c r="K82" s="99">
        <f t="shared" si="13"/>
        <v>6234</v>
      </c>
      <c r="L82" s="7">
        <v>0</v>
      </c>
      <c r="M82" s="7">
        <v>0</v>
      </c>
      <c r="N82" s="7">
        <v>0</v>
      </c>
      <c r="O82" s="7">
        <v>0</v>
      </c>
      <c r="P82" s="7">
        <v>4473.8409049871998</v>
      </c>
      <c r="Q82" s="7">
        <v>7415.4575525128002</v>
      </c>
      <c r="R82" s="113">
        <f t="shared" si="9"/>
        <v>0.21706240806892205</v>
      </c>
      <c r="S82" s="113">
        <f t="shared" si="10"/>
        <v>9.4915254237288138E-2</v>
      </c>
      <c r="T82" s="113">
        <f t="shared" si="11"/>
        <v>0</v>
      </c>
      <c r="U82" s="113">
        <f t="shared" si="12"/>
        <v>0.10399255410207005</v>
      </c>
    </row>
    <row r="83" spans="1:21" x14ac:dyDescent="0.45">
      <c r="A83" s="95">
        <v>44643</v>
      </c>
      <c r="B83" s="96">
        <v>4758</v>
      </c>
      <c r="C83" s="7">
        <v>1033</v>
      </c>
      <c r="D83" s="7">
        <f t="shared" si="7"/>
        <v>3725</v>
      </c>
      <c r="E83" s="97">
        <v>1475</v>
      </c>
      <c r="F83" s="7">
        <v>140</v>
      </c>
      <c r="G83" s="7">
        <f t="shared" si="8"/>
        <v>1335</v>
      </c>
      <c r="H83" s="98">
        <v>0</v>
      </c>
      <c r="I83" s="7">
        <v>0</v>
      </c>
      <c r="J83" s="7"/>
      <c r="K83" s="99">
        <f t="shared" si="13"/>
        <v>6233</v>
      </c>
      <c r="L83" s="7">
        <v>0</v>
      </c>
      <c r="M83" s="7">
        <v>0</v>
      </c>
      <c r="N83" s="7">
        <v>0</v>
      </c>
      <c r="O83" s="7">
        <v>0</v>
      </c>
      <c r="P83" s="7">
        <v>4473.8409049871998</v>
      </c>
      <c r="Q83" s="7">
        <v>7707.3606739428005</v>
      </c>
      <c r="R83" s="113">
        <f t="shared" si="9"/>
        <v>0.21710802858343842</v>
      </c>
      <c r="S83" s="113">
        <f t="shared" si="10"/>
        <v>9.4915254237288138E-2</v>
      </c>
      <c r="T83" s="113">
        <f t="shared" si="11"/>
        <v>0</v>
      </c>
      <c r="U83" s="113">
        <f t="shared" si="12"/>
        <v>0.10400776094024218</v>
      </c>
    </row>
    <row r="84" spans="1:21" x14ac:dyDescent="0.45">
      <c r="A84" s="95">
        <v>44644</v>
      </c>
      <c r="B84" s="96">
        <v>4758</v>
      </c>
      <c r="C84" s="7">
        <v>1032</v>
      </c>
      <c r="D84" s="7">
        <f t="shared" si="7"/>
        <v>3726</v>
      </c>
      <c r="E84" s="97">
        <v>1475</v>
      </c>
      <c r="F84" s="7">
        <v>140</v>
      </c>
      <c r="G84" s="7">
        <f t="shared" si="8"/>
        <v>1335</v>
      </c>
      <c r="H84" s="98">
        <v>0</v>
      </c>
      <c r="I84" s="7">
        <v>0</v>
      </c>
      <c r="J84" s="7"/>
      <c r="K84" s="99">
        <f t="shared" si="13"/>
        <v>6233</v>
      </c>
      <c r="L84" s="7">
        <v>0</v>
      </c>
      <c r="M84" s="7">
        <v>0</v>
      </c>
      <c r="N84" s="7">
        <v>0</v>
      </c>
      <c r="O84" s="7">
        <v>0</v>
      </c>
      <c r="P84" s="7">
        <v>4473.8409049871998</v>
      </c>
      <c r="Q84" s="7">
        <v>6117.8520902328</v>
      </c>
      <c r="R84" s="113">
        <f t="shared" si="9"/>
        <v>0.21689785624211855</v>
      </c>
      <c r="S84" s="113">
        <f t="shared" si="10"/>
        <v>9.4915254237288138E-2</v>
      </c>
      <c r="T84" s="113">
        <f t="shared" si="11"/>
        <v>0</v>
      </c>
      <c r="U84" s="113">
        <f t="shared" si="12"/>
        <v>0.10393770349313557</v>
      </c>
    </row>
    <row r="85" spans="1:21" x14ac:dyDescent="0.45">
      <c r="A85" s="95">
        <v>44645</v>
      </c>
      <c r="B85" s="96">
        <v>4758</v>
      </c>
      <c r="C85" s="7">
        <v>1032</v>
      </c>
      <c r="D85" s="7">
        <f t="shared" si="7"/>
        <v>3726</v>
      </c>
      <c r="E85" s="97">
        <v>1475</v>
      </c>
      <c r="F85" s="7">
        <v>140</v>
      </c>
      <c r="G85" s="7">
        <f t="shared" si="8"/>
        <v>1335</v>
      </c>
      <c r="H85" s="98">
        <v>0</v>
      </c>
      <c r="I85" s="7">
        <v>0</v>
      </c>
      <c r="J85" s="7"/>
      <c r="K85" s="99">
        <f t="shared" si="13"/>
        <v>6233</v>
      </c>
      <c r="L85" s="7">
        <v>0</v>
      </c>
      <c r="M85" s="7">
        <v>0</v>
      </c>
      <c r="N85" s="7">
        <v>0</v>
      </c>
      <c r="O85" s="7">
        <v>0</v>
      </c>
      <c r="P85" s="7">
        <v>4473.8409049871998</v>
      </c>
      <c r="Q85" s="7">
        <v>6491.6806594627997</v>
      </c>
      <c r="R85" s="113">
        <f t="shared" si="9"/>
        <v>0.21689785624211855</v>
      </c>
      <c r="S85" s="113">
        <f t="shared" si="10"/>
        <v>9.4915254237288138E-2</v>
      </c>
      <c r="T85" s="113">
        <f t="shared" si="11"/>
        <v>0</v>
      </c>
      <c r="U85" s="113">
        <f t="shared" si="12"/>
        <v>0.10393770349313557</v>
      </c>
    </row>
    <row r="86" spans="1:21" x14ac:dyDescent="0.45">
      <c r="A86" s="95">
        <v>44646</v>
      </c>
      <c r="B86" s="96">
        <v>4758</v>
      </c>
      <c r="C86" s="7">
        <v>1032</v>
      </c>
      <c r="D86" s="7">
        <f t="shared" si="7"/>
        <v>3726</v>
      </c>
      <c r="E86" s="97">
        <v>1475</v>
      </c>
      <c r="F86" s="7">
        <v>140</v>
      </c>
      <c r="G86" s="7">
        <f t="shared" si="8"/>
        <v>1335</v>
      </c>
      <c r="H86" s="98">
        <v>0</v>
      </c>
      <c r="I86" s="7">
        <v>0</v>
      </c>
      <c r="J86" s="7"/>
      <c r="K86" s="99">
        <f t="shared" si="13"/>
        <v>6233</v>
      </c>
      <c r="L86" s="7">
        <v>0</v>
      </c>
      <c r="M86" s="7">
        <v>0</v>
      </c>
      <c r="N86" s="7">
        <v>0</v>
      </c>
      <c r="O86" s="7">
        <v>0</v>
      </c>
      <c r="P86" s="7">
        <v>4473.8409049871998</v>
      </c>
      <c r="Q86" s="7">
        <v>6491.6806594627997</v>
      </c>
      <c r="R86" s="113">
        <f t="shared" si="9"/>
        <v>0.21689785624211855</v>
      </c>
      <c r="S86" s="113">
        <f t="shared" si="10"/>
        <v>9.4915254237288138E-2</v>
      </c>
      <c r="T86" s="113">
        <f t="shared" si="11"/>
        <v>0</v>
      </c>
      <c r="U86" s="113">
        <f t="shared" si="12"/>
        <v>0.10393770349313557</v>
      </c>
    </row>
    <row r="87" spans="1:21" x14ac:dyDescent="0.45">
      <c r="A87" s="95">
        <v>44647</v>
      </c>
      <c r="B87" s="96">
        <v>4758</v>
      </c>
      <c r="C87" s="7">
        <v>1032</v>
      </c>
      <c r="D87" s="7">
        <f t="shared" si="7"/>
        <v>3726</v>
      </c>
      <c r="E87" s="97">
        <v>1475</v>
      </c>
      <c r="F87" s="7">
        <v>140</v>
      </c>
      <c r="G87" s="7">
        <f t="shared" si="8"/>
        <v>1335</v>
      </c>
      <c r="H87" s="98">
        <v>0</v>
      </c>
      <c r="I87" s="7">
        <v>0</v>
      </c>
      <c r="J87" s="7"/>
      <c r="K87" s="99">
        <f t="shared" si="13"/>
        <v>6233</v>
      </c>
      <c r="L87" s="7">
        <v>0</v>
      </c>
      <c r="M87" s="7">
        <v>0</v>
      </c>
      <c r="N87" s="7">
        <v>0</v>
      </c>
      <c r="O87" s="7">
        <v>0</v>
      </c>
      <c r="P87" s="7">
        <v>4473.8409049871998</v>
      </c>
      <c r="Q87" s="7">
        <v>6491.6806594627997</v>
      </c>
      <c r="R87" s="113">
        <f t="shared" si="9"/>
        <v>0.21689785624211855</v>
      </c>
      <c r="S87" s="113">
        <f t="shared" si="10"/>
        <v>9.4915254237288138E-2</v>
      </c>
      <c r="T87" s="113">
        <f t="shared" si="11"/>
        <v>0</v>
      </c>
      <c r="U87" s="113">
        <f t="shared" si="12"/>
        <v>0.10393770349313557</v>
      </c>
    </row>
    <row r="88" spans="1:21" x14ac:dyDescent="0.45">
      <c r="A88" s="95">
        <v>44648</v>
      </c>
      <c r="B88" s="96">
        <v>4758</v>
      </c>
      <c r="C88" s="7">
        <v>1032</v>
      </c>
      <c r="D88" s="7">
        <f t="shared" si="7"/>
        <v>3726</v>
      </c>
      <c r="E88" s="97">
        <v>1475</v>
      </c>
      <c r="F88" s="7">
        <v>140</v>
      </c>
      <c r="G88" s="7">
        <f t="shared" si="8"/>
        <v>1335</v>
      </c>
      <c r="H88" s="98">
        <v>0</v>
      </c>
      <c r="I88" s="7">
        <v>0</v>
      </c>
      <c r="J88" s="7"/>
      <c r="K88" s="99">
        <f t="shared" si="13"/>
        <v>6233</v>
      </c>
      <c r="L88" s="7">
        <v>0</v>
      </c>
      <c r="M88" s="7">
        <v>0</v>
      </c>
      <c r="N88" s="7">
        <v>0</v>
      </c>
      <c r="O88" s="7">
        <v>0</v>
      </c>
      <c r="P88" s="7">
        <v>4473.8409049871998</v>
      </c>
      <c r="Q88" s="7">
        <v>6153.6218887228015</v>
      </c>
      <c r="R88" s="113">
        <f t="shared" si="9"/>
        <v>0.21689785624211855</v>
      </c>
      <c r="S88" s="113">
        <f t="shared" si="10"/>
        <v>9.4915254237288138E-2</v>
      </c>
      <c r="T88" s="113">
        <f t="shared" si="11"/>
        <v>0</v>
      </c>
      <c r="U88" s="113">
        <f t="shared" si="12"/>
        <v>0.10393770349313557</v>
      </c>
    </row>
    <row r="89" spans="1:21" x14ac:dyDescent="0.45">
      <c r="A89" s="95">
        <v>44649</v>
      </c>
      <c r="B89" s="96">
        <v>4758</v>
      </c>
      <c r="C89" s="7">
        <v>1032</v>
      </c>
      <c r="D89" s="7">
        <f t="shared" si="7"/>
        <v>3726</v>
      </c>
      <c r="E89" s="97">
        <v>1225</v>
      </c>
      <c r="F89" s="7">
        <v>140</v>
      </c>
      <c r="G89" s="7">
        <f t="shared" si="8"/>
        <v>1085</v>
      </c>
      <c r="H89" s="98">
        <v>0</v>
      </c>
      <c r="I89" s="7">
        <v>0</v>
      </c>
      <c r="J89" s="7"/>
      <c r="K89" s="99">
        <f t="shared" si="13"/>
        <v>5983</v>
      </c>
      <c r="L89" s="7">
        <v>0</v>
      </c>
      <c r="M89" s="7">
        <v>0</v>
      </c>
      <c r="N89" s="7">
        <v>0</v>
      </c>
      <c r="O89" s="7">
        <v>0</v>
      </c>
      <c r="P89" s="7">
        <v>4473.8409049871998</v>
      </c>
      <c r="Q89" s="7">
        <v>6596.0544147228011</v>
      </c>
      <c r="R89" s="113">
        <f t="shared" si="9"/>
        <v>0.21689785624211855</v>
      </c>
      <c r="S89" s="113">
        <f t="shared" si="10"/>
        <v>0.11428571428571428</v>
      </c>
      <c r="T89" s="113">
        <f t="shared" si="11"/>
        <v>0</v>
      </c>
      <c r="U89" s="113">
        <f t="shared" si="12"/>
        <v>0.1103945235092776</v>
      </c>
    </row>
    <row r="90" spans="1:21" x14ac:dyDescent="0.45">
      <c r="A90" s="95">
        <v>44650</v>
      </c>
      <c r="B90" s="96">
        <v>4858</v>
      </c>
      <c r="C90" s="7">
        <v>1032</v>
      </c>
      <c r="D90" s="7">
        <f t="shared" si="7"/>
        <v>3826</v>
      </c>
      <c r="E90" s="97">
        <v>1225</v>
      </c>
      <c r="F90" s="7">
        <v>140</v>
      </c>
      <c r="G90" s="7">
        <f t="shared" si="8"/>
        <v>1085</v>
      </c>
      <c r="H90" s="98">
        <v>0</v>
      </c>
      <c r="I90" s="7">
        <v>0</v>
      </c>
      <c r="J90" s="7"/>
      <c r="K90" s="99">
        <f t="shared" si="13"/>
        <v>6083</v>
      </c>
      <c r="L90" s="7">
        <v>0</v>
      </c>
      <c r="M90" s="7">
        <v>0</v>
      </c>
      <c r="N90" s="7">
        <v>0</v>
      </c>
      <c r="O90" s="7">
        <v>0</v>
      </c>
      <c r="P90" s="7">
        <v>4473.8409049871998</v>
      </c>
      <c r="Q90" s="7">
        <v>6664.5969599227992</v>
      </c>
      <c r="R90" s="113">
        <f t="shared" si="9"/>
        <v>0.21243310004116919</v>
      </c>
      <c r="S90" s="113">
        <f t="shared" si="10"/>
        <v>0.11428571428571428</v>
      </c>
      <c r="T90" s="113">
        <f t="shared" si="11"/>
        <v>0</v>
      </c>
      <c r="U90" s="113">
        <f t="shared" si="12"/>
        <v>0.10890627144229449</v>
      </c>
    </row>
    <row r="91" spans="1:21" x14ac:dyDescent="0.45">
      <c r="A91" s="95">
        <v>44651</v>
      </c>
      <c r="B91" s="96">
        <v>4858</v>
      </c>
      <c r="C91" s="7">
        <v>1132</v>
      </c>
      <c r="D91" s="7">
        <f t="shared" si="7"/>
        <v>3726</v>
      </c>
      <c r="E91" s="97">
        <v>1475</v>
      </c>
      <c r="F91" s="7">
        <v>140</v>
      </c>
      <c r="G91" s="7">
        <f t="shared" si="8"/>
        <v>1335</v>
      </c>
      <c r="H91" s="98">
        <v>0</v>
      </c>
      <c r="I91" s="7">
        <v>0</v>
      </c>
      <c r="J91" s="7"/>
      <c r="K91" s="99">
        <f t="shared" si="13"/>
        <v>6333</v>
      </c>
      <c r="L91" s="7">
        <v>0</v>
      </c>
      <c r="M91" s="7">
        <v>0</v>
      </c>
      <c r="N91" s="7">
        <v>0</v>
      </c>
      <c r="O91" s="7">
        <v>0</v>
      </c>
      <c r="P91" s="7">
        <v>4473.8409049871998</v>
      </c>
      <c r="Q91" s="7">
        <v>6182.0875386427988</v>
      </c>
      <c r="R91" s="113">
        <f t="shared" si="9"/>
        <v>0.23301770275833678</v>
      </c>
      <c r="S91" s="113">
        <f t="shared" si="10"/>
        <v>9.4915254237288138E-2</v>
      </c>
      <c r="T91" s="113">
        <f t="shared" si="11"/>
        <v>0</v>
      </c>
      <c r="U91" s="113">
        <f t="shared" si="12"/>
        <v>0.1093109856652083</v>
      </c>
    </row>
    <row r="92" spans="1:21" x14ac:dyDescent="0.45">
      <c r="A92" s="95">
        <v>44652</v>
      </c>
      <c r="B92" s="96">
        <v>4858</v>
      </c>
      <c r="C92" s="7">
        <v>1132</v>
      </c>
      <c r="D92" s="7">
        <f t="shared" si="7"/>
        <v>3726</v>
      </c>
      <c r="E92" s="97">
        <v>1475</v>
      </c>
      <c r="F92" s="7">
        <v>140</v>
      </c>
      <c r="G92" s="7">
        <f t="shared" si="8"/>
        <v>1335</v>
      </c>
      <c r="H92" s="98">
        <v>0</v>
      </c>
      <c r="I92" s="7">
        <v>0</v>
      </c>
      <c r="J92" s="7"/>
      <c r="K92" s="99">
        <f t="shared" si="13"/>
        <v>6333</v>
      </c>
      <c r="L92" s="7">
        <v>0</v>
      </c>
      <c r="M92" s="7">
        <v>0</v>
      </c>
      <c r="N92" s="7">
        <v>0</v>
      </c>
      <c r="O92" s="7">
        <v>0</v>
      </c>
      <c r="P92" s="7">
        <v>4473.8409049871998</v>
      </c>
      <c r="Q92" s="7">
        <v>5785.6824012928</v>
      </c>
      <c r="R92" s="113">
        <f t="shared" si="9"/>
        <v>0.23301770275833678</v>
      </c>
      <c r="S92" s="113">
        <f t="shared" si="10"/>
        <v>9.4915254237288138E-2</v>
      </c>
      <c r="T92" s="113">
        <f t="shared" si="11"/>
        <v>0</v>
      </c>
      <c r="U92" s="113">
        <f t="shared" si="12"/>
        <v>0.1093109856652083</v>
      </c>
    </row>
    <row r="93" spans="1:21" x14ac:dyDescent="0.45">
      <c r="A93" s="95">
        <v>44653</v>
      </c>
      <c r="B93" s="96">
        <v>4858</v>
      </c>
      <c r="C93" s="7">
        <v>1132</v>
      </c>
      <c r="D93" s="7">
        <f t="shared" si="7"/>
        <v>3726</v>
      </c>
      <c r="E93" s="97">
        <v>1475</v>
      </c>
      <c r="F93" s="7">
        <v>140</v>
      </c>
      <c r="G93" s="7">
        <f t="shared" si="8"/>
        <v>1335</v>
      </c>
      <c r="H93" s="98">
        <v>0</v>
      </c>
      <c r="I93" s="7">
        <v>0</v>
      </c>
      <c r="J93" s="7"/>
      <c r="K93" s="99">
        <f t="shared" si="13"/>
        <v>6333</v>
      </c>
      <c r="L93" s="7">
        <v>0</v>
      </c>
      <c r="M93" s="7">
        <v>0</v>
      </c>
      <c r="N93" s="7">
        <v>0</v>
      </c>
      <c r="O93" s="7">
        <v>0</v>
      </c>
      <c r="P93" s="7">
        <v>4473.8409049871998</v>
      </c>
      <c r="Q93" s="7">
        <v>5785.6824012928</v>
      </c>
      <c r="R93" s="113">
        <f t="shared" si="9"/>
        <v>0.23301770275833678</v>
      </c>
      <c r="S93" s="113">
        <f t="shared" si="10"/>
        <v>9.4915254237288138E-2</v>
      </c>
      <c r="T93" s="113">
        <f t="shared" si="11"/>
        <v>0</v>
      </c>
      <c r="U93" s="113">
        <f t="shared" si="12"/>
        <v>0.1093109856652083</v>
      </c>
    </row>
    <row r="94" spans="1:21" x14ac:dyDescent="0.45">
      <c r="A94" s="95">
        <v>44654</v>
      </c>
      <c r="B94" s="96">
        <v>4858</v>
      </c>
      <c r="C94" s="7">
        <v>1132</v>
      </c>
      <c r="D94" s="7">
        <f t="shared" si="7"/>
        <v>3726</v>
      </c>
      <c r="E94" s="97">
        <v>1475</v>
      </c>
      <c r="F94" s="7">
        <v>140</v>
      </c>
      <c r="G94" s="7">
        <f t="shared" si="8"/>
        <v>1335</v>
      </c>
      <c r="H94" s="98">
        <v>0</v>
      </c>
      <c r="I94" s="7">
        <v>0</v>
      </c>
      <c r="J94" s="7"/>
      <c r="K94" s="99">
        <f t="shared" si="13"/>
        <v>6333</v>
      </c>
      <c r="L94" s="7">
        <v>0</v>
      </c>
      <c r="M94" s="7">
        <v>0</v>
      </c>
      <c r="N94" s="7">
        <v>0</v>
      </c>
      <c r="O94" s="7">
        <v>0</v>
      </c>
      <c r="P94" s="7">
        <v>4473.8409049871998</v>
      </c>
      <c r="Q94" s="7">
        <v>5785.6824012928</v>
      </c>
      <c r="R94" s="113">
        <f t="shared" si="9"/>
        <v>0.23301770275833678</v>
      </c>
      <c r="S94" s="113">
        <f t="shared" si="10"/>
        <v>9.4915254237288138E-2</v>
      </c>
      <c r="T94" s="113">
        <f t="shared" si="11"/>
        <v>0</v>
      </c>
      <c r="U94" s="113">
        <f t="shared" si="12"/>
        <v>0.1093109856652083</v>
      </c>
    </row>
    <row r="95" spans="1:21" x14ac:dyDescent="0.45">
      <c r="A95" s="95">
        <v>44655</v>
      </c>
      <c r="B95" s="96">
        <v>4858</v>
      </c>
      <c r="C95" s="7">
        <v>1132</v>
      </c>
      <c r="D95" s="7">
        <f t="shared" si="7"/>
        <v>3726</v>
      </c>
      <c r="E95" s="97">
        <v>1475</v>
      </c>
      <c r="F95" s="7">
        <v>140</v>
      </c>
      <c r="G95" s="7">
        <f t="shared" si="8"/>
        <v>1335</v>
      </c>
      <c r="H95" s="98">
        <v>0</v>
      </c>
      <c r="I95" s="7">
        <v>0</v>
      </c>
      <c r="J95" s="7"/>
      <c r="K95" s="99">
        <f t="shared" si="13"/>
        <v>6333</v>
      </c>
      <c r="L95" s="7">
        <v>0</v>
      </c>
      <c r="M95" s="7">
        <v>0</v>
      </c>
      <c r="N95" s="7">
        <v>0</v>
      </c>
      <c r="O95" s="7">
        <v>0</v>
      </c>
      <c r="P95" s="7">
        <v>4473.8409049871998</v>
      </c>
      <c r="Q95" s="7">
        <v>4821.2518180327988</v>
      </c>
      <c r="R95" s="113">
        <f t="shared" si="9"/>
        <v>0.23301770275833678</v>
      </c>
      <c r="S95" s="113">
        <f t="shared" si="10"/>
        <v>9.4915254237288138E-2</v>
      </c>
      <c r="T95" s="113">
        <f t="shared" si="11"/>
        <v>0</v>
      </c>
      <c r="U95" s="113">
        <f t="shared" si="12"/>
        <v>0.1093109856652083</v>
      </c>
    </row>
    <row r="96" spans="1:21" x14ac:dyDescent="0.45">
      <c r="A96" s="95">
        <v>44656</v>
      </c>
      <c r="B96" s="96">
        <v>4858</v>
      </c>
      <c r="C96" s="7">
        <v>1132</v>
      </c>
      <c r="D96" s="7">
        <f t="shared" si="7"/>
        <v>3726</v>
      </c>
      <c r="E96" s="97">
        <v>1475</v>
      </c>
      <c r="F96" s="7">
        <v>140</v>
      </c>
      <c r="G96" s="7">
        <f t="shared" si="8"/>
        <v>1335</v>
      </c>
      <c r="H96" s="98">
        <v>0</v>
      </c>
      <c r="I96" s="7">
        <v>0</v>
      </c>
      <c r="J96" s="7"/>
      <c r="K96" s="99">
        <f t="shared" si="13"/>
        <v>6333</v>
      </c>
      <c r="L96" s="7">
        <v>0</v>
      </c>
      <c r="M96" s="7">
        <v>0</v>
      </c>
      <c r="N96" s="7">
        <v>0</v>
      </c>
      <c r="O96" s="7">
        <v>0</v>
      </c>
      <c r="P96" s="7">
        <v>4473.8409049871998</v>
      </c>
      <c r="Q96" s="7">
        <v>5206.7310277528004</v>
      </c>
      <c r="R96" s="113">
        <f t="shared" si="9"/>
        <v>0.23301770275833678</v>
      </c>
      <c r="S96" s="113">
        <f t="shared" si="10"/>
        <v>9.4915254237288138E-2</v>
      </c>
      <c r="T96" s="113">
        <f t="shared" si="11"/>
        <v>0</v>
      </c>
      <c r="U96" s="113">
        <f t="shared" si="12"/>
        <v>0.1093109856652083</v>
      </c>
    </row>
    <row r="97" spans="1:21" x14ac:dyDescent="0.45">
      <c r="A97" s="95">
        <v>44657</v>
      </c>
      <c r="B97" s="96">
        <v>4858</v>
      </c>
      <c r="C97" s="7">
        <v>1132</v>
      </c>
      <c r="D97" s="7">
        <f t="shared" si="7"/>
        <v>3726</v>
      </c>
      <c r="E97" s="97">
        <v>1475</v>
      </c>
      <c r="F97" s="7">
        <v>140</v>
      </c>
      <c r="G97" s="7">
        <f t="shared" si="8"/>
        <v>1335</v>
      </c>
      <c r="H97" s="98">
        <v>0</v>
      </c>
      <c r="I97" s="7">
        <v>0</v>
      </c>
      <c r="J97" s="7"/>
      <c r="K97" s="99">
        <f t="shared" si="13"/>
        <v>6333</v>
      </c>
      <c r="L97" s="7">
        <v>0</v>
      </c>
      <c r="M97" s="7">
        <v>0</v>
      </c>
      <c r="N97" s="7">
        <v>0</v>
      </c>
      <c r="O97" s="7">
        <v>0</v>
      </c>
      <c r="P97" s="7">
        <v>4473.8409049871998</v>
      </c>
      <c r="Q97" s="7">
        <v>5544.4353527628009</v>
      </c>
      <c r="R97" s="113">
        <f t="shared" si="9"/>
        <v>0.23301770275833678</v>
      </c>
      <c r="S97" s="113">
        <f t="shared" si="10"/>
        <v>9.4915254237288138E-2</v>
      </c>
      <c r="T97" s="113">
        <f t="shared" si="11"/>
        <v>0</v>
      </c>
      <c r="U97" s="113">
        <f t="shared" si="12"/>
        <v>0.1093109856652083</v>
      </c>
    </row>
    <row r="98" spans="1:21" x14ac:dyDescent="0.45">
      <c r="A98" s="95">
        <v>44658</v>
      </c>
      <c r="B98" s="96">
        <v>4858</v>
      </c>
      <c r="C98" s="7">
        <v>1132</v>
      </c>
      <c r="D98" s="7">
        <f t="shared" si="7"/>
        <v>3726</v>
      </c>
      <c r="E98" s="97">
        <v>1475</v>
      </c>
      <c r="F98" s="7">
        <v>140</v>
      </c>
      <c r="G98" s="7">
        <f t="shared" si="8"/>
        <v>1335</v>
      </c>
      <c r="H98" s="98">
        <v>0</v>
      </c>
      <c r="I98" s="7">
        <v>0</v>
      </c>
      <c r="J98" s="7"/>
      <c r="K98" s="99">
        <f t="shared" si="13"/>
        <v>6333</v>
      </c>
      <c r="L98" s="7">
        <v>0</v>
      </c>
      <c r="M98" s="7">
        <v>0</v>
      </c>
      <c r="N98" s="7">
        <v>0</v>
      </c>
      <c r="O98" s="7">
        <v>0</v>
      </c>
      <c r="P98" s="7">
        <v>4473.8409049871998</v>
      </c>
      <c r="Q98" s="7">
        <v>5020.6192592827992</v>
      </c>
      <c r="R98" s="113">
        <f t="shared" si="9"/>
        <v>0.23301770275833678</v>
      </c>
      <c r="S98" s="113">
        <f t="shared" si="10"/>
        <v>9.4915254237288138E-2</v>
      </c>
      <c r="T98" s="113">
        <f t="shared" si="11"/>
        <v>0</v>
      </c>
      <c r="U98" s="113">
        <f t="shared" si="12"/>
        <v>0.1093109856652083</v>
      </c>
    </row>
    <row r="99" spans="1:21" x14ac:dyDescent="0.45">
      <c r="A99" s="95">
        <v>44659</v>
      </c>
      <c r="B99" s="96">
        <v>4858</v>
      </c>
      <c r="C99" s="7">
        <v>1132</v>
      </c>
      <c r="D99" s="7">
        <f t="shared" si="7"/>
        <v>3726</v>
      </c>
      <c r="E99" s="97">
        <v>1475</v>
      </c>
      <c r="F99" s="7">
        <v>140</v>
      </c>
      <c r="G99" s="7">
        <f t="shared" si="8"/>
        <v>1335</v>
      </c>
      <c r="H99" s="98">
        <v>0</v>
      </c>
      <c r="I99" s="7">
        <v>0</v>
      </c>
      <c r="J99" s="7"/>
      <c r="K99" s="99">
        <f t="shared" si="13"/>
        <v>6333</v>
      </c>
      <c r="L99" s="7">
        <v>0</v>
      </c>
      <c r="M99" s="7">
        <v>0</v>
      </c>
      <c r="N99" s="7">
        <v>0</v>
      </c>
      <c r="O99" s="7">
        <v>0</v>
      </c>
      <c r="P99" s="7">
        <v>4473.8409049871998</v>
      </c>
      <c r="Q99" s="7">
        <v>4820.7126753528009</v>
      </c>
      <c r="R99" s="113">
        <f t="shared" si="9"/>
        <v>0.23301770275833678</v>
      </c>
      <c r="S99" s="113">
        <f t="shared" si="10"/>
        <v>9.4915254237288138E-2</v>
      </c>
      <c r="T99" s="113">
        <f t="shared" si="11"/>
        <v>0</v>
      </c>
      <c r="U99" s="113">
        <f t="shared" si="12"/>
        <v>0.1093109856652083</v>
      </c>
    </row>
    <row r="100" spans="1:21" x14ac:dyDescent="0.45">
      <c r="A100" s="95">
        <v>44660</v>
      </c>
      <c r="B100" s="96">
        <v>4858</v>
      </c>
      <c r="C100" s="7">
        <v>1132</v>
      </c>
      <c r="D100" s="7">
        <f t="shared" si="7"/>
        <v>3726</v>
      </c>
      <c r="E100" s="97">
        <v>1475</v>
      </c>
      <c r="F100" s="7">
        <v>140</v>
      </c>
      <c r="G100" s="7">
        <f t="shared" si="8"/>
        <v>1335</v>
      </c>
      <c r="H100" s="98">
        <v>0</v>
      </c>
      <c r="I100" s="7">
        <v>0</v>
      </c>
      <c r="J100" s="7"/>
      <c r="K100" s="99">
        <f t="shared" si="13"/>
        <v>6333</v>
      </c>
      <c r="L100" s="7">
        <v>0</v>
      </c>
      <c r="M100" s="7">
        <v>0</v>
      </c>
      <c r="N100" s="7">
        <v>0</v>
      </c>
      <c r="O100" s="7">
        <v>0</v>
      </c>
      <c r="P100" s="7">
        <v>4473.8409049871998</v>
      </c>
      <c r="Q100" s="7">
        <v>4820.7126753528009</v>
      </c>
      <c r="R100" s="113">
        <f t="shared" si="9"/>
        <v>0.23301770275833678</v>
      </c>
      <c r="S100" s="113">
        <f t="shared" si="10"/>
        <v>9.4915254237288138E-2</v>
      </c>
      <c r="T100" s="113">
        <f t="shared" si="11"/>
        <v>0</v>
      </c>
      <c r="U100" s="113">
        <f t="shared" si="12"/>
        <v>0.1093109856652083</v>
      </c>
    </row>
    <row r="101" spans="1:21" x14ac:dyDescent="0.45">
      <c r="A101" s="95">
        <v>44661</v>
      </c>
      <c r="B101" s="96">
        <v>4858</v>
      </c>
      <c r="C101" s="7">
        <v>1132</v>
      </c>
      <c r="D101" s="7">
        <f t="shared" si="7"/>
        <v>3726</v>
      </c>
      <c r="E101" s="97">
        <v>1475</v>
      </c>
      <c r="F101" s="7">
        <v>140</v>
      </c>
      <c r="G101" s="7">
        <f t="shared" si="8"/>
        <v>1335</v>
      </c>
      <c r="H101" s="98">
        <v>0</v>
      </c>
      <c r="I101" s="7">
        <v>0</v>
      </c>
      <c r="J101" s="7"/>
      <c r="K101" s="99">
        <f t="shared" si="13"/>
        <v>6333</v>
      </c>
      <c r="L101" s="7">
        <v>0</v>
      </c>
      <c r="M101" s="7">
        <v>0</v>
      </c>
      <c r="N101" s="7">
        <v>0</v>
      </c>
      <c r="O101" s="7">
        <v>0</v>
      </c>
      <c r="P101" s="7">
        <v>4473.8409049871998</v>
      </c>
      <c r="Q101" s="7">
        <v>4820.7126753528009</v>
      </c>
      <c r="R101" s="113">
        <f t="shared" si="9"/>
        <v>0.23301770275833678</v>
      </c>
      <c r="S101" s="113">
        <f t="shared" si="10"/>
        <v>9.4915254237288138E-2</v>
      </c>
      <c r="T101" s="113">
        <f t="shared" si="11"/>
        <v>0</v>
      </c>
      <c r="U101" s="113">
        <f t="shared" si="12"/>
        <v>0.1093109856652083</v>
      </c>
    </row>
    <row r="102" spans="1:21" x14ac:dyDescent="0.45">
      <c r="A102" s="95">
        <v>44662</v>
      </c>
      <c r="B102" s="96">
        <v>4858</v>
      </c>
      <c r="C102" s="7">
        <v>1132</v>
      </c>
      <c r="D102" s="7">
        <f t="shared" si="7"/>
        <v>3726</v>
      </c>
      <c r="E102" s="97">
        <v>1475</v>
      </c>
      <c r="F102" s="7">
        <v>140</v>
      </c>
      <c r="G102" s="7">
        <f t="shared" si="8"/>
        <v>1335</v>
      </c>
      <c r="H102" s="98">
        <v>0</v>
      </c>
      <c r="I102" s="7">
        <v>0</v>
      </c>
      <c r="J102" s="7"/>
      <c r="K102" s="99">
        <f t="shared" si="13"/>
        <v>6333</v>
      </c>
      <c r="L102" s="7">
        <v>0</v>
      </c>
      <c r="M102" s="7">
        <v>0</v>
      </c>
      <c r="N102" s="7">
        <v>0</v>
      </c>
      <c r="O102" s="7">
        <v>0</v>
      </c>
      <c r="P102" s="7">
        <v>4473.8409049871998</v>
      </c>
      <c r="Q102" s="7">
        <v>4627.2685884828006</v>
      </c>
      <c r="R102" s="113">
        <f t="shared" si="9"/>
        <v>0.23301770275833678</v>
      </c>
      <c r="S102" s="113">
        <f t="shared" si="10"/>
        <v>9.4915254237288138E-2</v>
      </c>
      <c r="T102" s="113">
        <f t="shared" si="11"/>
        <v>0</v>
      </c>
      <c r="U102" s="113">
        <f t="shared" si="12"/>
        <v>0.1093109856652083</v>
      </c>
    </row>
    <row r="103" spans="1:21" x14ac:dyDescent="0.45">
      <c r="A103" s="95">
        <v>44663</v>
      </c>
      <c r="B103" s="96">
        <v>4858</v>
      </c>
      <c r="C103" s="7">
        <v>1132</v>
      </c>
      <c r="D103" s="7">
        <f t="shared" si="7"/>
        <v>3726</v>
      </c>
      <c r="E103" s="97">
        <v>1475</v>
      </c>
      <c r="F103" s="7">
        <v>140</v>
      </c>
      <c r="G103" s="7">
        <f t="shared" si="8"/>
        <v>1335</v>
      </c>
      <c r="H103" s="98">
        <v>0</v>
      </c>
      <c r="I103" s="7">
        <v>0</v>
      </c>
      <c r="J103" s="7"/>
      <c r="K103" s="99">
        <f t="shared" si="13"/>
        <v>6333</v>
      </c>
      <c r="L103" s="7">
        <v>0</v>
      </c>
      <c r="M103" s="7">
        <v>0</v>
      </c>
      <c r="N103" s="7">
        <v>0</v>
      </c>
      <c r="O103" s="7">
        <v>0</v>
      </c>
      <c r="P103" s="7">
        <v>4473.8409049871998</v>
      </c>
      <c r="Q103" s="7">
        <v>4490.6546329528001</v>
      </c>
      <c r="R103" s="113">
        <f t="shared" si="9"/>
        <v>0.23301770275833678</v>
      </c>
      <c r="S103" s="113">
        <f t="shared" si="10"/>
        <v>9.4915254237288138E-2</v>
      </c>
      <c r="T103" s="113">
        <f t="shared" si="11"/>
        <v>0</v>
      </c>
      <c r="U103" s="113">
        <f t="shared" si="12"/>
        <v>0.1093109856652083</v>
      </c>
    </row>
    <row r="104" spans="1:21" x14ac:dyDescent="0.45">
      <c r="A104" s="95">
        <v>44664</v>
      </c>
      <c r="B104" s="96">
        <v>4858</v>
      </c>
      <c r="C104" s="7">
        <v>1132</v>
      </c>
      <c r="D104" s="7">
        <f t="shared" si="7"/>
        <v>3726</v>
      </c>
      <c r="E104" s="97">
        <v>1475</v>
      </c>
      <c r="F104" s="7">
        <v>140</v>
      </c>
      <c r="G104" s="7">
        <f t="shared" si="8"/>
        <v>1335</v>
      </c>
      <c r="H104" s="98">
        <v>0</v>
      </c>
      <c r="I104" s="7">
        <v>0</v>
      </c>
      <c r="J104" s="7"/>
      <c r="K104" s="99">
        <f t="shared" si="13"/>
        <v>6333</v>
      </c>
      <c r="L104" s="7">
        <v>0</v>
      </c>
      <c r="M104" s="7">
        <v>0</v>
      </c>
      <c r="N104" s="7">
        <v>0</v>
      </c>
      <c r="O104" s="7">
        <v>0</v>
      </c>
      <c r="P104" s="7">
        <v>4473.8409049871998</v>
      </c>
      <c r="Q104" s="7">
        <v>4496.0877084328004</v>
      </c>
      <c r="R104" s="113">
        <f t="shared" si="9"/>
        <v>0.23301770275833678</v>
      </c>
      <c r="S104" s="113">
        <f t="shared" si="10"/>
        <v>9.4915254237288138E-2</v>
      </c>
      <c r="T104" s="113">
        <f t="shared" si="11"/>
        <v>0</v>
      </c>
      <c r="U104" s="113">
        <f t="shared" si="12"/>
        <v>0.1093109856652083</v>
      </c>
    </row>
    <row r="105" spans="1:21" x14ac:dyDescent="0.45">
      <c r="A105" s="95">
        <v>44665</v>
      </c>
      <c r="B105" s="96">
        <v>4858</v>
      </c>
      <c r="C105" s="7">
        <v>1132</v>
      </c>
      <c r="D105" s="7">
        <f t="shared" si="7"/>
        <v>3726</v>
      </c>
      <c r="E105" s="97">
        <v>1475</v>
      </c>
      <c r="F105" s="7">
        <v>140</v>
      </c>
      <c r="G105" s="7">
        <f t="shared" si="8"/>
        <v>1335</v>
      </c>
      <c r="H105" s="98">
        <v>0</v>
      </c>
      <c r="I105" s="7">
        <v>0</v>
      </c>
      <c r="J105" s="7"/>
      <c r="K105" s="99">
        <f t="shared" si="13"/>
        <v>6333</v>
      </c>
      <c r="L105" s="7">
        <v>0</v>
      </c>
      <c r="M105" s="7">
        <v>0</v>
      </c>
      <c r="N105" s="7">
        <v>0</v>
      </c>
      <c r="O105" s="7">
        <v>0</v>
      </c>
      <c r="P105" s="7">
        <v>4473.8409049871998</v>
      </c>
      <c r="Q105" s="7">
        <v>4717.2444697727997</v>
      </c>
      <c r="R105" s="113">
        <f t="shared" si="9"/>
        <v>0.23301770275833678</v>
      </c>
      <c r="S105" s="113">
        <f t="shared" si="10"/>
        <v>9.4915254237288138E-2</v>
      </c>
      <c r="T105" s="113">
        <f t="shared" si="11"/>
        <v>0</v>
      </c>
      <c r="U105" s="113">
        <f t="shared" si="12"/>
        <v>0.1093109856652083</v>
      </c>
    </row>
    <row r="106" spans="1:21" x14ac:dyDescent="0.45">
      <c r="A106" s="95">
        <v>44666</v>
      </c>
      <c r="B106" s="96">
        <v>4858</v>
      </c>
      <c r="C106" s="7">
        <v>1132</v>
      </c>
      <c r="D106" s="7">
        <f t="shared" si="7"/>
        <v>3726</v>
      </c>
      <c r="E106" s="97">
        <v>1475</v>
      </c>
      <c r="F106" s="7">
        <v>140</v>
      </c>
      <c r="G106" s="7">
        <f t="shared" si="8"/>
        <v>1335</v>
      </c>
      <c r="H106" s="98">
        <v>0</v>
      </c>
      <c r="I106" s="7">
        <v>0</v>
      </c>
      <c r="J106" s="7"/>
      <c r="K106" s="99">
        <f t="shared" si="13"/>
        <v>6333</v>
      </c>
      <c r="L106" s="7">
        <v>0</v>
      </c>
      <c r="M106" s="7">
        <v>0</v>
      </c>
      <c r="N106" s="7">
        <v>0</v>
      </c>
      <c r="O106" s="7">
        <v>0</v>
      </c>
      <c r="P106" s="7">
        <v>4473.8409049871998</v>
      </c>
      <c r="Q106" s="7">
        <v>5178.5530326528005</v>
      </c>
      <c r="R106" s="113">
        <f t="shared" si="9"/>
        <v>0.23301770275833678</v>
      </c>
      <c r="S106" s="113">
        <f t="shared" si="10"/>
        <v>9.4915254237288138E-2</v>
      </c>
      <c r="T106" s="113">
        <f t="shared" si="11"/>
        <v>0</v>
      </c>
      <c r="U106" s="113">
        <f t="shared" si="12"/>
        <v>0.1093109856652083</v>
      </c>
    </row>
    <row r="107" spans="1:21" x14ac:dyDescent="0.45">
      <c r="A107" s="95">
        <v>44667</v>
      </c>
      <c r="B107" s="96">
        <v>4858</v>
      </c>
      <c r="C107" s="7">
        <v>1132</v>
      </c>
      <c r="D107" s="7">
        <f t="shared" si="7"/>
        <v>3726</v>
      </c>
      <c r="E107" s="97">
        <v>1475</v>
      </c>
      <c r="F107" s="7">
        <v>140</v>
      </c>
      <c r="G107" s="7">
        <f t="shared" si="8"/>
        <v>1335</v>
      </c>
      <c r="H107" s="98">
        <v>0</v>
      </c>
      <c r="I107" s="7">
        <v>0</v>
      </c>
      <c r="J107" s="7"/>
      <c r="K107" s="99">
        <f t="shared" si="13"/>
        <v>6333</v>
      </c>
      <c r="L107" s="7">
        <v>0</v>
      </c>
      <c r="M107" s="7">
        <v>0</v>
      </c>
      <c r="N107" s="7">
        <v>0</v>
      </c>
      <c r="O107" s="7">
        <v>0</v>
      </c>
      <c r="P107" s="7">
        <v>4473.8409049871998</v>
      </c>
      <c r="Q107" s="7">
        <v>5178.5530326528005</v>
      </c>
      <c r="R107" s="113">
        <f t="shared" si="9"/>
        <v>0.23301770275833678</v>
      </c>
      <c r="S107" s="113">
        <f t="shared" si="10"/>
        <v>9.4915254237288138E-2</v>
      </c>
      <c r="T107" s="113">
        <f t="shared" si="11"/>
        <v>0</v>
      </c>
      <c r="U107" s="113">
        <f t="shared" si="12"/>
        <v>0.1093109856652083</v>
      </c>
    </row>
    <row r="108" spans="1:21" x14ac:dyDescent="0.45">
      <c r="A108" s="95">
        <v>44668</v>
      </c>
      <c r="B108" s="96">
        <v>4858</v>
      </c>
      <c r="C108" s="7">
        <v>1132</v>
      </c>
      <c r="D108" s="7">
        <f t="shared" si="7"/>
        <v>3726</v>
      </c>
      <c r="E108" s="97">
        <v>1475</v>
      </c>
      <c r="F108" s="7">
        <v>140</v>
      </c>
      <c r="G108" s="7">
        <f t="shared" si="8"/>
        <v>1335</v>
      </c>
      <c r="H108" s="98">
        <v>0</v>
      </c>
      <c r="I108" s="7">
        <v>0</v>
      </c>
      <c r="J108" s="7"/>
      <c r="K108" s="99">
        <f t="shared" si="13"/>
        <v>6333</v>
      </c>
      <c r="L108" s="7">
        <v>0</v>
      </c>
      <c r="M108" s="7">
        <v>0</v>
      </c>
      <c r="N108" s="7">
        <v>0</v>
      </c>
      <c r="O108" s="7">
        <v>0</v>
      </c>
      <c r="P108" s="7">
        <v>4473.8409049871998</v>
      </c>
      <c r="Q108" s="7">
        <v>5178.5530326528005</v>
      </c>
      <c r="R108" s="113">
        <f t="shared" si="9"/>
        <v>0.23301770275833678</v>
      </c>
      <c r="S108" s="113">
        <f t="shared" si="10"/>
        <v>9.4915254237288138E-2</v>
      </c>
      <c r="T108" s="113">
        <f t="shared" si="11"/>
        <v>0</v>
      </c>
      <c r="U108" s="113">
        <f t="shared" si="12"/>
        <v>0.1093109856652083</v>
      </c>
    </row>
    <row r="109" spans="1:21" x14ac:dyDescent="0.45">
      <c r="A109" s="95">
        <v>44669</v>
      </c>
      <c r="B109" s="96">
        <v>4858</v>
      </c>
      <c r="C109" s="7">
        <v>1132</v>
      </c>
      <c r="D109" s="7">
        <f t="shared" si="7"/>
        <v>3726</v>
      </c>
      <c r="E109" s="97">
        <v>1475</v>
      </c>
      <c r="F109" s="7">
        <v>140</v>
      </c>
      <c r="G109" s="7">
        <f t="shared" si="8"/>
        <v>1335</v>
      </c>
      <c r="H109" s="98">
        <v>0</v>
      </c>
      <c r="I109" s="7">
        <v>0</v>
      </c>
      <c r="J109" s="7"/>
      <c r="K109" s="99">
        <f t="shared" si="13"/>
        <v>6333</v>
      </c>
      <c r="L109" s="7">
        <v>0</v>
      </c>
      <c r="M109" s="7">
        <v>0</v>
      </c>
      <c r="N109" s="7">
        <v>0</v>
      </c>
      <c r="O109" s="7">
        <v>0</v>
      </c>
      <c r="P109" s="7">
        <v>4423.4532930188998</v>
      </c>
      <c r="Q109" s="7">
        <v>4986.4504021910998</v>
      </c>
      <c r="R109" s="113">
        <f t="shared" si="9"/>
        <v>0.23301770275833678</v>
      </c>
      <c r="S109" s="113">
        <f t="shared" si="10"/>
        <v>9.4915254237288138E-2</v>
      </c>
      <c r="T109" s="113">
        <f t="shared" si="11"/>
        <v>0</v>
      </c>
      <c r="U109" s="113">
        <f t="shared" si="12"/>
        <v>0.1093109856652083</v>
      </c>
    </row>
    <row r="110" spans="1:21" x14ac:dyDescent="0.45">
      <c r="A110" s="95">
        <v>44670</v>
      </c>
      <c r="B110" s="96">
        <v>4858</v>
      </c>
      <c r="C110" s="7">
        <v>1132</v>
      </c>
      <c r="D110" s="7">
        <f t="shared" si="7"/>
        <v>3726</v>
      </c>
      <c r="E110" s="97">
        <v>1475</v>
      </c>
      <c r="F110" s="7">
        <v>140</v>
      </c>
      <c r="G110" s="7">
        <f t="shared" si="8"/>
        <v>1335</v>
      </c>
      <c r="H110" s="98">
        <v>0</v>
      </c>
      <c r="I110" s="7">
        <v>0</v>
      </c>
      <c r="J110" s="7"/>
      <c r="K110" s="99">
        <f t="shared" si="13"/>
        <v>6333</v>
      </c>
      <c r="L110" s="7">
        <v>0</v>
      </c>
      <c r="M110" s="7">
        <v>0</v>
      </c>
      <c r="N110" s="7">
        <v>0</v>
      </c>
      <c r="O110" s="7">
        <v>0</v>
      </c>
      <c r="P110" s="7">
        <v>4423.4532930188998</v>
      </c>
      <c r="Q110" s="7">
        <v>4806.3166064211009</v>
      </c>
      <c r="R110" s="113">
        <f t="shared" si="9"/>
        <v>0.23301770275833678</v>
      </c>
      <c r="S110" s="113">
        <f t="shared" si="10"/>
        <v>9.4915254237288138E-2</v>
      </c>
      <c r="T110" s="113">
        <f t="shared" si="11"/>
        <v>0</v>
      </c>
      <c r="U110" s="113">
        <f t="shared" si="12"/>
        <v>0.1093109856652083</v>
      </c>
    </row>
    <row r="111" spans="1:21" x14ac:dyDescent="0.45">
      <c r="A111" s="95">
        <v>44671</v>
      </c>
      <c r="B111" s="96">
        <v>4858</v>
      </c>
      <c r="C111" s="7">
        <v>1132</v>
      </c>
      <c r="D111" s="7">
        <f t="shared" si="7"/>
        <v>3726</v>
      </c>
      <c r="E111" s="97">
        <v>1475</v>
      </c>
      <c r="F111" s="7">
        <v>140</v>
      </c>
      <c r="G111" s="7">
        <f t="shared" si="8"/>
        <v>1335</v>
      </c>
      <c r="H111" s="98">
        <v>0</v>
      </c>
      <c r="I111" s="7">
        <v>0</v>
      </c>
      <c r="J111" s="7"/>
      <c r="K111" s="99">
        <f t="shared" si="13"/>
        <v>6333</v>
      </c>
      <c r="L111" s="7">
        <v>0</v>
      </c>
      <c r="M111" s="7">
        <v>0</v>
      </c>
      <c r="N111" s="7">
        <v>0</v>
      </c>
      <c r="O111" s="7">
        <v>0</v>
      </c>
      <c r="P111" s="7">
        <v>4423.4532930188998</v>
      </c>
      <c r="Q111" s="7">
        <v>5690.9107728711015</v>
      </c>
      <c r="R111" s="113">
        <f t="shared" si="9"/>
        <v>0.23301770275833678</v>
      </c>
      <c r="S111" s="113">
        <f t="shared" si="10"/>
        <v>9.4915254237288138E-2</v>
      </c>
      <c r="T111" s="113">
        <f t="shared" si="11"/>
        <v>0</v>
      </c>
      <c r="U111" s="113">
        <f t="shared" si="12"/>
        <v>0.1093109856652083</v>
      </c>
    </row>
    <row r="112" spans="1:21" x14ac:dyDescent="0.45">
      <c r="A112" s="95">
        <v>44672</v>
      </c>
      <c r="B112" s="96">
        <v>4858</v>
      </c>
      <c r="C112" s="7">
        <v>1132</v>
      </c>
      <c r="D112" s="7">
        <f t="shared" si="7"/>
        <v>3726</v>
      </c>
      <c r="E112" s="97">
        <v>1475</v>
      </c>
      <c r="F112" s="7">
        <v>140</v>
      </c>
      <c r="G112" s="7">
        <f t="shared" si="8"/>
        <v>1335</v>
      </c>
      <c r="H112" s="98">
        <v>0</v>
      </c>
      <c r="I112" s="7">
        <v>0</v>
      </c>
      <c r="J112" s="7"/>
      <c r="K112" s="99">
        <f t="shared" si="13"/>
        <v>6333</v>
      </c>
      <c r="L112" s="7">
        <v>0</v>
      </c>
      <c r="M112" s="7">
        <v>0</v>
      </c>
      <c r="N112" s="7">
        <v>0</v>
      </c>
      <c r="O112" s="7">
        <v>0</v>
      </c>
      <c r="P112" s="7">
        <v>4423.4532930188998</v>
      </c>
      <c r="Q112" s="7">
        <v>5960.6334368610997</v>
      </c>
      <c r="R112" s="113">
        <f t="shared" si="9"/>
        <v>0.23301770275833678</v>
      </c>
      <c r="S112" s="113">
        <f t="shared" si="10"/>
        <v>9.4915254237288138E-2</v>
      </c>
      <c r="T112" s="113">
        <f t="shared" si="11"/>
        <v>0</v>
      </c>
      <c r="U112" s="113">
        <f t="shared" si="12"/>
        <v>0.1093109856652083</v>
      </c>
    </row>
    <row r="113" spans="1:21" x14ac:dyDescent="0.45">
      <c r="A113" s="95">
        <v>44673</v>
      </c>
      <c r="B113" s="96">
        <v>4858</v>
      </c>
      <c r="C113" s="7">
        <v>1132</v>
      </c>
      <c r="D113" s="7">
        <f t="shared" si="7"/>
        <v>3726</v>
      </c>
      <c r="E113" s="97">
        <v>1475</v>
      </c>
      <c r="F113" s="7">
        <v>140</v>
      </c>
      <c r="G113" s="7">
        <f t="shared" si="8"/>
        <v>1335</v>
      </c>
      <c r="H113" s="98">
        <v>0</v>
      </c>
      <c r="I113" s="7">
        <v>0</v>
      </c>
      <c r="J113" s="7"/>
      <c r="K113" s="99">
        <f t="shared" si="13"/>
        <v>6333</v>
      </c>
      <c r="L113" s="7">
        <v>0</v>
      </c>
      <c r="M113" s="7">
        <v>0</v>
      </c>
      <c r="N113" s="7">
        <v>0</v>
      </c>
      <c r="O113" s="7">
        <v>0</v>
      </c>
      <c r="P113" s="7">
        <v>4423.4532930188998</v>
      </c>
      <c r="Q113" s="7">
        <v>5989.7749803111001</v>
      </c>
      <c r="R113" s="113">
        <f t="shared" si="9"/>
        <v>0.23301770275833678</v>
      </c>
      <c r="S113" s="113">
        <f t="shared" si="10"/>
        <v>9.4915254237288138E-2</v>
      </c>
      <c r="T113" s="113">
        <f t="shared" si="11"/>
        <v>0</v>
      </c>
      <c r="U113" s="113">
        <f t="shared" si="12"/>
        <v>0.1093109856652083</v>
      </c>
    </row>
    <row r="114" spans="1:21" x14ac:dyDescent="0.45">
      <c r="A114" s="95">
        <v>44674</v>
      </c>
      <c r="B114" s="96">
        <v>4858</v>
      </c>
      <c r="C114" s="7">
        <v>1132</v>
      </c>
      <c r="D114" s="7">
        <f t="shared" si="7"/>
        <v>3726</v>
      </c>
      <c r="E114" s="97">
        <v>1475</v>
      </c>
      <c r="F114" s="7">
        <v>140</v>
      </c>
      <c r="G114" s="7">
        <f t="shared" si="8"/>
        <v>1335</v>
      </c>
      <c r="H114" s="98">
        <v>0</v>
      </c>
      <c r="I114" s="7">
        <v>0</v>
      </c>
      <c r="J114" s="7"/>
      <c r="K114" s="99">
        <f t="shared" si="13"/>
        <v>6333</v>
      </c>
      <c r="L114" s="7">
        <v>0</v>
      </c>
      <c r="M114" s="7">
        <v>0</v>
      </c>
      <c r="N114" s="7">
        <v>0</v>
      </c>
      <c r="O114" s="7">
        <v>0</v>
      </c>
      <c r="P114" s="7">
        <v>4423.4532930188998</v>
      </c>
      <c r="Q114" s="7">
        <v>5989.7749803111001</v>
      </c>
      <c r="R114" s="113">
        <f t="shared" si="9"/>
        <v>0.23301770275833678</v>
      </c>
      <c r="S114" s="113">
        <f t="shared" si="10"/>
        <v>9.4915254237288138E-2</v>
      </c>
      <c r="T114" s="113">
        <f t="shared" si="11"/>
        <v>0</v>
      </c>
      <c r="U114" s="113">
        <f t="shared" si="12"/>
        <v>0.1093109856652083</v>
      </c>
    </row>
    <row r="115" spans="1:21" x14ac:dyDescent="0.45">
      <c r="A115" s="95">
        <v>44675</v>
      </c>
      <c r="B115" s="96">
        <v>4858</v>
      </c>
      <c r="C115" s="7">
        <v>1132</v>
      </c>
      <c r="D115" s="7">
        <f t="shared" si="7"/>
        <v>3726</v>
      </c>
      <c r="E115" s="97">
        <v>1475</v>
      </c>
      <c r="F115" s="7">
        <v>140</v>
      </c>
      <c r="G115" s="7">
        <f t="shared" si="8"/>
        <v>1335</v>
      </c>
      <c r="H115" s="98">
        <v>0</v>
      </c>
      <c r="I115" s="7">
        <v>0</v>
      </c>
      <c r="J115" s="7"/>
      <c r="K115" s="99">
        <f t="shared" si="13"/>
        <v>6333</v>
      </c>
      <c r="L115" s="7">
        <v>0</v>
      </c>
      <c r="M115" s="7">
        <v>0</v>
      </c>
      <c r="N115" s="7">
        <v>0</v>
      </c>
      <c r="O115" s="7">
        <v>0</v>
      </c>
      <c r="P115" s="7">
        <v>4423.4532930188998</v>
      </c>
      <c r="Q115" s="7">
        <v>5989.7749803111001</v>
      </c>
      <c r="R115" s="113">
        <f t="shared" si="9"/>
        <v>0.23301770275833678</v>
      </c>
      <c r="S115" s="113">
        <f t="shared" si="10"/>
        <v>9.4915254237288138E-2</v>
      </c>
      <c r="T115" s="113">
        <f t="shared" si="11"/>
        <v>0</v>
      </c>
      <c r="U115" s="113">
        <f t="shared" si="12"/>
        <v>0.1093109856652083</v>
      </c>
    </row>
    <row r="116" spans="1:21" x14ac:dyDescent="0.45">
      <c r="A116" s="95">
        <v>44676</v>
      </c>
      <c r="B116" s="96">
        <v>4858</v>
      </c>
      <c r="C116" s="7">
        <v>1132</v>
      </c>
      <c r="D116" s="7">
        <f t="shared" si="7"/>
        <v>3726</v>
      </c>
      <c r="E116" s="97">
        <v>1475</v>
      </c>
      <c r="F116" s="7">
        <v>140</v>
      </c>
      <c r="G116" s="7">
        <f t="shared" si="8"/>
        <v>1335</v>
      </c>
      <c r="H116" s="98">
        <v>0</v>
      </c>
      <c r="I116" s="7">
        <v>0</v>
      </c>
      <c r="J116" s="7"/>
      <c r="K116" s="99">
        <f t="shared" si="13"/>
        <v>6333</v>
      </c>
      <c r="L116" s="7">
        <v>0</v>
      </c>
      <c r="M116" s="7">
        <v>0</v>
      </c>
      <c r="N116" s="7">
        <v>0</v>
      </c>
      <c r="O116" s="7">
        <v>0</v>
      </c>
      <c r="P116" s="7">
        <v>4423.4532930188998</v>
      </c>
      <c r="Q116" s="7">
        <v>6747.8160836310999</v>
      </c>
      <c r="R116" s="113">
        <f t="shared" si="9"/>
        <v>0.23301770275833678</v>
      </c>
      <c r="S116" s="113">
        <f t="shared" si="10"/>
        <v>9.4915254237288138E-2</v>
      </c>
      <c r="T116" s="113">
        <f t="shared" si="11"/>
        <v>0</v>
      </c>
      <c r="U116" s="113">
        <f t="shared" si="12"/>
        <v>0.1093109856652083</v>
      </c>
    </row>
    <row r="117" spans="1:21" x14ac:dyDescent="0.45">
      <c r="A117" s="95">
        <v>44677</v>
      </c>
      <c r="B117" s="96">
        <v>4858</v>
      </c>
      <c r="C117" s="7">
        <v>1132</v>
      </c>
      <c r="D117" s="7">
        <f t="shared" si="7"/>
        <v>3726</v>
      </c>
      <c r="E117" s="97">
        <v>1475</v>
      </c>
      <c r="F117" s="7">
        <v>140</v>
      </c>
      <c r="G117" s="7">
        <f t="shared" si="8"/>
        <v>1335</v>
      </c>
      <c r="H117" s="98">
        <v>0</v>
      </c>
      <c r="I117" s="7">
        <v>0</v>
      </c>
      <c r="J117" s="7"/>
      <c r="K117" s="99">
        <f t="shared" si="13"/>
        <v>6333</v>
      </c>
      <c r="L117" s="7">
        <v>0</v>
      </c>
      <c r="M117" s="7">
        <v>0</v>
      </c>
      <c r="N117" s="7">
        <v>0</v>
      </c>
      <c r="O117" s="7">
        <v>0</v>
      </c>
      <c r="P117" s="7">
        <v>4423.4532930188998</v>
      </c>
      <c r="Q117" s="7">
        <v>7066.4726587711002</v>
      </c>
      <c r="R117" s="113">
        <f t="shared" si="9"/>
        <v>0.23301770275833678</v>
      </c>
      <c r="S117" s="113">
        <f t="shared" si="10"/>
        <v>9.4915254237288138E-2</v>
      </c>
      <c r="T117" s="113">
        <f t="shared" si="11"/>
        <v>0</v>
      </c>
      <c r="U117" s="113">
        <f t="shared" si="12"/>
        <v>0.1093109856652083</v>
      </c>
    </row>
    <row r="118" spans="1:21" x14ac:dyDescent="0.45">
      <c r="A118" s="95">
        <v>44678</v>
      </c>
      <c r="B118" s="96">
        <v>4858</v>
      </c>
      <c r="C118" s="7">
        <v>1132</v>
      </c>
      <c r="D118" s="7">
        <f t="shared" si="7"/>
        <v>3726</v>
      </c>
      <c r="E118" s="97">
        <v>1475</v>
      </c>
      <c r="F118" s="7">
        <v>140</v>
      </c>
      <c r="G118" s="7">
        <f t="shared" si="8"/>
        <v>1335</v>
      </c>
      <c r="H118" s="98">
        <v>0</v>
      </c>
      <c r="I118" s="7">
        <v>0</v>
      </c>
      <c r="J118" s="7"/>
      <c r="K118" s="99">
        <f t="shared" si="13"/>
        <v>6333</v>
      </c>
      <c r="L118" s="7">
        <v>0</v>
      </c>
      <c r="M118" s="7">
        <v>0</v>
      </c>
      <c r="N118" s="7">
        <v>0</v>
      </c>
      <c r="O118" s="7">
        <v>0</v>
      </c>
      <c r="P118" s="7">
        <v>4423.4532930188998</v>
      </c>
      <c r="Q118" s="7">
        <v>6324.8191051211015</v>
      </c>
      <c r="R118" s="113">
        <f t="shared" si="9"/>
        <v>0.23301770275833678</v>
      </c>
      <c r="S118" s="113">
        <f t="shared" si="10"/>
        <v>9.4915254237288138E-2</v>
      </c>
      <c r="T118" s="113">
        <f t="shared" si="11"/>
        <v>0</v>
      </c>
      <c r="U118" s="113">
        <f t="shared" si="12"/>
        <v>0.1093109856652083</v>
      </c>
    </row>
    <row r="119" spans="1:21" x14ac:dyDescent="0.45">
      <c r="A119" s="95">
        <v>44679</v>
      </c>
      <c r="B119" s="96">
        <v>4858</v>
      </c>
      <c r="C119" s="7">
        <v>1132</v>
      </c>
      <c r="D119" s="7">
        <f t="shared" si="7"/>
        <v>3726</v>
      </c>
      <c r="E119" s="97">
        <v>1475</v>
      </c>
      <c r="F119" s="7">
        <v>140</v>
      </c>
      <c r="G119" s="7">
        <f t="shared" si="8"/>
        <v>1335</v>
      </c>
      <c r="H119" s="98">
        <v>0</v>
      </c>
      <c r="I119" s="7">
        <v>0</v>
      </c>
      <c r="J119" s="7"/>
      <c r="K119" s="99">
        <f t="shared" si="13"/>
        <v>6333</v>
      </c>
      <c r="L119" s="7">
        <v>0</v>
      </c>
      <c r="M119" s="7">
        <v>0</v>
      </c>
      <c r="N119" s="7">
        <v>0</v>
      </c>
      <c r="O119" s="7">
        <v>0</v>
      </c>
      <c r="P119" s="7">
        <v>4423.4532930188998</v>
      </c>
      <c r="Q119" s="7">
        <v>6340.6900970911011</v>
      </c>
      <c r="R119" s="113">
        <f t="shared" si="9"/>
        <v>0.23301770275833678</v>
      </c>
      <c r="S119" s="113">
        <f t="shared" si="10"/>
        <v>9.4915254237288138E-2</v>
      </c>
      <c r="T119" s="113">
        <f t="shared" si="11"/>
        <v>0</v>
      </c>
      <c r="U119" s="113">
        <f t="shared" si="12"/>
        <v>0.1093109856652083</v>
      </c>
    </row>
    <row r="120" spans="1:21" x14ac:dyDescent="0.45">
      <c r="A120" s="95">
        <v>44680</v>
      </c>
      <c r="B120" s="96">
        <v>4858</v>
      </c>
      <c r="C120" s="7">
        <v>1132</v>
      </c>
      <c r="D120" s="7">
        <f t="shared" si="7"/>
        <v>3726</v>
      </c>
      <c r="E120" s="97">
        <v>1475</v>
      </c>
      <c r="F120" s="7">
        <v>140</v>
      </c>
      <c r="G120" s="7">
        <f t="shared" si="8"/>
        <v>1335</v>
      </c>
      <c r="H120" s="98">
        <v>0</v>
      </c>
      <c r="I120" s="7">
        <v>0</v>
      </c>
      <c r="J120" s="7"/>
      <c r="K120" s="99">
        <f t="shared" si="13"/>
        <v>6333</v>
      </c>
      <c r="L120" s="7">
        <v>0</v>
      </c>
      <c r="M120" s="7">
        <v>0</v>
      </c>
      <c r="N120" s="7">
        <v>0</v>
      </c>
      <c r="O120" s="7">
        <v>0</v>
      </c>
      <c r="P120" s="7">
        <v>4423.4532930188998</v>
      </c>
      <c r="Q120" s="7">
        <v>6482.3560551111004</v>
      </c>
      <c r="R120" s="113">
        <f t="shared" si="9"/>
        <v>0.23301770275833678</v>
      </c>
      <c r="S120" s="113">
        <f t="shared" si="10"/>
        <v>9.4915254237288138E-2</v>
      </c>
      <c r="T120" s="113">
        <f t="shared" si="11"/>
        <v>0</v>
      </c>
      <c r="U120" s="113">
        <f t="shared" si="12"/>
        <v>0.1093109856652083</v>
      </c>
    </row>
    <row r="121" spans="1:21" x14ac:dyDescent="0.45">
      <c r="A121" s="95">
        <v>44681</v>
      </c>
      <c r="B121" s="96">
        <v>4858</v>
      </c>
      <c r="C121" s="7">
        <v>1132</v>
      </c>
      <c r="D121" s="7">
        <f t="shared" si="7"/>
        <v>3726</v>
      </c>
      <c r="E121" s="97">
        <v>1475</v>
      </c>
      <c r="F121" s="7">
        <v>140</v>
      </c>
      <c r="G121" s="7">
        <f t="shared" si="8"/>
        <v>1335</v>
      </c>
      <c r="H121" s="98">
        <v>0</v>
      </c>
      <c r="I121" s="7">
        <v>0</v>
      </c>
      <c r="J121" s="7"/>
      <c r="K121" s="99">
        <f t="shared" si="13"/>
        <v>6333</v>
      </c>
      <c r="L121" s="7">
        <v>0</v>
      </c>
      <c r="M121" s="7">
        <v>0</v>
      </c>
      <c r="N121" s="7">
        <v>0</v>
      </c>
      <c r="O121" s="7">
        <v>0</v>
      </c>
      <c r="P121" s="7">
        <v>4423.4532930188998</v>
      </c>
      <c r="Q121" s="7">
        <v>6482.3560551111004</v>
      </c>
      <c r="R121" s="113">
        <f t="shared" si="9"/>
        <v>0.23301770275833678</v>
      </c>
      <c r="S121" s="113">
        <f t="shared" si="10"/>
        <v>9.4915254237288138E-2</v>
      </c>
      <c r="T121" s="113">
        <f t="shared" si="11"/>
        <v>0</v>
      </c>
      <c r="U121" s="113">
        <f t="shared" si="12"/>
        <v>0.1093109856652083</v>
      </c>
    </row>
    <row r="122" spans="1:21" x14ac:dyDescent="0.45">
      <c r="A122" s="95">
        <v>44682</v>
      </c>
      <c r="B122" s="96">
        <v>4858</v>
      </c>
      <c r="C122" s="7">
        <v>1132</v>
      </c>
      <c r="D122" s="7">
        <f t="shared" si="7"/>
        <v>3726</v>
      </c>
      <c r="E122" s="97">
        <v>1475</v>
      </c>
      <c r="F122" s="7">
        <v>140</v>
      </c>
      <c r="G122" s="7">
        <f t="shared" si="8"/>
        <v>1335</v>
      </c>
      <c r="H122" s="98">
        <v>0</v>
      </c>
      <c r="I122" s="7">
        <v>0</v>
      </c>
      <c r="J122" s="7"/>
      <c r="K122" s="99">
        <f t="shared" si="13"/>
        <v>6333</v>
      </c>
      <c r="L122" s="7">
        <v>0</v>
      </c>
      <c r="M122" s="7">
        <v>0</v>
      </c>
      <c r="N122" s="7">
        <v>0</v>
      </c>
      <c r="O122" s="7">
        <v>0</v>
      </c>
      <c r="P122" s="7">
        <v>4423.4532930188998</v>
      </c>
      <c r="Q122" s="7">
        <v>6482.3560551111004</v>
      </c>
      <c r="R122" s="113">
        <f t="shared" si="9"/>
        <v>0.23301770275833678</v>
      </c>
      <c r="S122" s="113">
        <f t="shared" si="10"/>
        <v>9.4915254237288138E-2</v>
      </c>
      <c r="T122" s="113">
        <f t="shared" si="11"/>
        <v>0</v>
      </c>
      <c r="U122" s="113">
        <f t="shared" si="12"/>
        <v>0.1093109856652083</v>
      </c>
    </row>
    <row r="123" spans="1:21" x14ac:dyDescent="0.45">
      <c r="A123" s="95">
        <v>44683</v>
      </c>
      <c r="B123" s="96">
        <v>4858</v>
      </c>
      <c r="C123" s="7">
        <v>1132</v>
      </c>
      <c r="D123" s="7">
        <f t="shared" si="7"/>
        <v>3726</v>
      </c>
      <c r="E123" s="97">
        <v>1475</v>
      </c>
      <c r="F123" s="7">
        <v>140</v>
      </c>
      <c r="G123" s="7">
        <f t="shared" si="8"/>
        <v>1335</v>
      </c>
      <c r="H123" s="98">
        <v>0</v>
      </c>
      <c r="I123" s="7">
        <v>0</v>
      </c>
      <c r="J123" s="7"/>
      <c r="K123" s="99">
        <f t="shared" si="13"/>
        <v>6333</v>
      </c>
      <c r="L123" s="7">
        <v>0</v>
      </c>
      <c r="M123" s="7">
        <v>0</v>
      </c>
      <c r="N123" s="7">
        <v>0</v>
      </c>
      <c r="O123" s="7">
        <v>0</v>
      </c>
      <c r="P123" s="7">
        <v>4423.4532930188998</v>
      </c>
      <c r="Q123" s="7">
        <v>6482.3560551111004</v>
      </c>
      <c r="R123" s="113">
        <f t="shared" si="9"/>
        <v>0.23301770275833678</v>
      </c>
      <c r="S123" s="113">
        <f t="shared" si="10"/>
        <v>9.4915254237288138E-2</v>
      </c>
      <c r="T123" s="113">
        <f t="shared" si="11"/>
        <v>0</v>
      </c>
      <c r="U123" s="113">
        <f t="shared" si="12"/>
        <v>0.1093109856652083</v>
      </c>
    </row>
    <row r="124" spans="1:21" x14ac:dyDescent="0.45">
      <c r="A124" s="95">
        <v>44684</v>
      </c>
      <c r="B124" s="96">
        <v>4858</v>
      </c>
      <c r="C124" s="7">
        <v>1132</v>
      </c>
      <c r="D124" s="7">
        <f t="shared" si="7"/>
        <v>3726</v>
      </c>
      <c r="E124" s="97">
        <v>1475</v>
      </c>
      <c r="F124" s="7">
        <v>140</v>
      </c>
      <c r="G124" s="7">
        <f t="shared" si="8"/>
        <v>1335</v>
      </c>
      <c r="H124" s="98">
        <v>0</v>
      </c>
      <c r="I124" s="7">
        <v>0</v>
      </c>
      <c r="J124" s="7"/>
      <c r="K124" s="99">
        <f t="shared" si="13"/>
        <v>6333</v>
      </c>
      <c r="L124" s="7">
        <v>0</v>
      </c>
      <c r="M124" s="7">
        <v>0</v>
      </c>
      <c r="N124" s="7">
        <v>0</v>
      </c>
      <c r="O124" s="7">
        <v>0</v>
      </c>
      <c r="P124" s="7">
        <v>4423.4532930188998</v>
      </c>
      <c r="Q124" s="7">
        <v>6482.3560551111004</v>
      </c>
      <c r="R124" s="113">
        <f t="shared" si="9"/>
        <v>0.23301770275833678</v>
      </c>
      <c r="S124" s="113">
        <f t="shared" si="10"/>
        <v>9.4915254237288138E-2</v>
      </c>
      <c r="T124" s="113">
        <f t="shared" si="11"/>
        <v>0</v>
      </c>
      <c r="U124" s="113">
        <f t="shared" si="12"/>
        <v>0.1093109856652083</v>
      </c>
    </row>
    <row r="125" spans="1:21" x14ac:dyDescent="0.45">
      <c r="A125" s="95">
        <v>44685</v>
      </c>
      <c r="B125" s="96">
        <v>4858</v>
      </c>
      <c r="C125" s="7">
        <v>1132</v>
      </c>
      <c r="D125" s="7">
        <f t="shared" si="7"/>
        <v>3726</v>
      </c>
      <c r="E125" s="97">
        <v>1475</v>
      </c>
      <c r="F125" s="7">
        <v>140</v>
      </c>
      <c r="G125" s="7">
        <f t="shared" si="8"/>
        <v>1335</v>
      </c>
      <c r="H125" s="98">
        <v>0</v>
      </c>
      <c r="I125" s="7">
        <v>0</v>
      </c>
      <c r="J125" s="7"/>
      <c r="K125" s="99">
        <f t="shared" si="13"/>
        <v>6333</v>
      </c>
      <c r="L125" s="7">
        <v>0</v>
      </c>
      <c r="M125" s="7">
        <v>0</v>
      </c>
      <c r="N125" s="7">
        <v>0</v>
      </c>
      <c r="O125" s="7">
        <v>0</v>
      </c>
      <c r="P125" s="7">
        <v>4423.4532930188998</v>
      </c>
      <c r="Q125" s="7">
        <v>5967.8901867711002</v>
      </c>
      <c r="R125" s="113">
        <f t="shared" si="9"/>
        <v>0.23301770275833678</v>
      </c>
      <c r="S125" s="113">
        <f t="shared" si="10"/>
        <v>9.4915254237288138E-2</v>
      </c>
      <c r="T125" s="113">
        <f t="shared" si="11"/>
        <v>0</v>
      </c>
      <c r="U125" s="113">
        <f t="shared" si="12"/>
        <v>0.1093109856652083</v>
      </c>
    </row>
    <row r="126" spans="1:21" x14ac:dyDescent="0.45">
      <c r="A126" s="95">
        <v>44686</v>
      </c>
      <c r="B126" s="96">
        <v>4858</v>
      </c>
      <c r="C126" s="7">
        <v>1132</v>
      </c>
      <c r="D126" s="7">
        <f t="shared" si="7"/>
        <v>3726</v>
      </c>
      <c r="E126" s="97">
        <v>1475</v>
      </c>
      <c r="F126" s="7">
        <v>140</v>
      </c>
      <c r="G126" s="7">
        <f t="shared" si="8"/>
        <v>1335</v>
      </c>
      <c r="H126" s="98">
        <v>0</v>
      </c>
      <c r="I126" s="7">
        <v>0</v>
      </c>
      <c r="J126" s="7"/>
      <c r="K126" s="99">
        <f t="shared" si="13"/>
        <v>6333</v>
      </c>
      <c r="L126" s="7">
        <v>0</v>
      </c>
      <c r="M126" s="7">
        <v>0</v>
      </c>
      <c r="N126" s="7">
        <v>0</v>
      </c>
      <c r="O126" s="7">
        <v>0</v>
      </c>
      <c r="P126" s="7">
        <v>4423.4532930188998</v>
      </c>
      <c r="Q126" s="7">
        <v>5049.3834730510998</v>
      </c>
      <c r="R126" s="113">
        <f t="shared" si="9"/>
        <v>0.23301770275833678</v>
      </c>
      <c r="S126" s="113">
        <f t="shared" si="10"/>
        <v>9.4915254237288138E-2</v>
      </c>
      <c r="T126" s="113">
        <f t="shared" si="11"/>
        <v>0</v>
      </c>
      <c r="U126" s="113">
        <f t="shared" si="12"/>
        <v>0.1093109856652083</v>
      </c>
    </row>
    <row r="127" spans="1:21" x14ac:dyDescent="0.45">
      <c r="A127" s="95">
        <v>44687</v>
      </c>
      <c r="B127" s="96">
        <v>4858</v>
      </c>
      <c r="C127" s="7">
        <v>1132</v>
      </c>
      <c r="D127" s="7">
        <f t="shared" si="7"/>
        <v>3726</v>
      </c>
      <c r="E127" s="97">
        <v>1475</v>
      </c>
      <c r="F127" s="7">
        <v>140</v>
      </c>
      <c r="G127" s="7">
        <f t="shared" si="8"/>
        <v>1335</v>
      </c>
      <c r="H127" s="98">
        <v>0</v>
      </c>
      <c r="I127" s="7">
        <v>0</v>
      </c>
      <c r="J127" s="7"/>
      <c r="K127" s="99">
        <f t="shared" si="13"/>
        <v>6333</v>
      </c>
      <c r="L127" s="7">
        <v>0</v>
      </c>
      <c r="M127" s="7">
        <v>0</v>
      </c>
      <c r="N127" s="7">
        <v>0</v>
      </c>
      <c r="O127" s="7">
        <v>0</v>
      </c>
      <c r="P127" s="7">
        <v>4423.4532930188998</v>
      </c>
      <c r="Q127" s="7">
        <v>4996.1230347211003</v>
      </c>
      <c r="R127" s="113">
        <f t="shared" si="9"/>
        <v>0.23301770275833678</v>
      </c>
      <c r="S127" s="113">
        <f t="shared" si="10"/>
        <v>9.4915254237288138E-2</v>
      </c>
      <c r="T127" s="113">
        <f t="shared" si="11"/>
        <v>0</v>
      </c>
      <c r="U127" s="113">
        <f t="shared" si="12"/>
        <v>0.1093109856652083</v>
      </c>
    </row>
    <row r="128" spans="1:21" x14ac:dyDescent="0.45">
      <c r="A128" s="95">
        <v>44688</v>
      </c>
      <c r="B128" s="96">
        <v>4858</v>
      </c>
      <c r="C128" s="7">
        <v>1132</v>
      </c>
      <c r="D128" s="7">
        <f t="shared" si="7"/>
        <v>3726</v>
      </c>
      <c r="E128" s="97">
        <v>1475</v>
      </c>
      <c r="F128" s="7">
        <v>140</v>
      </c>
      <c r="G128" s="7">
        <f t="shared" si="8"/>
        <v>1335</v>
      </c>
      <c r="H128" s="98">
        <v>0</v>
      </c>
      <c r="I128" s="7">
        <v>0</v>
      </c>
      <c r="J128" s="7"/>
      <c r="K128" s="99">
        <f t="shared" si="13"/>
        <v>6333</v>
      </c>
      <c r="L128" s="7">
        <v>0</v>
      </c>
      <c r="M128" s="7">
        <v>0</v>
      </c>
      <c r="N128" s="7">
        <v>0</v>
      </c>
      <c r="O128" s="7">
        <v>0</v>
      </c>
      <c r="P128" s="7">
        <v>4423.4532930188998</v>
      </c>
      <c r="Q128" s="7">
        <v>4996.1230347211003</v>
      </c>
      <c r="R128" s="113">
        <f t="shared" si="9"/>
        <v>0.23301770275833678</v>
      </c>
      <c r="S128" s="113">
        <f t="shared" si="10"/>
        <v>9.4915254237288138E-2</v>
      </c>
      <c r="T128" s="113">
        <f t="shared" si="11"/>
        <v>0</v>
      </c>
      <c r="U128" s="113">
        <f t="shared" si="12"/>
        <v>0.1093109856652083</v>
      </c>
    </row>
    <row r="129" spans="1:21" x14ac:dyDescent="0.45">
      <c r="A129" s="95">
        <v>44689</v>
      </c>
      <c r="B129" s="96">
        <v>4858</v>
      </c>
      <c r="C129" s="7">
        <v>1132</v>
      </c>
      <c r="D129" s="7">
        <f t="shared" si="7"/>
        <v>3726</v>
      </c>
      <c r="E129" s="97">
        <v>1475</v>
      </c>
      <c r="F129" s="7">
        <v>140</v>
      </c>
      <c r="G129" s="7">
        <f t="shared" si="8"/>
        <v>1335</v>
      </c>
      <c r="H129" s="98">
        <v>0</v>
      </c>
      <c r="I129" s="7">
        <v>0</v>
      </c>
      <c r="J129" s="7"/>
      <c r="K129" s="99">
        <f t="shared" si="13"/>
        <v>6333</v>
      </c>
      <c r="L129" s="7">
        <v>0</v>
      </c>
      <c r="M129" s="7">
        <v>0</v>
      </c>
      <c r="N129" s="7">
        <v>0</v>
      </c>
      <c r="O129" s="7">
        <v>0</v>
      </c>
      <c r="P129" s="7">
        <v>4423.4532930188998</v>
      </c>
      <c r="Q129" s="7">
        <v>4996.1230347211003</v>
      </c>
      <c r="R129" s="113">
        <f t="shared" si="9"/>
        <v>0.23301770275833678</v>
      </c>
      <c r="S129" s="113">
        <f t="shared" si="10"/>
        <v>9.4915254237288138E-2</v>
      </c>
      <c r="T129" s="113">
        <f t="shared" si="11"/>
        <v>0</v>
      </c>
      <c r="U129" s="113">
        <f t="shared" si="12"/>
        <v>0.1093109856652083</v>
      </c>
    </row>
    <row r="130" spans="1:21" x14ac:dyDescent="0.45">
      <c r="A130" s="95">
        <v>44690</v>
      </c>
      <c r="B130" s="96">
        <v>4858</v>
      </c>
      <c r="C130" s="7">
        <v>1132</v>
      </c>
      <c r="D130" s="7">
        <f t="shared" ref="D130:D193" si="14">B130-C130</f>
        <v>3726</v>
      </c>
      <c r="E130" s="97">
        <v>1475</v>
      </c>
      <c r="F130" s="7">
        <v>140</v>
      </c>
      <c r="G130" s="7">
        <f t="shared" ref="G130:G193" si="15">E130-F130</f>
        <v>1335</v>
      </c>
      <c r="H130" s="98">
        <v>0</v>
      </c>
      <c r="I130" s="7">
        <v>0</v>
      </c>
      <c r="J130" s="7"/>
      <c r="K130" s="99">
        <f t="shared" si="13"/>
        <v>6333</v>
      </c>
      <c r="L130" s="7">
        <v>0</v>
      </c>
      <c r="M130" s="7">
        <v>0</v>
      </c>
      <c r="N130" s="7">
        <v>0</v>
      </c>
      <c r="O130" s="7">
        <v>0</v>
      </c>
      <c r="P130" s="7">
        <v>4423.4532930188998</v>
      </c>
      <c r="Q130" s="7">
        <v>5158.9913100010981</v>
      </c>
      <c r="R130" s="113">
        <f t="shared" si="9"/>
        <v>0.23301770275833678</v>
      </c>
      <c r="S130" s="113">
        <f t="shared" si="10"/>
        <v>9.4915254237288138E-2</v>
      </c>
      <c r="T130" s="113">
        <f t="shared" si="11"/>
        <v>0</v>
      </c>
      <c r="U130" s="113">
        <f t="shared" si="12"/>
        <v>0.1093109856652083</v>
      </c>
    </row>
    <row r="131" spans="1:21" x14ac:dyDescent="0.45">
      <c r="A131" s="95">
        <v>44691</v>
      </c>
      <c r="B131" s="96">
        <v>4858</v>
      </c>
      <c r="C131" s="7">
        <v>1132</v>
      </c>
      <c r="D131" s="7">
        <f t="shared" si="14"/>
        <v>3726</v>
      </c>
      <c r="E131" s="97">
        <v>1475</v>
      </c>
      <c r="F131" s="7">
        <v>140</v>
      </c>
      <c r="G131" s="7">
        <f t="shared" si="15"/>
        <v>1335</v>
      </c>
      <c r="H131" s="98">
        <v>0</v>
      </c>
      <c r="I131" s="7">
        <v>0</v>
      </c>
      <c r="J131" s="7"/>
      <c r="K131" s="99">
        <f t="shared" si="13"/>
        <v>6333</v>
      </c>
      <c r="L131" s="7">
        <v>0</v>
      </c>
      <c r="M131" s="7">
        <v>0</v>
      </c>
      <c r="N131" s="7">
        <v>0</v>
      </c>
      <c r="O131" s="7">
        <v>0</v>
      </c>
      <c r="P131" s="7">
        <v>4423.4532930188998</v>
      </c>
      <c r="Q131" s="7">
        <v>4274.2637566111016</v>
      </c>
      <c r="R131" s="113">
        <f t="shared" ref="R131:R194" si="16">C131/B131</f>
        <v>0.23301770275833678</v>
      </c>
      <c r="S131" s="113">
        <f t="shared" ref="S131:S194" si="17">F131/E131</f>
        <v>9.4915254237288138E-2</v>
      </c>
      <c r="T131" s="113">
        <f t="shared" ref="T131:T194" si="18">IF(H131=0,0,I131/H131)</f>
        <v>0</v>
      </c>
      <c r="U131" s="113">
        <f t="shared" ref="U131:U194" si="19">AVERAGE(R131:T131)</f>
        <v>0.1093109856652083</v>
      </c>
    </row>
    <row r="132" spans="1:21" x14ac:dyDescent="0.45">
      <c r="A132" s="95">
        <v>44692</v>
      </c>
      <c r="B132" s="96">
        <v>4858</v>
      </c>
      <c r="C132" s="7">
        <v>1132</v>
      </c>
      <c r="D132" s="7">
        <f t="shared" si="14"/>
        <v>3726</v>
      </c>
      <c r="E132" s="97">
        <v>1475</v>
      </c>
      <c r="F132" s="7">
        <v>140</v>
      </c>
      <c r="G132" s="7">
        <f t="shared" si="15"/>
        <v>1335</v>
      </c>
      <c r="H132" s="98">
        <v>0</v>
      </c>
      <c r="I132" s="7">
        <v>0</v>
      </c>
      <c r="J132" s="7"/>
      <c r="K132" s="99">
        <f t="shared" ref="K132:K195" si="20">B132+E132+H132</f>
        <v>6333</v>
      </c>
      <c r="L132" s="7">
        <v>0</v>
      </c>
      <c r="M132" s="7">
        <v>0</v>
      </c>
      <c r="N132" s="7">
        <v>0</v>
      </c>
      <c r="O132" s="7">
        <v>0</v>
      </c>
      <c r="P132" s="7">
        <v>4423.4532930188998</v>
      </c>
      <c r="Q132" s="7">
        <v>2957.4492334510996</v>
      </c>
      <c r="R132" s="113">
        <f t="shared" si="16"/>
        <v>0.23301770275833678</v>
      </c>
      <c r="S132" s="113">
        <f t="shared" si="17"/>
        <v>9.4915254237288138E-2</v>
      </c>
      <c r="T132" s="113">
        <f t="shared" si="18"/>
        <v>0</v>
      </c>
      <c r="U132" s="113">
        <f t="shared" si="19"/>
        <v>0.1093109856652083</v>
      </c>
    </row>
    <row r="133" spans="1:21" x14ac:dyDescent="0.45">
      <c r="A133" s="95">
        <v>44693</v>
      </c>
      <c r="B133" s="96">
        <v>4858</v>
      </c>
      <c r="C133" s="7">
        <v>1132</v>
      </c>
      <c r="D133" s="7">
        <f t="shared" si="14"/>
        <v>3726</v>
      </c>
      <c r="E133" s="97">
        <v>1475</v>
      </c>
      <c r="F133" s="7">
        <v>140</v>
      </c>
      <c r="G133" s="7">
        <f t="shared" si="15"/>
        <v>1335</v>
      </c>
      <c r="H133" s="98">
        <v>0</v>
      </c>
      <c r="I133" s="7">
        <v>0</v>
      </c>
      <c r="J133" s="7"/>
      <c r="K133" s="99">
        <f t="shared" si="20"/>
        <v>6333</v>
      </c>
      <c r="L133" s="7">
        <v>0</v>
      </c>
      <c r="M133" s="7">
        <v>0</v>
      </c>
      <c r="N133" s="7">
        <v>0</v>
      </c>
      <c r="O133" s="7">
        <v>0</v>
      </c>
      <c r="P133" s="7">
        <v>4423.4532930188998</v>
      </c>
      <c r="Q133" s="7">
        <v>1747.7493575011006</v>
      </c>
      <c r="R133" s="113">
        <f t="shared" si="16"/>
        <v>0.23301770275833678</v>
      </c>
      <c r="S133" s="113">
        <f t="shared" si="17"/>
        <v>9.4915254237288138E-2</v>
      </c>
      <c r="T133" s="113">
        <f t="shared" si="18"/>
        <v>0</v>
      </c>
      <c r="U133" s="113">
        <f t="shared" si="19"/>
        <v>0.1093109856652083</v>
      </c>
    </row>
    <row r="134" spans="1:21" x14ac:dyDescent="0.45">
      <c r="A134" s="95">
        <v>44694</v>
      </c>
      <c r="B134" s="96">
        <v>4858</v>
      </c>
      <c r="C134" s="7">
        <v>1132</v>
      </c>
      <c r="D134" s="7">
        <f t="shared" si="14"/>
        <v>3726</v>
      </c>
      <c r="E134" s="97">
        <v>1475</v>
      </c>
      <c r="F134" s="7">
        <v>140</v>
      </c>
      <c r="G134" s="7">
        <f t="shared" si="15"/>
        <v>1335</v>
      </c>
      <c r="H134" s="98">
        <v>0</v>
      </c>
      <c r="I134" s="7">
        <v>0</v>
      </c>
      <c r="J134" s="7"/>
      <c r="K134" s="99">
        <f t="shared" si="20"/>
        <v>6333</v>
      </c>
      <c r="L134" s="7">
        <v>0</v>
      </c>
      <c r="M134" s="7">
        <v>0</v>
      </c>
      <c r="N134" s="7">
        <v>0</v>
      </c>
      <c r="O134" s="7">
        <v>0</v>
      </c>
      <c r="P134" s="7">
        <v>4423.4532930188998</v>
      </c>
      <c r="Q134" s="7">
        <v>3330.7005039511014</v>
      </c>
      <c r="R134" s="113">
        <f t="shared" si="16"/>
        <v>0.23301770275833678</v>
      </c>
      <c r="S134" s="113">
        <f t="shared" si="17"/>
        <v>9.4915254237288138E-2</v>
      </c>
      <c r="T134" s="113">
        <f t="shared" si="18"/>
        <v>0</v>
      </c>
      <c r="U134" s="113">
        <f t="shared" si="19"/>
        <v>0.1093109856652083</v>
      </c>
    </row>
    <row r="135" spans="1:21" x14ac:dyDescent="0.45">
      <c r="A135" s="95">
        <v>44695</v>
      </c>
      <c r="B135" s="96">
        <v>4858</v>
      </c>
      <c r="C135" s="7">
        <v>1132</v>
      </c>
      <c r="D135" s="7">
        <f t="shared" si="14"/>
        <v>3726</v>
      </c>
      <c r="E135" s="97">
        <v>1475</v>
      </c>
      <c r="F135" s="7">
        <v>140</v>
      </c>
      <c r="G135" s="7">
        <f t="shared" si="15"/>
        <v>1335</v>
      </c>
      <c r="H135" s="98">
        <v>0</v>
      </c>
      <c r="I135" s="7">
        <v>0</v>
      </c>
      <c r="J135" s="7"/>
      <c r="K135" s="99">
        <f t="shared" si="20"/>
        <v>6333</v>
      </c>
      <c r="L135" s="7">
        <v>0</v>
      </c>
      <c r="M135" s="7">
        <v>0</v>
      </c>
      <c r="N135" s="7">
        <v>0</v>
      </c>
      <c r="O135" s="7">
        <v>0</v>
      </c>
      <c r="P135" s="7">
        <v>4423.4532930188998</v>
      </c>
      <c r="Q135" s="7">
        <v>3330.7005039511014</v>
      </c>
      <c r="R135" s="113">
        <f t="shared" si="16"/>
        <v>0.23301770275833678</v>
      </c>
      <c r="S135" s="113">
        <f t="shared" si="17"/>
        <v>9.4915254237288138E-2</v>
      </c>
      <c r="T135" s="113">
        <f t="shared" si="18"/>
        <v>0</v>
      </c>
      <c r="U135" s="113">
        <f t="shared" si="19"/>
        <v>0.1093109856652083</v>
      </c>
    </row>
    <row r="136" spans="1:21" x14ac:dyDescent="0.45">
      <c r="A136" s="95">
        <v>44696</v>
      </c>
      <c r="B136" s="96">
        <v>4858</v>
      </c>
      <c r="C136" s="7">
        <v>1132</v>
      </c>
      <c r="D136" s="7">
        <f t="shared" si="14"/>
        <v>3726</v>
      </c>
      <c r="E136" s="97">
        <v>1475</v>
      </c>
      <c r="F136" s="7">
        <v>140</v>
      </c>
      <c r="G136" s="7">
        <f t="shared" si="15"/>
        <v>1335</v>
      </c>
      <c r="H136" s="98">
        <v>0</v>
      </c>
      <c r="I136" s="7">
        <v>0</v>
      </c>
      <c r="J136" s="7"/>
      <c r="K136" s="99">
        <f t="shared" si="20"/>
        <v>6333</v>
      </c>
      <c r="L136" s="7">
        <v>0</v>
      </c>
      <c r="M136" s="7">
        <v>0</v>
      </c>
      <c r="N136" s="7">
        <v>0</v>
      </c>
      <c r="O136" s="7">
        <v>0</v>
      </c>
      <c r="P136" s="7">
        <v>4423.4532930188998</v>
      </c>
      <c r="Q136" s="7">
        <v>3330.7005039511014</v>
      </c>
      <c r="R136" s="113">
        <f t="shared" si="16"/>
        <v>0.23301770275833678</v>
      </c>
      <c r="S136" s="113">
        <f t="shared" si="17"/>
        <v>9.4915254237288138E-2</v>
      </c>
      <c r="T136" s="113">
        <f t="shared" si="18"/>
        <v>0</v>
      </c>
      <c r="U136" s="113">
        <f t="shared" si="19"/>
        <v>0.1093109856652083</v>
      </c>
    </row>
    <row r="137" spans="1:21" x14ac:dyDescent="0.45">
      <c r="A137" s="95">
        <v>44697</v>
      </c>
      <c r="B137" s="96">
        <v>4858</v>
      </c>
      <c r="C137" s="7">
        <v>1132</v>
      </c>
      <c r="D137" s="7">
        <f t="shared" si="14"/>
        <v>3726</v>
      </c>
      <c r="E137" s="97">
        <v>1475</v>
      </c>
      <c r="F137" s="7">
        <v>140</v>
      </c>
      <c r="G137" s="7">
        <f t="shared" si="15"/>
        <v>1335</v>
      </c>
      <c r="H137" s="98">
        <v>0</v>
      </c>
      <c r="I137" s="7">
        <v>0</v>
      </c>
      <c r="J137" s="7"/>
      <c r="K137" s="99">
        <f t="shared" si="20"/>
        <v>6333</v>
      </c>
      <c r="L137" s="7">
        <v>0</v>
      </c>
      <c r="M137" s="7">
        <v>0</v>
      </c>
      <c r="N137" s="7">
        <v>0</v>
      </c>
      <c r="O137" s="7">
        <v>0</v>
      </c>
      <c r="P137" s="7">
        <v>4379.6979507747001</v>
      </c>
      <c r="Q137" s="7">
        <v>3338.0498983253001</v>
      </c>
      <c r="R137" s="113">
        <f t="shared" si="16"/>
        <v>0.23301770275833678</v>
      </c>
      <c r="S137" s="113">
        <f t="shared" si="17"/>
        <v>9.4915254237288138E-2</v>
      </c>
      <c r="T137" s="113">
        <f t="shared" si="18"/>
        <v>0</v>
      </c>
      <c r="U137" s="113">
        <f t="shared" si="19"/>
        <v>0.1093109856652083</v>
      </c>
    </row>
    <row r="138" spans="1:21" x14ac:dyDescent="0.45">
      <c r="A138" s="95">
        <v>44698</v>
      </c>
      <c r="B138" s="96">
        <v>4858</v>
      </c>
      <c r="C138" s="7">
        <v>1132</v>
      </c>
      <c r="D138" s="7">
        <f t="shared" si="14"/>
        <v>3726</v>
      </c>
      <c r="E138" s="97">
        <v>1475</v>
      </c>
      <c r="F138" s="7">
        <v>140</v>
      </c>
      <c r="G138" s="7">
        <f t="shared" si="15"/>
        <v>1335</v>
      </c>
      <c r="H138" s="98">
        <v>0</v>
      </c>
      <c r="I138" s="7">
        <v>0</v>
      </c>
      <c r="J138" s="7"/>
      <c r="K138" s="99">
        <f t="shared" si="20"/>
        <v>6333</v>
      </c>
      <c r="L138" s="7">
        <v>0</v>
      </c>
      <c r="M138" s="7">
        <v>0</v>
      </c>
      <c r="N138" s="7">
        <v>0</v>
      </c>
      <c r="O138" s="7">
        <v>0</v>
      </c>
      <c r="P138" s="7">
        <v>4379.6979507747001</v>
      </c>
      <c r="Q138" s="7">
        <v>2314.9329493753007</v>
      </c>
      <c r="R138" s="113">
        <f t="shared" si="16"/>
        <v>0.23301770275833678</v>
      </c>
      <c r="S138" s="113">
        <f t="shared" si="17"/>
        <v>9.4915254237288138E-2</v>
      </c>
      <c r="T138" s="113">
        <f t="shared" si="18"/>
        <v>0</v>
      </c>
      <c r="U138" s="113">
        <f t="shared" si="19"/>
        <v>0.1093109856652083</v>
      </c>
    </row>
    <row r="139" spans="1:21" x14ac:dyDescent="0.45">
      <c r="A139" s="95">
        <v>44699</v>
      </c>
      <c r="B139" s="96">
        <v>4448</v>
      </c>
      <c r="C139" s="7">
        <v>1132</v>
      </c>
      <c r="D139" s="7">
        <f t="shared" si="14"/>
        <v>3316</v>
      </c>
      <c r="E139" s="97">
        <v>1475</v>
      </c>
      <c r="F139" s="7">
        <v>140</v>
      </c>
      <c r="G139" s="7">
        <f t="shared" si="15"/>
        <v>1335</v>
      </c>
      <c r="H139" s="98">
        <v>0</v>
      </c>
      <c r="I139" s="7">
        <v>0</v>
      </c>
      <c r="J139" s="7"/>
      <c r="K139" s="99">
        <f t="shared" si="20"/>
        <v>5923</v>
      </c>
      <c r="L139" s="7">
        <v>0</v>
      </c>
      <c r="M139" s="7">
        <v>0</v>
      </c>
      <c r="N139" s="7">
        <v>0</v>
      </c>
      <c r="O139" s="7">
        <v>0</v>
      </c>
      <c r="P139" s="7">
        <v>4379.6979507747001</v>
      </c>
      <c r="Q139" s="7">
        <v>1714.2721069053007</v>
      </c>
      <c r="R139" s="113">
        <f t="shared" si="16"/>
        <v>0.25449640287769787</v>
      </c>
      <c r="S139" s="113">
        <f t="shared" si="17"/>
        <v>9.4915254237288138E-2</v>
      </c>
      <c r="T139" s="113">
        <f t="shared" si="18"/>
        <v>0</v>
      </c>
      <c r="U139" s="113">
        <f t="shared" si="19"/>
        <v>0.116470552371662</v>
      </c>
    </row>
    <row r="140" spans="1:21" x14ac:dyDescent="0.45">
      <c r="A140" s="95">
        <v>44700</v>
      </c>
      <c r="B140" s="96">
        <v>4448</v>
      </c>
      <c r="C140" s="7">
        <v>1132</v>
      </c>
      <c r="D140" s="7">
        <f t="shared" si="14"/>
        <v>3316</v>
      </c>
      <c r="E140" s="97">
        <v>1475</v>
      </c>
      <c r="F140" s="7">
        <v>140</v>
      </c>
      <c r="G140" s="7">
        <f t="shared" si="15"/>
        <v>1335</v>
      </c>
      <c r="H140" s="98">
        <v>0</v>
      </c>
      <c r="I140" s="7">
        <v>0</v>
      </c>
      <c r="J140" s="7"/>
      <c r="K140" s="99">
        <f t="shared" si="20"/>
        <v>5923</v>
      </c>
      <c r="L140" s="7">
        <v>0</v>
      </c>
      <c r="M140" s="7">
        <v>0</v>
      </c>
      <c r="N140" s="7">
        <v>0</v>
      </c>
      <c r="O140" s="7">
        <v>0</v>
      </c>
      <c r="P140" s="7">
        <v>4379.6979507747001</v>
      </c>
      <c r="Q140" s="7">
        <v>2007.5026925653003</v>
      </c>
      <c r="R140" s="113">
        <f t="shared" si="16"/>
        <v>0.25449640287769787</v>
      </c>
      <c r="S140" s="113">
        <f t="shared" si="17"/>
        <v>9.4915254237288138E-2</v>
      </c>
      <c r="T140" s="113">
        <f t="shared" si="18"/>
        <v>0</v>
      </c>
      <c r="U140" s="113">
        <f t="shared" si="19"/>
        <v>0.116470552371662</v>
      </c>
    </row>
    <row r="141" spans="1:21" x14ac:dyDescent="0.45">
      <c r="A141" s="95">
        <v>44701</v>
      </c>
      <c r="B141" s="96">
        <v>4448</v>
      </c>
      <c r="C141" s="7">
        <v>1132</v>
      </c>
      <c r="D141" s="7">
        <f t="shared" si="14"/>
        <v>3316</v>
      </c>
      <c r="E141" s="97">
        <v>1475</v>
      </c>
      <c r="F141" s="7">
        <v>140</v>
      </c>
      <c r="G141" s="7">
        <f t="shared" si="15"/>
        <v>1335</v>
      </c>
      <c r="H141" s="98">
        <v>0</v>
      </c>
      <c r="I141" s="7">
        <v>0</v>
      </c>
      <c r="J141" s="7"/>
      <c r="K141" s="99">
        <f t="shared" si="20"/>
        <v>5923</v>
      </c>
      <c r="L141" s="7">
        <v>0</v>
      </c>
      <c r="M141" s="7">
        <v>0</v>
      </c>
      <c r="N141" s="7">
        <v>0</v>
      </c>
      <c r="O141" s="7">
        <v>0</v>
      </c>
      <c r="P141" s="7">
        <v>4379.6979507747001</v>
      </c>
      <c r="Q141" s="7">
        <v>2078.4047381353002</v>
      </c>
      <c r="R141" s="113">
        <f t="shared" si="16"/>
        <v>0.25449640287769787</v>
      </c>
      <c r="S141" s="113">
        <f t="shared" si="17"/>
        <v>9.4915254237288138E-2</v>
      </c>
      <c r="T141" s="113">
        <f t="shared" si="18"/>
        <v>0</v>
      </c>
      <c r="U141" s="113">
        <f t="shared" si="19"/>
        <v>0.116470552371662</v>
      </c>
    </row>
    <row r="142" spans="1:21" x14ac:dyDescent="0.45">
      <c r="A142" s="95">
        <v>44702</v>
      </c>
      <c r="B142" s="96">
        <v>4448</v>
      </c>
      <c r="C142" s="7">
        <v>1132</v>
      </c>
      <c r="D142" s="7">
        <f t="shared" si="14"/>
        <v>3316</v>
      </c>
      <c r="E142" s="97">
        <v>1475</v>
      </c>
      <c r="F142" s="7">
        <v>140</v>
      </c>
      <c r="G142" s="7">
        <f t="shared" si="15"/>
        <v>1335</v>
      </c>
      <c r="H142" s="98">
        <v>0</v>
      </c>
      <c r="I142" s="7">
        <v>0</v>
      </c>
      <c r="J142" s="7"/>
      <c r="K142" s="99">
        <f t="shared" si="20"/>
        <v>5923</v>
      </c>
      <c r="L142" s="7">
        <v>0</v>
      </c>
      <c r="M142" s="7">
        <v>0</v>
      </c>
      <c r="N142" s="7">
        <v>0</v>
      </c>
      <c r="O142" s="7">
        <v>0</v>
      </c>
      <c r="P142" s="7">
        <v>4379.6979507747001</v>
      </c>
      <c r="Q142" s="7">
        <v>2078.4047381353002</v>
      </c>
      <c r="R142" s="113">
        <f t="shared" si="16"/>
        <v>0.25449640287769787</v>
      </c>
      <c r="S142" s="113">
        <f t="shared" si="17"/>
        <v>9.4915254237288138E-2</v>
      </c>
      <c r="T142" s="113">
        <f t="shared" si="18"/>
        <v>0</v>
      </c>
      <c r="U142" s="113">
        <f t="shared" si="19"/>
        <v>0.116470552371662</v>
      </c>
    </row>
    <row r="143" spans="1:21" x14ac:dyDescent="0.45">
      <c r="A143" s="95">
        <v>44703</v>
      </c>
      <c r="B143" s="96">
        <v>4448</v>
      </c>
      <c r="C143" s="7">
        <v>1132</v>
      </c>
      <c r="D143" s="7">
        <f t="shared" si="14"/>
        <v>3316</v>
      </c>
      <c r="E143" s="97">
        <v>1475</v>
      </c>
      <c r="F143" s="7">
        <v>140</v>
      </c>
      <c r="G143" s="7">
        <f t="shared" si="15"/>
        <v>1335</v>
      </c>
      <c r="H143" s="98">
        <v>0</v>
      </c>
      <c r="I143" s="7">
        <v>0</v>
      </c>
      <c r="J143" s="7"/>
      <c r="K143" s="99">
        <f t="shared" si="20"/>
        <v>5923</v>
      </c>
      <c r="L143" s="7">
        <v>0</v>
      </c>
      <c r="M143" s="7">
        <v>0</v>
      </c>
      <c r="N143" s="7">
        <v>0</v>
      </c>
      <c r="O143" s="7">
        <v>0</v>
      </c>
      <c r="P143" s="7">
        <v>4379.6979507747001</v>
      </c>
      <c r="Q143" s="7">
        <v>2078.4047381353002</v>
      </c>
      <c r="R143" s="113">
        <f t="shared" si="16"/>
        <v>0.25449640287769787</v>
      </c>
      <c r="S143" s="113">
        <f t="shared" si="17"/>
        <v>9.4915254237288138E-2</v>
      </c>
      <c r="T143" s="113">
        <f t="shared" si="18"/>
        <v>0</v>
      </c>
      <c r="U143" s="113">
        <f t="shared" si="19"/>
        <v>0.116470552371662</v>
      </c>
    </row>
    <row r="144" spans="1:21" x14ac:dyDescent="0.45">
      <c r="A144" s="95">
        <v>44704</v>
      </c>
      <c r="B144" s="96">
        <v>4448</v>
      </c>
      <c r="C144" s="7">
        <v>1132</v>
      </c>
      <c r="D144" s="7">
        <f t="shared" si="14"/>
        <v>3316</v>
      </c>
      <c r="E144" s="97">
        <v>1475</v>
      </c>
      <c r="F144" s="7">
        <v>140</v>
      </c>
      <c r="G144" s="7">
        <f t="shared" si="15"/>
        <v>1335</v>
      </c>
      <c r="H144" s="98">
        <v>0</v>
      </c>
      <c r="I144" s="7">
        <v>0</v>
      </c>
      <c r="J144" s="7"/>
      <c r="K144" s="99">
        <f t="shared" si="20"/>
        <v>5923</v>
      </c>
      <c r="L144" s="7">
        <v>0</v>
      </c>
      <c r="M144" s="7">
        <v>0</v>
      </c>
      <c r="N144" s="7">
        <v>0</v>
      </c>
      <c r="O144" s="7">
        <v>0</v>
      </c>
      <c r="P144" s="7">
        <v>4379.6979507747001</v>
      </c>
      <c r="Q144" s="7">
        <v>3049.4326353953002</v>
      </c>
      <c r="R144" s="113">
        <f t="shared" si="16"/>
        <v>0.25449640287769787</v>
      </c>
      <c r="S144" s="113">
        <f t="shared" si="17"/>
        <v>9.4915254237288138E-2</v>
      </c>
      <c r="T144" s="113">
        <f t="shared" si="18"/>
        <v>0</v>
      </c>
      <c r="U144" s="113">
        <f t="shared" si="19"/>
        <v>0.116470552371662</v>
      </c>
    </row>
    <row r="145" spans="1:21" x14ac:dyDescent="0.45">
      <c r="A145" s="95">
        <v>44705</v>
      </c>
      <c r="B145" s="96">
        <v>4448</v>
      </c>
      <c r="C145" s="7">
        <v>1132</v>
      </c>
      <c r="D145" s="7">
        <f t="shared" si="14"/>
        <v>3316</v>
      </c>
      <c r="E145" s="97">
        <v>1195</v>
      </c>
      <c r="F145" s="7">
        <v>140</v>
      </c>
      <c r="G145" s="7">
        <f t="shared" si="15"/>
        <v>1055</v>
      </c>
      <c r="H145" s="98">
        <v>0</v>
      </c>
      <c r="I145" s="7">
        <v>0</v>
      </c>
      <c r="J145" s="7"/>
      <c r="K145" s="99">
        <f t="shared" si="20"/>
        <v>5643</v>
      </c>
      <c r="L145" s="7">
        <v>0</v>
      </c>
      <c r="M145" s="7">
        <v>0</v>
      </c>
      <c r="N145" s="7">
        <v>0</v>
      </c>
      <c r="O145" s="7">
        <v>0</v>
      </c>
      <c r="P145" s="7">
        <v>4379.6979507747001</v>
      </c>
      <c r="Q145" s="7">
        <v>2456.5257713853002</v>
      </c>
      <c r="R145" s="113">
        <f t="shared" si="16"/>
        <v>0.25449640287769787</v>
      </c>
      <c r="S145" s="113">
        <f t="shared" si="17"/>
        <v>0.11715481171548117</v>
      </c>
      <c r="T145" s="113">
        <f t="shared" si="18"/>
        <v>0</v>
      </c>
      <c r="U145" s="113">
        <f t="shared" si="19"/>
        <v>0.12388373819772636</v>
      </c>
    </row>
    <row r="146" spans="1:21" x14ac:dyDescent="0.45">
      <c r="A146" s="95">
        <v>44706</v>
      </c>
      <c r="B146" s="96">
        <v>4348</v>
      </c>
      <c r="C146" s="7">
        <v>1132</v>
      </c>
      <c r="D146" s="7">
        <f t="shared" si="14"/>
        <v>3216</v>
      </c>
      <c r="E146" s="97">
        <v>1195</v>
      </c>
      <c r="F146" s="7">
        <v>140</v>
      </c>
      <c r="G146" s="7">
        <f t="shared" si="15"/>
        <v>1055</v>
      </c>
      <c r="H146" s="98">
        <v>0</v>
      </c>
      <c r="I146" s="7">
        <v>0</v>
      </c>
      <c r="J146" s="7"/>
      <c r="K146" s="99">
        <f t="shared" si="20"/>
        <v>5543</v>
      </c>
      <c r="L146" s="7">
        <v>0</v>
      </c>
      <c r="M146" s="7">
        <v>0</v>
      </c>
      <c r="N146" s="7">
        <v>0</v>
      </c>
      <c r="O146" s="7">
        <v>0</v>
      </c>
      <c r="P146" s="7">
        <v>4379.6979507747001</v>
      </c>
      <c r="Q146" s="7">
        <v>2456.5257713853002</v>
      </c>
      <c r="R146" s="113">
        <f t="shared" si="16"/>
        <v>0.26034958601655933</v>
      </c>
      <c r="S146" s="113">
        <f t="shared" si="17"/>
        <v>0.11715481171548117</v>
      </c>
      <c r="T146" s="113">
        <f t="shared" si="18"/>
        <v>0</v>
      </c>
      <c r="U146" s="113">
        <f t="shared" si="19"/>
        <v>0.1258347992440135</v>
      </c>
    </row>
    <row r="147" spans="1:21" x14ac:dyDescent="0.45">
      <c r="A147" s="95">
        <v>44707</v>
      </c>
      <c r="B147" s="96">
        <v>4348</v>
      </c>
      <c r="C147" s="7">
        <v>1132</v>
      </c>
      <c r="D147" s="7">
        <f t="shared" si="14"/>
        <v>3216</v>
      </c>
      <c r="E147" s="97">
        <v>1475</v>
      </c>
      <c r="F147" s="7">
        <v>140</v>
      </c>
      <c r="G147" s="7">
        <f t="shared" si="15"/>
        <v>1335</v>
      </c>
      <c r="H147" s="98">
        <v>0</v>
      </c>
      <c r="I147" s="7">
        <v>0</v>
      </c>
      <c r="J147" s="7"/>
      <c r="K147" s="99">
        <f t="shared" si="20"/>
        <v>5823</v>
      </c>
      <c r="L147" s="7">
        <v>0</v>
      </c>
      <c r="M147" s="7">
        <v>0</v>
      </c>
      <c r="N147" s="7">
        <v>0</v>
      </c>
      <c r="O147" s="7">
        <v>0</v>
      </c>
      <c r="P147" s="7">
        <v>4379.6979507747001</v>
      </c>
      <c r="Q147" s="7">
        <v>2284.2454252052999</v>
      </c>
      <c r="R147" s="113">
        <f t="shared" si="16"/>
        <v>0.26034958601655933</v>
      </c>
      <c r="S147" s="113">
        <f t="shared" si="17"/>
        <v>9.4915254237288138E-2</v>
      </c>
      <c r="T147" s="113">
        <f t="shared" si="18"/>
        <v>0</v>
      </c>
      <c r="U147" s="113">
        <f t="shared" si="19"/>
        <v>0.11842161341794916</v>
      </c>
    </row>
    <row r="148" spans="1:21" x14ac:dyDescent="0.45">
      <c r="A148" s="95">
        <v>44708</v>
      </c>
      <c r="B148" s="96">
        <v>4348</v>
      </c>
      <c r="C148" s="7">
        <v>1132</v>
      </c>
      <c r="D148" s="7">
        <f t="shared" si="14"/>
        <v>3216</v>
      </c>
      <c r="E148" s="97">
        <v>1475</v>
      </c>
      <c r="F148" s="7">
        <v>140</v>
      </c>
      <c r="G148" s="7">
        <f t="shared" si="15"/>
        <v>1335</v>
      </c>
      <c r="H148" s="98">
        <v>0</v>
      </c>
      <c r="I148" s="7">
        <v>0</v>
      </c>
      <c r="J148" s="7"/>
      <c r="K148" s="99">
        <f t="shared" si="20"/>
        <v>5823</v>
      </c>
      <c r="L148" s="7">
        <v>0</v>
      </c>
      <c r="M148" s="7">
        <v>0</v>
      </c>
      <c r="N148" s="7">
        <v>0</v>
      </c>
      <c r="O148" s="7">
        <v>0</v>
      </c>
      <c r="P148" s="7">
        <v>4379.6979507747001</v>
      </c>
      <c r="Q148" s="7">
        <v>2554.1615468753002</v>
      </c>
      <c r="R148" s="113">
        <f t="shared" si="16"/>
        <v>0.26034958601655933</v>
      </c>
      <c r="S148" s="113">
        <f t="shared" si="17"/>
        <v>9.4915254237288138E-2</v>
      </c>
      <c r="T148" s="113">
        <f t="shared" si="18"/>
        <v>0</v>
      </c>
      <c r="U148" s="113">
        <f t="shared" si="19"/>
        <v>0.11842161341794916</v>
      </c>
    </row>
    <row r="149" spans="1:21" x14ac:dyDescent="0.45">
      <c r="A149" s="95">
        <v>44709</v>
      </c>
      <c r="B149" s="96">
        <v>4348</v>
      </c>
      <c r="C149" s="7">
        <v>1132</v>
      </c>
      <c r="D149" s="7">
        <f t="shared" si="14"/>
        <v>3216</v>
      </c>
      <c r="E149" s="97">
        <v>1475</v>
      </c>
      <c r="F149" s="7">
        <v>140</v>
      </c>
      <c r="G149" s="7">
        <f t="shared" si="15"/>
        <v>1335</v>
      </c>
      <c r="H149" s="98">
        <v>0</v>
      </c>
      <c r="I149" s="7">
        <v>0</v>
      </c>
      <c r="J149" s="7"/>
      <c r="K149" s="99">
        <f t="shared" si="20"/>
        <v>5823</v>
      </c>
      <c r="L149" s="7">
        <v>0</v>
      </c>
      <c r="M149" s="7">
        <v>0</v>
      </c>
      <c r="N149" s="7">
        <v>0</v>
      </c>
      <c r="O149" s="7">
        <v>0</v>
      </c>
      <c r="P149" s="7">
        <v>4379.6979507747001</v>
      </c>
      <c r="Q149" s="7">
        <v>2554.1615468753002</v>
      </c>
      <c r="R149" s="113">
        <f t="shared" si="16"/>
        <v>0.26034958601655933</v>
      </c>
      <c r="S149" s="113">
        <f t="shared" si="17"/>
        <v>9.4915254237288138E-2</v>
      </c>
      <c r="T149" s="113">
        <f t="shared" si="18"/>
        <v>0</v>
      </c>
      <c r="U149" s="113">
        <f t="shared" si="19"/>
        <v>0.11842161341794916</v>
      </c>
    </row>
    <row r="150" spans="1:21" x14ac:dyDescent="0.45">
      <c r="A150" s="95">
        <v>44710</v>
      </c>
      <c r="B150" s="96">
        <v>4348</v>
      </c>
      <c r="C150" s="7">
        <v>1132</v>
      </c>
      <c r="D150" s="7">
        <f t="shared" si="14"/>
        <v>3216</v>
      </c>
      <c r="E150" s="97">
        <v>1475</v>
      </c>
      <c r="F150" s="7">
        <v>140</v>
      </c>
      <c r="G150" s="7">
        <f t="shared" si="15"/>
        <v>1335</v>
      </c>
      <c r="H150" s="98">
        <v>0</v>
      </c>
      <c r="I150" s="7">
        <v>0</v>
      </c>
      <c r="J150" s="7"/>
      <c r="K150" s="99">
        <f t="shared" si="20"/>
        <v>5823</v>
      </c>
      <c r="L150" s="7">
        <v>0</v>
      </c>
      <c r="M150" s="7">
        <v>0</v>
      </c>
      <c r="N150" s="7">
        <v>0</v>
      </c>
      <c r="O150" s="7">
        <v>0</v>
      </c>
      <c r="P150" s="7">
        <v>4379.6979507747001</v>
      </c>
      <c r="Q150" s="7">
        <v>2554.1615468753002</v>
      </c>
      <c r="R150" s="113">
        <f t="shared" si="16"/>
        <v>0.26034958601655933</v>
      </c>
      <c r="S150" s="113">
        <f t="shared" si="17"/>
        <v>9.4915254237288138E-2</v>
      </c>
      <c r="T150" s="113">
        <f t="shared" si="18"/>
        <v>0</v>
      </c>
      <c r="U150" s="113">
        <f t="shared" si="19"/>
        <v>0.11842161341794916</v>
      </c>
    </row>
    <row r="151" spans="1:21" x14ac:dyDescent="0.45">
      <c r="A151" s="95">
        <v>44711</v>
      </c>
      <c r="B151" s="96">
        <v>4348</v>
      </c>
      <c r="C151" s="7">
        <v>1132</v>
      </c>
      <c r="D151" s="7">
        <f t="shared" si="14"/>
        <v>3216</v>
      </c>
      <c r="E151" s="97">
        <v>1475</v>
      </c>
      <c r="F151" s="7">
        <v>140</v>
      </c>
      <c r="G151" s="7">
        <f t="shared" si="15"/>
        <v>1335</v>
      </c>
      <c r="H151" s="98">
        <v>0</v>
      </c>
      <c r="I151" s="7">
        <v>0</v>
      </c>
      <c r="J151" s="7"/>
      <c r="K151" s="99">
        <f t="shared" si="20"/>
        <v>5823</v>
      </c>
      <c r="L151" s="7">
        <v>0</v>
      </c>
      <c r="M151" s="7">
        <v>0</v>
      </c>
      <c r="N151" s="7">
        <v>0</v>
      </c>
      <c r="O151" s="7">
        <v>0</v>
      </c>
      <c r="P151" s="7">
        <v>4379.6979507747001</v>
      </c>
      <c r="Q151" s="7">
        <v>2396.2198949053004</v>
      </c>
      <c r="R151" s="113">
        <f t="shared" si="16"/>
        <v>0.26034958601655933</v>
      </c>
      <c r="S151" s="113">
        <f t="shared" si="17"/>
        <v>9.4915254237288138E-2</v>
      </c>
      <c r="T151" s="113">
        <f t="shared" si="18"/>
        <v>0</v>
      </c>
      <c r="U151" s="113">
        <f t="shared" si="19"/>
        <v>0.11842161341794916</v>
      </c>
    </row>
    <row r="152" spans="1:21" x14ac:dyDescent="0.45">
      <c r="A152" s="95">
        <v>44712</v>
      </c>
      <c r="B152" s="96">
        <v>4348</v>
      </c>
      <c r="C152" s="7">
        <v>1132</v>
      </c>
      <c r="D152" s="7">
        <f t="shared" si="14"/>
        <v>3216</v>
      </c>
      <c r="E152" s="97">
        <v>1475</v>
      </c>
      <c r="F152" s="7">
        <v>140</v>
      </c>
      <c r="G152" s="7">
        <f t="shared" si="15"/>
        <v>1335</v>
      </c>
      <c r="H152" s="98">
        <v>0</v>
      </c>
      <c r="I152" s="7">
        <v>0</v>
      </c>
      <c r="J152" s="7"/>
      <c r="K152" s="99">
        <f t="shared" si="20"/>
        <v>5823</v>
      </c>
      <c r="L152" s="7">
        <v>0</v>
      </c>
      <c r="M152" s="7">
        <v>0</v>
      </c>
      <c r="N152" s="7">
        <v>0</v>
      </c>
      <c r="O152" s="7">
        <v>0</v>
      </c>
      <c r="P152" s="7">
        <v>4379.6979507747001</v>
      </c>
      <c r="Q152" s="7">
        <v>2165.8330628753006</v>
      </c>
      <c r="R152" s="113">
        <f t="shared" si="16"/>
        <v>0.26034958601655933</v>
      </c>
      <c r="S152" s="113">
        <f t="shared" si="17"/>
        <v>9.4915254237288138E-2</v>
      </c>
      <c r="T152" s="113">
        <f t="shared" si="18"/>
        <v>0</v>
      </c>
      <c r="U152" s="113">
        <f t="shared" si="19"/>
        <v>0.11842161341794916</v>
      </c>
    </row>
    <row r="153" spans="1:21" x14ac:dyDescent="0.45">
      <c r="A153" s="95">
        <v>44713</v>
      </c>
      <c r="B153" s="96">
        <v>4348</v>
      </c>
      <c r="C153" s="7">
        <v>1132</v>
      </c>
      <c r="D153" s="7">
        <f t="shared" si="14"/>
        <v>3216</v>
      </c>
      <c r="E153" s="97">
        <v>1475</v>
      </c>
      <c r="F153" s="7">
        <v>140</v>
      </c>
      <c r="G153" s="7">
        <f t="shared" si="15"/>
        <v>1335</v>
      </c>
      <c r="H153" s="98">
        <v>0</v>
      </c>
      <c r="I153" s="7">
        <v>0</v>
      </c>
      <c r="J153" s="7"/>
      <c r="K153" s="99">
        <f t="shared" si="20"/>
        <v>5823</v>
      </c>
      <c r="L153" s="7">
        <v>0</v>
      </c>
      <c r="M153" s="7">
        <v>0</v>
      </c>
      <c r="N153" s="7">
        <v>0</v>
      </c>
      <c r="O153" s="7">
        <v>0</v>
      </c>
      <c r="P153" s="7">
        <v>4379.6979507747001</v>
      </c>
      <c r="Q153" s="7">
        <v>1920.2373669252997</v>
      </c>
      <c r="R153" s="113">
        <f t="shared" si="16"/>
        <v>0.26034958601655933</v>
      </c>
      <c r="S153" s="113">
        <f t="shared" si="17"/>
        <v>9.4915254237288138E-2</v>
      </c>
      <c r="T153" s="113">
        <f t="shared" si="18"/>
        <v>0</v>
      </c>
      <c r="U153" s="113">
        <f t="shared" si="19"/>
        <v>0.11842161341794916</v>
      </c>
    </row>
    <row r="154" spans="1:21" x14ac:dyDescent="0.45">
      <c r="A154" s="95">
        <v>44714</v>
      </c>
      <c r="B154" s="96">
        <v>4348</v>
      </c>
      <c r="C154" s="7">
        <v>1132</v>
      </c>
      <c r="D154" s="7">
        <f t="shared" si="14"/>
        <v>3216</v>
      </c>
      <c r="E154" s="97">
        <v>1475</v>
      </c>
      <c r="F154" s="7">
        <v>140</v>
      </c>
      <c r="G154" s="7">
        <f t="shared" si="15"/>
        <v>1335</v>
      </c>
      <c r="H154" s="98">
        <v>0</v>
      </c>
      <c r="I154" s="7">
        <v>0</v>
      </c>
      <c r="J154" s="7"/>
      <c r="K154" s="99">
        <f t="shared" si="20"/>
        <v>5823</v>
      </c>
      <c r="L154" s="7">
        <v>0</v>
      </c>
      <c r="M154" s="7">
        <v>0</v>
      </c>
      <c r="N154" s="7">
        <v>0</v>
      </c>
      <c r="O154" s="7">
        <v>0</v>
      </c>
      <c r="P154" s="7">
        <v>4379.6979507747001</v>
      </c>
      <c r="Q154" s="7">
        <v>1932.4110258353005</v>
      </c>
      <c r="R154" s="113">
        <f t="shared" si="16"/>
        <v>0.26034958601655933</v>
      </c>
      <c r="S154" s="113">
        <f t="shared" si="17"/>
        <v>9.4915254237288138E-2</v>
      </c>
      <c r="T154" s="113">
        <f t="shared" si="18"/>
        <v>0</v>
      </c>
      <c r="U154" s="113">
        <f t="shared" si="19"/>
        <v>0.11842161341794916</v>
      </c>
    </row>
    <row r="155" spans="1:21" x14ac:dyDescent="0.45">
      <c r="A155" s="95">
        <v>44715</v>
      </c>
      <c r="B155" s="96">
        <v>4348</v>
      </c>
      <c r="C155" s="7">
        <v>1132</v>
      </c>
      <c r="D155" s="7">
        <f t="shared" si="14"/>
        <v>3216</v>
      </c>
      <c r="E155" s="97">
        <v>1475</v>
      </c>
      <c r="F155" s="7">
        <v>140</v>
      </c>
      <c r="G155" s="7">
        <f t="shared" si="15"/>
        <v>1335</v>
      </c>
      <c r="H155" s="98">
        <v>0</v>
      </c>
      <c r="I155" s="7">
        <v>0</v>
      </c>
      <c r="J155" s="7"/>
      <c r="K155" s="99">
        <f t="shared" si="20"/>
        <v>5823</v>
      </c>
      <c r="L155" s="7">
        <v>0</v>
      </c>
      <c r="M155" s="7">
        <v>0</v>
      </c>
      <c r="N155" s="7">
        <v>0</v>
      </c>
      <c r="O155" s="7">
        <v>0</v>
      </c>
      <c r="P155" s="7">
        <v>4379.6979507747001</v>
      </c>
      <c r="Q155" s="7">
        <v>1991.2848679053004</v>
      </c>
      <c r="R155" s="113">
        <f t="shared" si="16"/>
        <v>0.26034958601655933</v>
      </c>
      <c r="S155" s="113">
        <f t="shared" si="17"/>
        <v>9.4915254237288138E-2</v>
      </c>
      <c r="T155" s="113">
        <f t="shared" si="18"/>
        <v>0</v>
      </c>
      <c r="U155" s="113">
        <f t="shared" si="19"/>
        <v>0.11842161341794916</v>
      </c>
    </row>
    <row r="156" spans="1:21" x14ac:dyDescent="0.45">
      <c r="A156" s="95">
        <v>44716</v>
      </c>
      <c r="B156" s="96">
        <v>4348</v>
      </c>
      <c r="C156" s="7">
        <v>1132</v>
      </c>
      <c r="D156" s="7">
        <f t="shared" si="14"/>
        <v>3216</v>
      </c>
      <c r="E156" s="97">
        <v>1475</v>
      </c>
      <c r="F156" s="7">
        <v>140</v>
      </c>
      <c r="G156" s="7">
        <f t="shared" si="15"/>
        <v>1335</v>
      </c>
      <c r="H156" s="98">
        <v>0</v>
      </c>
      <c r="I156" s="7">
        <v>0</v>
      </c>
      <c r="J156" s="7"/>
      <c r="K156" s="99">
        <f t="shared" si="20"/>
        <v>5823</v>
      </c>
      <c r="L156" s="7">
        <v>0</v>
      </c>
      <c r="M156" s="7">
        <v>0</v>
      </c>
      <c r="N156" s="7">
        <v>0</v>
      </c>
      <c r="O156" s="7">
        <v>0</v>
      </c>
      <c r="P156" s="7">
        <v>4379.6979507747001</v>
      </c>
      <c r="Q156" s="7">
        <v>1991.2848679053004</v>
      </c>
      <c r="R156" s="113">
        <f t="shared" si="16"/>
        <v>0.26034958601655933</v>
      </c>
      <c r="S156" s="113">
        <f t="shared" si="17"/>
        <v>9.4915254237288138E-2</v>
      </c>
      <c r="T156" s="113">
        <f t="shared" si="18"/>
        <v>0</v>
      </c>
      <c r="U156" s="113">
        <f t="shared" si="19"/>
        <v>0.11842161341794916</v>
      </c>
    </row>
    <row r="157" spans="1:21" x14ac:dyDescent="0.45">
      <c r="A157" s="95">
        <v>44717</v>
      </c>
      <c r="B157" s="96">
        <v>4348</v>
      </c>
      <c r="C157" s="7">
        <v>1132</v>
      </c>
      <c r="D157" s="7">
        <f t="shared" si="14"/>
        <v>3216</v>
      </c>
      <c r="E157" s="97">
        <v>1475</v>
      </c>
      <c r="F157" s="7">
        <v>140</v>
      </c>
      <c r="G157" s="7">
        <f t="shared" si="15"/>
        <v>1335</v>
      </c>
      <c r="H157" s="98">
        <v>0</v>
      </c>
      <c r="I157" s="7">
        <v>0</v>
      </c>
      <c r="J157" s="7"/>
      <c r="K157" s="99">
        <f t="shared" si="20"/>
        <v>5823</v>
      </c>
      <c r="L157" s="7">
        <v>0</v>
      </c>
      <c r="M157" s="7">
        <v>0</v>
      </c>
      <c r="N157" s="7">
        <v>0</v>
      </c>
      <c r="O157" s="7">
        <v>0</v>
      </c>
      <c r="P157" s="7">
        <v>4379.6979507747001</v>
      </c>
      <c r="Q157" s="7">
        <v>1991.2848679053004</v>
      </c>
      <c r="R157" s="113">
        <f t="shared" si="16"/>
        <v>0.26034958601655933</v>
      </c>
      <c r="S157" s="113">
        <f t="shared" si="17"/>
        <v>9.4915254237288138E-2</v>
      </c>
      <c r="T157" s="113">
        <f t="shared" si="18"/>
        <v>0</v>
      </c>
      <c r="U157" s="113">
        <f t="shared" si="19"/>
        <v>0.11842161341794916</v>
      </c>
    </row>
    <row r="158" spans="1:21" x14ac:dyDescent="0.45">
      <c r="A158" s="95">
        <v>44718</v>
      </c>
      <c r="B158" s="96">
        <v>4348</v>
      </c>
      <c r="C158" s="7">
        <v>1132</v>
      </c>
      <c r="D158" s="7">
        <f t="shared" si="14"/>
        <v>3216</v>
      </c>
      <c r="E158" s="97">
        <v>1475</v>
      </c>
      <c r="F158" s="7">
        <v>140</v>
      </c>
      <c r="G158" s="7">
        <f t="shared" si="15"/>
        <v>1335</v>
      </c>
      <c r="H158" s="98">
        <v>0</v>
      </c>
      <c r="I158" s="7">
        <v>0</v>
      </c>
      <c r="J158" s="7"/>
      <c r="K158" s="99">
        <f t="shared" si="20"/>
        <v>5823</v>
      </c>
      <c r="L158" s="7">
        <v>0</v>
      </c>
      <c r="M158" s="7">
        <v>0</v>
      </c>
      <c r="N158" s="7">
        <v>0</v>
      </c>
      <c r="O158" s="7">
        <v>0</v>
      </c>
      <c r="P158" s="7">
        <v>4379.6979507747001</v>
      </c>
      <c r="Q158" s="7">
        <v>1482.0724906853004</v>
      </c>
      <c r="R158" s="113">
        <f t="shared" si="16"/>
        <v>0.26034958601655933</v>
      </c>
      <c r="S158" s="113">
        <f t="shared" si="17"/>
        <v>9.4915254237288138E-2</v>
      </c>
      <c r="T158" s="113">
        <f t="shared" si="18"/>
        <v>0</v>
      </c>
      <c r="U158" s="113">
        <f t="shared" si="19"/>
        <v>0.11842161341794916</v>
      </c>
    </row>
    <row r="159" spans="1:21" x14ac:dyDescent="0.45">
      <c r="A159" s="95">
        <v>44719</v>
      </c>
      <c r="B159" s="96">
        <v>4348</v>
      </c>
      <c r="C159" s="7">
        <v>1132</v>
      </c>
      <c r="D159" s="7">
        <f t="shared" si="14"/>
        <v>3216</v>
      </c>
      <c r="E159" s="97">
        <v>1475</v>
      </c>
      <c r="F159" s="7">
        <v>140</v>
      </c>
      <c r="G159" s="7">
        <f t="shared" si="15"/>
        <v>1335</v>
      </c>
      <c r="H159" s="98">
        <v>0</v>
      </c>
      <c r="I159" s="7">
        <v>0</v>
      </c>
      <c r="J159" s="7"/>
      <c r="K159" s="99">
        <f t="shared" si="20"/>
        <v>5823</v>
      </c>
      <c r="L159" s="7">
        <v>0</v>
      </c>
      <c r="M159" s="7">
        <v>0</v>
      </c>
      <c r="N159" s="7">
        <v>0</v>
      </c>
      <c r="O159" s="7">
        <v>0</v>
      </c>
      <c r="P159" s="7">
        <v>4379.6979507747001</v>
      </c>
      <c r="Q159" s="7">
        <v>1169.6099036053001</v>
      </c>
      <c r="R159" s="113">
        <f t="shared" si="16"/>
        <v>0.26034958601655933</v>
      </c>
      <c r="S159" s="113">
        <f t="shared" si="17"/>
        <v>9.4915254237288138E-2</v>
      </c>
      <c r="T159" s="113">
        <f t="shared" si="18"/>
        <v>0</v>
      </c>
      <c r="U159" s="113">
        <f t="shared" si="19"/>
        <v>0.11842161341794916</v>
      </c>
    </row>
    <row r="160" spans="1:21" x14ac:dyDescent="0.45">
      <c r="A160" s="95">
        <v>44720</v>
      </c>
      <c r="B160" s="96">
        <v>4402</v>
      </c>
      <c r="C160" s="7">
        <v>1132</v>
      </c>
      <c r="D160" s="7">
        <f t="shared" si="14"/>
        <v>3270</v>
      </c>
      <c r="E160" s="97">
        <v>1475</v>
      </c>
      <c r="F160" s="7">
        <v>140</v>
      </c>
      <c r="G160" s="7">
        <f t="shared" si="15"/>
        <v>1335</v>
      </c>
      <c r="H160" s="98">
        <v>0</v>
      </c>
      <c r="I160" s="7">
        <v>0</v>
      </c>
      <c r="J160" s="7"/>
      <c r="K160" s="99">
        <f t="shared" si="20"/>
        <v>5877</v>
      </c>
      <c r="L160" s="7">
        <v>0</v>
      </c>
      <c r="M160" s="7">
        <v>0</v>
      </c>
      <c r="N160" s="7">
        <v>0</v>
      </c>
      <c r="O160" s="7">
        <v>0</v>
      </c>
      <c r="P160" s="7">
        <v>4379.6979507747001</v>
      </c>
      <c r="Q160" s="7">
        <v>849.36727425530034</v>
      </c>
      <c r="R160" s="113">
        <f t="shared" si="16"/>
        <v>0.2571558382553385</v>
      </c>
      <c r="S160" s="113">
        <f t="shared" si="17"/>
        <v>9.4915254237288138E-2</v>
      </c>
      <c r="T160" s="113">
        <f t="shared" si="18"/>
        <v>0</v>
      </c>
      <c r="U160" s="113">
        <f t="shared" si="19"/>
        <v>0.11735703083087555</v>
      </c>
    </row>
    <row r="161" spans="1:21" x14ac:dyDescent="0.45">
      <c r="A161" s="95">
        <v>44721</v>
      </c>
      <c r="B161" s="96">
        <v>4402</v>
      </c>
      <c r="C161" s="7">
        <v>932</v>
      </c>
      <c r="D161" s="7">
        <f t="shared" si="14"/>
        <v>3470</v>
      </c>
      <c r="E161" s="97">
        <v>1475</v>
      </c>
      <c r="F161" s="7">
        <v>140</v>
      </c>
      <c r="G161" s="7">
        <f t="shared" si="15"/>
        <v>1335</v>
      </c>
      <c r="H161" s="98">
        <v>0</v>
      </c>
      <c r="I161" s="7">
        <v>0</v>
      </c>
      <c r="J161" s="7"/>
      <c r="K161" s="99">
        <f t="shared" si="20"/>
        <v>5877</v>
      </c>
      <c r="L161" s="7">
        <v>0</v>
      </c>
      <c r="M161" s="7">
        <v>0</v>
      </c>
      <c r="N161" s="7">
        <v>0</v>
      </c>
      <c r="O161" s="7">
        <v>0</v>
      </c>
      <c r="P161" s="7">
        <v>4379.6979507747001</v>
      </c>
      <c r="Q161" s="7">
        <v>1669.5964420653006</v>
      </c>
      <c r="R161" s="113">
        <f t="shared" si="16"/>
        <v>0.21172194457064972</v>
      </c>
      <c r="S161" s="113">
        <f t="shared" si="17"/>
        <v>9.4915254237288138E-2</v>
      </c>
      <c r="T161" s="113">
        <f t="shared" si="18"/>
        <v>0</v>
      </c>
      <c r="U161" s="113">
        <f t="shared" si="19"/>
        <v>0.10221239960264594</v>
      </c>
    </row>
    <row r="162" spans="1:21" x14ac:dyDescent="0.45">
      <c r="A162" s="95">
        <v>44722</v>
      </c>
      <c r="B162" s="96">
        <v>4402</v>
      </c>
      <c r="C162" s="7">
        <v>932</v>
      </c>
      <c r="D162" s="7">
        <f t="shared" si="14"/>
        <v>3470</v>
      </c>
      <c r="E162" s="97">
        <v>1475</v>
      </c>
      <c r="F162" s="7">
        <v>140</v>
      </c>
      <c r="G162" s="7">
        <f t="shared" si="15"/>
        <v>1335</v>
      </c>
      <c r="H162" s="98">
        <v>0</v>
      </c>
      <c r="I162" s="7">
        <v>0</v>
      </c>
      <c r="J162" s="7"/>
      <c r="K162" s="99">
        <f t="shared" si="20"/>
        <v>5877</v>
      </c>
      <c r="L162" s="7">
        <v>0</v>
      </c>
      <c r="M162" s="7">
        <v>0</v>
      </c>
      <c r="N162" s="7">
        <v>0</v>
      </c>
      <c r="O162" s="7">
        <v>0</v>
      </c>
      <c r="P162" s="7">
        <v>4379.6979507747001</v>
      </c>
      <c r="Q162" s="7">
        <v>2161.5749436153001</v>
      </c>
      <c r="R162" s="113">
        <f t="shared" si="16"/>
        <v>0.21172194457064972</v>
      </c>
      <c r="S162" s="113">
        <f t="shared" si="17"/>
        <v>9.4915254237288138E-2</v>
      </c>
      <c r="T162" s="113">
        <f t="shared" si="18"/>
        <v>0</v>
      </c>
      <c r="U162" s="113">
        <f t="shared" si="19"/>
        <v>0.10221239960264594</v>
      </c>
    </row>
    <row r="163" spans="1:21" x14ac:dyDescent="0.45">
      <c r="A163" s="95">
        <v>44723</v>
      </c>
      <c r="B163" s="96">
        <v>4402</v>
      </c>
      <c r="C163" s="7">
        <v>932</v>
      </c>
      <c r="D163" s="7">
        <f t="shared" si="14"/>
        <v>3470</v>
      </c>
      <c r="E163" s="97">
        <v>1475</v>
      </c>
      <c r="F163" s="7">
        <v>140</v>
      </c>
      <c r="G163" s="7">
        <f t="shared" si="15"/>
        <v>1335</v>
      </c>
      <c r="H163" s="98">
        <v>0</v>
      </c>
      <c r="I163" s="7">
        <v>0</v>
      </c>
      <c r="J163" s="7"/>
      <c r="K163" s="99">
        <f t="shared" si="20"/>
        <v>5877</v>
      </c>
      <c r="L163" s="7">
        <v>0</v>
      </c>
      <c r="M163" s="7">
        <v>0</v>
      </c>
      <c r="N163" s="7">
        <v>0</v>
      </c>
      <c r="O163" s="7">
        <v>0</v>
      </c>
      <c r="P163" s="7">
        <v>4379.6979507747001</v>
      </c>
      <c r="Q163" s="7">
        <v>2161.5749436153001</v>
      </c>
      <c r="R163" s="113">
        <f t="shared" si="16"/>
        <v>0.21172194457064972</v>
      </c>
      <c r="S163" s="113">
        <f t="shared" si="17"/>
        <v>9.4915254237288138E-2</v>
      </c>
      <c r="T163" s="113">
        <f t="shared" si="18"/>
        <v>0</v>
      </c>
      <c r="U163" s="113">
        <f t="shared" si="19"/>
        <v>0.10221239960264594</v>
      </c>
    </row>
    <row r="164" spans="1:21" x14ac:dyDescent="0.45">
      <c r="A164" s="95">
        <v>44724</v>
      </c>
      <c r="B164" s="96">
        <v>4402</v>
      </c>
      <c r="C164" s="7">
        <v>932</v>
      </c>
      <c r="D164" s="7">
        <f t="shared" si="14"/>
        <v>3470</v>
      </c>
      <c r="E164" s="97">
        <v>1475</v>
      </c>
      <c r="F164" s="7">
        <v>140</v>
      </c>
      <c r="G164" s="7">
        <f t="shared" si="15"/>
        <v>1335</v>
      </c>
      <c r="H164" s="98">
        <v>0</v>
      </c>
      <c r="I164" s="7">
        <v>0</v>
      </c>
      <c r="J164" s="7"/>
      <c r="K164" s="99">
        <f t="shared" si="20"/>
        <v>5877</v>
      </c>
      <c r="L164" s="7">
        <v>0</v>
      </c>
      <c r="M164" s="7">
        <v>0</v>
      </c>
      <c r="N164" s="7">
        <v>0</v>
      </c>
      <c r="O164" s="7">
        <v>0</v>
      </c>
      <c r="P164" s="7">
        <v>4379.6979507747001</v>
      </c>
      <c r="Q164" s="7">
        <v>2161.5749436153001</v>
      </c>
      <c r="R164" s="113">
        <f t="shared" si="16"/>
        <v>0.21172194457064972</v>
      </c>
      <c r="S164" s="113">
        <f t="shared" si="17"/>
        <v>9.4915254237288138E-2</v>
      </c>
      <c r="T164" s="113">
        <f t="shared" si="18"/>
        <v>0</v>
      </c>
      <c r="U164" s="113">
        <f t="shared" si="19"/>
        <v>0.10221239960264594</v>
      </c>
    </row>
    <row r="165" spans="1:21" x14ac:dyDescent="0.45">
      <c r="A165" s="95">
        <v>44725</v>
      </c>
      <c r="B165" s="96">
        <v>4402</v>
      </c>
      <c r="C165" s="7">
        <v>932</v>
      </c>
      <c r="D165" s="7">
        <f t="shared" si="14"/>
        <v>3470</v>
      </c>
      <c r="E165" s="97">
        <v>1475</v>
      </c>
      <c r="F165" s="7">
        <v>140</v>
      </c>
      <c r="G165" s="7">
        <f t="shared" si="15"/>
        <v>1335</v>
      </c>
      <c r="H165" s="98">
        <v>0</v>
      </c>
      <c r="I165" s="7">
        <v>0</v>
      </c>
      <c r="J165" s="7"/>
      <c r="K165" s="99">
        <f t="shared" si="20"/>
        <v>5877</v>
      </c>
      <c r="L165" s="7">
        <v>0</v>
      </c>
      <c r="M165" s="7">
        <v>0</v>
      </c>
      <c r="N165" s="7">
        <v>0</v>
      </c>
      <c r="O165" s="7">
        <v>0</v>
      </c>
      <c r="P165" s="7">
        <v>4382.9351079973494</v>
      </c>
      <c r="Q165" s="7">
        <v>3206.2594805026506</v>
      </c>
      <c r="R165" s="113">
        <f t="shared" si="16"/>
        <v>0.21172194457064972</v>
      </c>
      <c r="S165" s="113">
        <f t="shared" si="17"/>
        <v>9.4915254237288138E-2</v>
      </c>
      <c r="T165" s="113">
        <f t="shared" si="18"/>
        <v>0</v>
      </c>
      <c r="U165" s="113">
        <f t="shared" si="19"/>
        <v>0.10221239960264594</v>
      </c>
    </row>
    <row r="166" spans="1:21" x14ac:dyDescent="0.45">
      <c r="A166" s="95">
        <v>44726</v>
      </c>
      <c r="B166" s="96">
        <v>4402</v>
      </c>
      <c r="C166" s="7">
        <v>932</v>
      </c>
      <c r="D166" s="7">
        <f t="shared" si="14"/>
        <v>3470</v>
      </c>
      <c r="E166" s="97">
        <v>1475</v>
      </c>
      <c r="F166" s="7">
        <v>140</v>
      </c>
      <c r="G166" s="7">
        <f t="shared" si="15"/>
        <v>1335</v>
      </c>
      <c r="H166" s="98">
        <v>0</v>
      </c>
      <c r="I166" s="7">
        <v>0</v>
      </c>
      <c r="J166" s="7"/>
      <c r="K166" s="99">
        <f t="shared" si="20"/>
        <v>5877</v>
      </c>
      <c r="L166" s="7">
        <v>0</v>
      </c>
      <c r="M166" s="7">
        <v>0</v>
      </c>
      <c r="N166" s="7">
        <v>0</v>
      </c>
      <c r="O166" s="7">
        <v>0</v>
      </c>
      <c r="P166" s="7">
        <v>4382.9351079973494</v>
      </c>
      <c r="Q166" s="7">
        <v>3205.19119054265</v>
      </c>
      <c r="R166" s="113">
        <f t="shared" si="16"/>
        <v>0.21172194457064972</v>
      </c>
      <c r="S166" s="113">
        <f t="shared" si="17"/>
        <v>9.4915254237288138E-2</v>
      </c>
      <c r="T166" s="113">
        <f t="shared" si="18"/>
        <v>0</v>
      </c>
      <c r="U166" s="113">
        <f t="shared" si="19"/>
        <v>0.10221239960264594</v>
      </c>
    </row>
    <row r="167" spans="1:21" x14ac:dyDescent="0.45">
      <c r="A167" s="95">
        <v>44727</v>
      </c>
      <c r="B167" s="96">
        <v>4402</v>
      </c>
      <c r="C167" s="7">
        <v>932</v>
      </c>
      <c r="D167" s="7">
        <f t="shared" si="14"/>
        <v>3470</v>
      </c>
      <c r="E167" s="97">
        <v>1475</v>
      </c>
      <c r="F167" s="7">
        <v>140</v>
      </c>
      <c r="G167" s="7">
        <f t="shared" si="15"/>
        <v>1335</v>
      </c>
      <c r="H167" s="98">
        <v>0</v>
      </c>
      <c r="I167" s="7">
        <v>0</v>
      </c>
      <c r="J167" s="7"/>
      <c r="K167" s="99">
        <f t="shared" si="20"/>
        <v>5877</v>
      </c>
      <c r="L167" s="7">
        <v>0</v>
      </c>
      <c r="M167" s="7">
        <v>0</v>
      </c>
      <c r="N167" s="7">
        <v>0</v>
      </c>
      <c r="O167" s="7">
        <v>0</v>
      </c>
      <c r="P167" s="7">
        <v>4382.9351079973494</v>
      </c>
      <c r="Q167" s="7">
        <v>3265.4921729826506</v>
      </c>
      <c r="R167" s="113">
        <f t="shared" si="16"/>
        <v>0.21172194457064972</v>
      </c>
      <c r="S167" s="113">
        <f t="shared" si="17"/>
        <v>9.4915254237288138E-2</v>
      </c>
      <c r="T167" s="113">
        <f t="shared" si="18"/>
        <v>0</v>
      </c>
      <c r="U167" s="113">
        <f t="shared" si="19"/>
        <v>0.10221239960264594</v>
      </c>
    </row>
    <row r="168" spans="1:21" x14ac:dyDescent="0.45">
      <c r="A168" s="95">
        <v>44728</v>
      </c>
      <c r="B168" s="96">
        <v>4402</v>
      </c>
      <c r="C168" s="7">
        <v>932</v>
      </c>
      <c r="D168" s="7">
        <f t="shared" si="14"/>
        <v>3470</v>
      </c>
      <c r="E168" s="97">
        <v>1475</v>
      </c>
      <c r="F168" s="7">
        <v>140</v>
      </c>
      <c r="G168" s="7">
        <f t="shared" si="15"/>
        <v>1335</v>
      </c>
      <c r="H168" s="98">
        <v>0</v>
      </c>
      <c r="I168" s="7">
        <v>0</v>
      </c>
      <c r="J168" s="7"/>
      <c r="K168" s="99">
        <f t="shared" si="20"/>
        <v>5877</v>
      </c>
      <c r="L168" s="7">
        <v>0</v>
      </c>
      <c r="M168" s="7">
        <v>0</v>
      </c>
      <c r="N168" s="7">
        <v>0</v>
      </c>
      <c r="O168" s="7">
        <v>0</v>
      </c>
      <c r="P168" s="7">
        <v>4382.9351079973494</v>
      </c>
      <c r="Q168" s="7">
        <v>1968.4866858726505</v>
      </c>
      <c r="R168" s="113">
        <f t="shared" si="16"/>
        <v>0.21172194457064972</v>
      </c>
      <c r="S168" s="113">
        <f t="shared" si="17"/>
        <v>9.4915254237288138E-2</v>
      </c>
      <c r="T168" s="113">
        <f t="shared" si="18"/>
        <v>0</v>
      </c>
      <c r="U168" s="113">
        <f t="shared" si="19"/>
        <v>0.10221239960264594</v>
      </c>
    </row>
    <row r="169" spans="1:21" x14ac:dyDescent="0.45">
      <c r="A169" s="95">
        <v>44729</v>
      </c>
      <c r="B169" s="96">
        <v>4402</v>
      </c>
      <c r="C169" s="7">
        <v>932</v>
      </c>
      <c r="D169" s="7">
        <f t="shared" si="14"/>
        <v>3470</v>
      </c>
      <c r="E169" s="97">
        <v>1475</v>
      </c>
      <c r="F169" s="7">
        <v>140</v>
      </c>
      <c r="G169" s="7">
        <f t="shared" si="15"/>
        <v>1335</v>
      </c>
      <c r="H169" s="98">
        <v>0</v>
      </c>
      <c r="I169" s="7">
        <v>0</v>
      </c>
      <c r="J169" s="7"/>
      <c r="K169" s="99">
        <f t="shared" si="20"/>
        <v>5877</v>
      </c>
      <c r="L169" s="7">
        <v>0</v>
      </c>
      <c r="M169" s="7">
        <v>0</v>
      </c>
      <c r="N169" s="7">
        <v>0</v>
      </c>
      <c r="O169" s="7">
        <v>0</v>
      </c>
      <c r="P169" s="7">
        <v>4382.9351079973494</v>
      </c>
      <c r="Q169" s="7">
        <v>2153.5272632926499</v>
      </c>
      <c r="R169" s="113">
        <f t="shared" si="16"/>
        <v>0.21172194457064972</v>
      </c>
      <c r="S169" s="113">
        <f t="shared" si="17"/>
        <v>9.4915254237288138E-2</v>
      </c>
      <c r="T169" s="113">
        <f t="shared" si="18"/>
        <v>0</v>
      </c>
      <c r="U169" s="113">
        <f t="shared" si="19"/>
        <v>0.10221239960264594</v>
      </c>
    </row>
    <row r="170" spans="1:21" x14ac:dyDescent="0.45">
      <c r="A170" s="95">
        <v>44730</v>
      </c>
      <c r="B170" s="96">
        <v>4402</v>
      </c>
      <c r="C170" s="7">
        <v>932</v>
      </c>
      <c r="D170" s="7">
        <f t="shared" si="14"/>
        <v>3470</v>
      </c>
      <c r="E170" s="97">
        <v>1475</v>
      </c>
      <c r="F170" s="7">
        <v>140</v>
      </c>
      <c r="G170" s="7">
        <f t="shared" si="15"/>
        <v>1335</v>
      </c>
      <c r="H170" s="98">
        <v>0</v>
      </c>
      <c r="I170" s="7">
        <v>0</v>
      </c>
      <c r="J170" s="7"/>
      <c r="K170" s="99">
        <f t="shared" si="20"/>
        <v>5877</v>
      </c>
      <c r="L170" s="7">
        <v>0</v>
      </c>
      <c r="M170" s="7">
        <v>0</v>
      </c>
      <c r="N170" s="7">
        <v>0</v>
      </c>
      <c r="O170" s="7">
        <v>0</v>
      </c>
      <c r="P170" s="7">
        <v>4382.9351079973494</v>
      </c>
      <c r="Q170" s="7">
        <v>2153.5272632926499</v>
      </c>
      <c r="R170" s="113">
        <f t="shared" si="16"/>
        <v>0.21172194457064972</v>
      </c>
      <c r="S170" s="113">
        <f t="shared" si="17"/>
        <v>9.4915254237288138E-2</v>
      </c>
      <c r="T170" s="113">
        <f t="shared" si="18"/>
        <v>0</v>
      </c>
      <c r="U170" s="113">
        <f t="shared" si="19"/>
        <v>0.10221239960264594</v>
      </c>
    </row>
    <row r="171" spans="1:21" x14ac:dyDescent="0.45">
      <c r="A171" s="95">
        <v>44731</v>
      </c>
      <c r="B171" s="96">
        <v>4402</v>
      </c>
      <c r="C171" s="7">
        <v>932</v>
      </c>
      <c r="D171" s="7">
        <f t="shared" si="14"/>
        <v>3470</v>
      </c>
      <c r="E171" s="97">
        <v>1475</v>
      </c>
      <c r="F171" s="7">
        <v>140</v>
      </c>
      <c r="G171" s="7">
        <f t="shared" si="15"/>
        <v>1335</v>
      </c>
      <c r="H171" s="98">
        <v>0</v>
      </c>
      <c r="I171" s="7">
        <v>0</v>
      </c>
      <c r="J171" s="7"/>
      <c r="K171" s="99">
        <f t="shared" si="20"/>
        <v>5877</v>
      </c>
      <c r="L171" s="7">
        <v>0</v>
      </c>
      <c r="M171" s="7">
        <v>0</v>
      </c>
      <c r="N171" s="7">
        <v>0</v>
      </c>
      <c r="O171" s="7">
        <v>0</v>
      </c>
      <c r="P171" s="7">
        <v>4382.9351079973494</v>
      </c>
      <c r="Q171" s="7">
        <v>2153.5272632926499</v>
      </c>
      <c r="R171" s="113">
        <f t="shared" si="16"/>
        <v>0.21172194457064972</v>
      </c>
      <c r="S171" s="113">
        <f t="shared" si="17"/>
        <v>9.4915254237288138E-2</v>
      </c>
      <c r="T171" s="113">
        <f t="shared" si="18"/>
        <v>0</v>
      </c>
      <c r="U171" s="113">
        <f t="shared" si="19"/>
        <v>0.10221239960264594</v>
      </c>
    </row>
    <row r="172" spans="1:21" x14ac:dyDescent="0.45">
      <c r="A172" s="95">
        <v>44732</v>
      </c>
      <c r="B172" s="96">
        <v>4402</v>
      </c>
      <c r="C172" s="7">
        <v>932</v>
      </c>
      <c r="D172" s="7">
        <f t="shared" si="14"/>
        <v>3470</v>
      </c>
      <c r="E172" s="97">
        <v>1475</v>
      </c>
      <c r="F172" s="7">
        <v>140</v>
      </c>
      <c r="G172" s="7">
        <f t="shared" si="15"/>
        <v>1335</v>
      </c>
      <c r="H172" s="98">
        <v>0</v>
      </c>
      <c r="I172" s="7">
        <v>0</v>
      </c>
      <c r="J172" s="7"/>
      <c r="K172" s="99">
        <f t="shared" si="20"/>
        <v>5877</v>
      </c>
      <c r="L172" s="7">
        <v>0</v>
      </c>
      <c r="M172" s="7">
        <v>0</v>
      </c>
      <c r="N172" s="7">
        <v>0</v>
      </c>
      <c r="O172" s="7">
        <v>0</v>
      </c>
      <c r="P172" s="7">
        <v>4382.9351079973494</v>
      </c>
      <c r="Q172" s="7">
        <v>2101.7841443626507</v>
      </c>
      <c r="R172" s="113">
        <f t="shared" si="16"/>
        <v>0.21172194457064972</v>
      </c>
      <c r="S172" s="113">
        <f t="shared" si="17"/>
        <v>9.4915254237288138E-2</v>
      </c>
      <c r="T172" s="113">
        <f t="shared" si="18"/>
        <v>0</v>
      </c>
      <c r="U172" s="113">
        <f t="shared" si="19"/>
        <v>0.10221239960264594</v>
      </c>
    </row>
    <row r="173" spans="1:21" x14ac:dyDescent="0.45">
      <c r="A173" s="95">
        <v>44733</v>
      </c>
      <c r="B173" s="96">
        <v>4402</v>
      </c>
      <c r="C173" s="7">
        <v>932</v>
      </c>
      <c r="D173" s="7">
        <f t="shared" si="14"/>
        <v>3470</v>
      </c>
      <c r="E173" s="97">
        <v>1475</v>
      </c>
      <c r="F173" s="7">
        <v>140</v>
      </c>
      <c r="G173" s="7">
        <f t="shared" si="15"/>
        <v>1335</v>
      </c>
      <c r="H173" s="98">
        <v>0</v>
      </c>
      <c r="I173" s="7">
        <v>0</v>
      </c>
      <c r="J173" s="7"/>
      <c r="K173" s="99">
        <f t="shared" si="20"/>
        <v>5877</v>
      </c>
      <c r="L173" s="7">
        <v>0</v>
      </c>
      <c r="M173" s="7">
        <v>0</v>
      </c>
      <c r="N173" s="7">
        <v>0</v>
      </c>
      <c r="O173" s="7">
        <v>0</v>
      </c>
      <c r="P173" s="7">
        <v>4382.9351079973494</v>
      </c>
      <c r="Q173" s="7">
        <v>1994.4197426426504</v>
      </c>
      <c r="R173" s="113">
        <f t="shared" si="16"/>
        <v>0.21172194457064972</v>
      </c>
      <c r="S173" s="113">
        <f t="shared" si="17"/>
        <v>9.4915254237288138E-2</v>
      </c>
      <c r="T173" s="113">
        <f t="shared" si="18"/>
        <v>0</v>
      </c>
      <c r="U173" s="113">
        <f t="shared" si="19"/>
        <v>0.10221239960264594</v>
      </c>
    </row>
    <row r="174" spans="1:21" x14ac:dyDescent="0.45">
      <c r="A174" s="95">
        <v>44734</v>
      </c>
      <c r="B174" s="96">
        <v>4402</v>
      </c>
      <c r="C174" s="7">
        <v>932</v>
      </c>
      <c r="D174" s="7">
        <f t="shared" si="14"/>
        <v>3470</v>
      </c>
      <c r="E174" s="97">
        <v>1475</v>
      </c>
      <c r="F174" s="7">
        <v>140</v>
      </c>
      <c r="G174" s="7">
        <f t="shared" si="15"/>
        <v>1335</v>
      </c>
      <c r="H174" s="98">
        <v>0</v>
      </c>
      <c r="I174" s="7">
        <v>0</v>
      </c>
      <c r="J174" s="7"/>
      <c r="K174" s="99">
        <f t="shared" si="20"/>
        <v>5877</v>
      </c>
      <c r="L174" s="7">
        <v>0</v>
      </c>
      <c r="M174" s="7">
        <v>0</v>
      </c>
      <c r="N174" s="7">
        <v>0</v>
      </c>
      <c r="O174" s="7">
        <v>0</v>
      </c>
      <c r="P174" s="7">
        <v>4382.9351079973494</v>
      </c>
      <c r="Q174" s="7">
        <v>4257.9047636926498</v>
      </c>
      <c r="R174" s="113">
        <f t="shared" si="16"/>
        <v>0.21172194457064972</v>
      </c>
      <c r="S174" s="113">
        <f t="shared" si="17"/>
        <v>9.4915254237288138E-2</v>
      </c>
      <c r="T174" s="113">
        <f t="shared" si="18"/>
        <v>0</v>
      </c>
      <c r="U174" s="113">
        <f t="shared" si="19"/>
        <v>0.10221239960264594</v>
      </c>
    </row>
    <row r="175" spans="1:21" x14ac:dyDescent="0.45">
      <c r="A175" s="95">
        <v>44735</v>
      </c>
      <c r="B175" s="96">
        <v>4402</v>
      </c>
      <c r="C175" s="7">
        <v>732</v>
      </c>
      <c r="D175" s="7">
        <f t="shared" si="14"/>
        <v>3670</v>
      </c>
      <c r="E175" s="97">
        <v>1475</v>
      </c>
      <c r="F175" s="7">
        <v>140</v>
      </c>
      <c r="G175" s="7">
        <f t="shared" si="15"/>
        <v>1335</v>
      </c>
      <c r="H175" s="98">
        <v>0</v>
      </c>
      <c r="I175" s="7">
        <v>0</v>
      </c>
      <c r="J175" s="7"/>
      <c r="K175" s="99">
        <f t="shared" si="20"/>
        <v>5877</v>
      </c>
      <c r="L175" s="7">
        <v>0</v>
      </c>
      <c r="M175" s="7">
        <v>0</v>
      </c>
      <c r="N175" s="7">
        <v>0</v>
      </c>
      <c r="O175" s="7">
        <v>0</v>
      </c>
      <c r="P175" s="7">
        <v>4382.9351079973494</v>
      </c>
      <c r="Q175" s="7">
        <v>3851.2008229726503</v>
      </c>
      <c r="R175" s="113">
        <f t="shared" si="16"/>
        <v>0.16628805088596094</v>
      </c>
      <c r="S175" s="113">
        <f t="shared" si="17"/>
        <v>9.4915254237288138E-2</v>
      </c>
      <c r="T175" s="113">
        <f t="shared" si="18"/>
        <v>0</v>
      </c>
      <c r="U175" s="113">
        <f t="shared" si="19"/>
        <v>8.7067768374416363E-2</v>
      </c>
    </row>
    <row r="176" spans="1:21" x14ac:dyDescent="0.45">
      <c r="A176" s="95">
        <v>44736</v>
      </c>
      <c r="B176" s="96">
        <v>4402</v>
      </c>
      <c r="C176" s="7">
        <v>732</v>
      </c>
      <c r="D176" s="7">
        <f t="shared" si="14"/>
        <v>3670</v>
      </c>
      <c r="E176" s="97">
        <v>1475</v>
      </c>
      <c r="F176" s="7">
        <v>140</v>
      </c>
      <c r="G176" s="7">
        <f t="shared" si="15"/>
        <v>1335</v>
      </c>
      <c r="H176" s="98">
        <v>0</v>
      </c>
      <c r="I176" s="7">
        <v>0</v>
      </c>
      <c r="J176" s="7"/>
      <c r="K176" s="99">
        <f t="shared" si="20"/>
        <v>5877</v>
      </c>
      <c r="L176" s="7">
        <v>0</v>
      </c>
      <c r="M176" s="7">
        <v>0</v>
      </c>
      <c r="N176" s="7">
        <v>0</v>
      </c>
      <c r="O176" s="7">
        <v>0</v>
      </c>
      <c r="P176" s="7">
        <v>4382.9351079973494</v>
      </c>
      <c r="Q176" s="7">
        <v>1791.1906405126504</v>
      </c>
      <c r="R176" s="113">
        <f t="shared" si="16"/>
        <v>0.16628805088596094</v>
      </c>
      <c r="S176" s="113">
        <f t="shared" si="17"/>
        <v>9.4915254237288138E-2</v>
      </c>
      <c r="T176" s="113">
        <f t="shared" si="18"/>
        <v>0</v>
      </c>
      <c r="U176" s="113">
        <f t="shared" si="19"/>
        <v>8.7067768374416363E-2</v>
      </c>
    </row>
    <row r="177" spans="1:21" x14ac:dyDescent="0.45">
      <c r="A177" s="95">
        <v>44737</v>
      </c>
      <c r="B177" s="96">
        <v>4402</v>
      </c>
      <c r="C177" s="7">
        <v>732</v>
      </c>
      <c r="D177" s="7">
        <f t="shared" si="14"/>
        <v>3670</v>
      </c>
      <c r="E177" s="97">
        <v>1475</v>
      </c>
      <c r="F177" s="7">
        <v>140</v>
      </c>
      <c r="G177" s="7">
        <f t="shared" si="15"/>
        <v>1335</v>
      </c>
      <c r="H177" s="98">
        <v>0</v>
      </c>
      <c r="I177" s="7">
        <v>0</v>
      </c>
      <c r="J177" s="7"/>
      <c r="K177" s="99">
        <f t="shared" si="20"/>
        <v>5877</v>
      </c>
      <c r="L177" s="7">
        <v>0</v>
      </c>
      <c r="M177" s="7">
        <v>0</v>
      </c>
      <c r="N177" s="7">
        <v>0</v>
      </c>
      <c r="O177" s="7">
        <v>0</v>
      </c>
      <c r="P177" s="7">
        <v>4382.9351079973494</v>
      </c>
      <c r="Q177" s="7">
        <v>1791.1906405126504</v>
      </c>
      <c r="R177" s="113">
        <f t="shared" si="16"/>
        <v>0.16628805088596094</v>
      </c>
      <c r="S177" s="113">
        <f t="shared" si="17"/>
        <v>9.4915254237288138E-2</v>
      </c>
      <c r="T177" s="113">
        <f t="shared" si="18"/>
        <v>0</v>
      </c>
      <c r="U177" s="113">
        <f t="shared" si="19"/>
        <v>8.7067768374416363E-2</v>
      </c>
    </row>
    <row r="178" spans="1:21" x14ac:dyDescent="0.45">
      <c r="A178" s="95">
        <v>44738</v>
      </c>
      <c r="B178" s="96">
        <v>4402</v>
      </c>
      <c r="C178" s="7">
        <v>732</v>
      </c>
      <c r="D178" s="7">
        <f t="shared" si="14"/>
        <v>3670</v>
      </c>
      <c r="E178" s="97">
        <v>1475</v>
      </c>
      <c r="F178" s="7">
        <v>140</v>
      </c>
      <c r="G178" s="7">
        <f t="shared" si="15"/>
        <v>1335</v>
      </c>
      <c r="H178" s="98">
        <v>0</v>
      </c>
      <c r="I178" s="7">
        <v>0</v>
      </c>
      <c r="J178" s="7"/>
      <c r="K178" s="99">
        <f t="shared" si="20"/>
        <v>5877</v>
      </c>
      <c r="L178" s="7">
        <v>0</v>
      </c>
      <c r="M178" s="7">
        <v>0</v>
      </c>
      <c r="N178" s="7">
        <v>0</v>
      </c>
      <c r="O178" s="7">
        <v>0</v>
      </c>
      <c r="P178" s="7">
        <v>4382.9351079973494</v>
      </c>
      <c r="Q178" s="7">
        <v>1791.1906405126504</v>
      </c>
      <c r="R178" s="113">
        <f t="shared" si="16"/>
        <v>0.16628805088596094</v>
      </c>
      <c r="S178" s="113">
        <f t="shared" si="17"/>
        <v>9.4915254237288138E-2</v>
      </c>
      <c r="T178" s="113">
        <f t="shared" si="18"/>
        <v>0</v>
      </c>
      <c r="U178" s="113">
        <f t="shared" si="19"/>
        <v>8.7067768374416363E-2</v>
      </c>
    </row>
    <row r="179" spans="1:21" x14ac:dyDescent="0.45">
      <c r="A179" s="95">
        <v>44739</v>
      </c>
      <c r="B179" s="96">
        <v>4402</v>
      </c>
      <c r="C179" s="7">
        <v>732</v>
      </c>
      <c r="D179" s="7">
        <f t="shared" si="14"/>
        <v>3670</v>
      </c>
      <c r="E179" s="97">
        <v>1475</v>
      </c>
      <c r="F179" s="7">
        <v>140</v>
      </c>
      <c r="G179" s="7">
        <f t="shared" si="15"/>
        <v>1335</v>
      </c>
      <c r="H179" s="98">
        <v>0</v>
      </c>
      <c r="I179" s="7">
        <v>0</v>
      </c>
      <c r="J179" s="7"/>
      <c r="K179" s="99">
        <f t="shared" si="20"/>
        <v>5877</v>
      </c>
      <c r="L179" s="7">
        <v>0</v>
      </c>
      <c r="M179" s="7">
        <v>0</v>
      </c>
      <c r="N179" s="7">
        <v>0</v>
      </c>
      <c r="O179" s="7">
        <v>0</v>
      </c>
      <c r="P179" s="7">
        <v>4382.9351079973494</v>
      </c>
      <c r="Q179" s="7">
        <v>2340.4282471626507</v>
      </c>
      <c r="R179" s="113">
        <f t="shared" si="16"/>
        <v>0.16628805088596094</v>
      </c>
      <c r="S179" s="113">
        <f t="shared" si="17"/>
        <v>9.4915254237288138E-2</v>
      </c>
      <c r="T179" s="113">
        <f t="shared" si="18"/>
        <v>0</v>
      </c>
      <c r="U179" s="113">
        <f t="shared" si="19"/>
        <v>8.7067768374416363E-2</v>
      </c>
    </row>
    <row r="180" spans="1:21" x14ac:dyDescent="0.45">
      <c r="A180" s="95">
        <v>44740</v>
      </c>
      <c r="B180" s="96">
        <v>4402</v>
      </c>
      <c r="C180" s="7">
        <v>732</v>
      </c>
      <c r="D180" s="7">
        <f t="shared" si="14"/>
        <v>3670</v>
      </c>
      <c r="E180" s="97">
        <v>1105</v>
      </c>
      <c r="F180" s="7">
        <v>140</v>
      </c>
      <c r="G180" s="7">
        <f t="shared" si="15"/>
        <v>965</v>
      </c>
      <c r="H180" s="98">
        <v>0</v>
      </c>
      <c r="I180" s="7">
        <v>0</v>
      </c>
      <c r="J180" s="7"/>
      <c r="K180" s="99">
        <f t="shared" si="20"/>
        <v>5507</v>
      </c>
      <c r="L180" s="7">
        <v>0</v>
      </c>
      <c r="M180" s="7">
        <v>0</v>
      </c>
      <c r="N180" s="7">
        <v>0</v>
      </c>
      <c r="O180" s="7">
        <v>0</v>
      </c>
      <c r="P180" s="7">
        <v>4382.9351079973494</v>
      </c>
      <c r="Q180" s="7">
        <v>1885.1946073626502</v>
      </c>
      <c r="R180" s="113">
        <f t="shared" si="16"/>
        <v>0.16628805088596094</v>
      </c>
      <c r="S180" s="113">
        <f t="shared" si="17"/>
        <v>0.12669683257918551</v>
      </c>
      <c r="T180" s="113">
        <f t="shared" si="18"/>
        <v>0</v>
      </c>
      <c r="U180" s="113">
        <f t="shared" si="19"/>
        <v>9.7661627821715488E-2</v>
      </c>
    </row>
    <row r="181" spans="1:21" x14ac:dyDescent="0.45">
      <c r="A181" s="95">
        <v>44741</v>
      </c>
      <c r="B181" s="96">
        <v>4402</v>
      </c>
      <c r="C181" s="7">
        <v>732</v>
      </c>
      <c r="D181" s="7">
        <f t="shared" si="14"/>
        <v>3670</v>
      </c>
      <c r="E181" s="97">
        <v>1445</v>
      </c>
      <c r="F181" s="7">
        <v>140</v>
      </c>
      <c r="G181" s="7">
        <f t="shared" si="15"/>
        <v>1305</v>
      </c>
      <c r="H181" s="98">
        <v>0</v>
      </c>
      <c r="I181" s="7">
        <v>0</v>
      </c>
      <c r="J181" s="7"/>
      <c r="K181" s="99">
        <f t="shared" si="20"/>
        <v>5847</v>
      </c>
      <c r="L181" s="7">
        <v>0</v>
      </c>
      <c r="M181" s="7">
        <v>0</v>
      </c>
      <c r="N181" s="7">
        <v>0</v>
      </c>
      <c r="O181" s="7">
        <v>0</v>
      </c>
      <c r="P181" s="7">
        <v>4382.9351079973494</v>
      </c>
      <c r="Q181" s="7">
        <v>1976.6049763526496</v>
      </c>
      <c r="R181" s="113">
        <f t="shared" si="16"/>
        <v>0.16628805088596094</v>
      </c>
      <c r="S181" s="113">
        <f t="shared" si="17"/>
        <v>9.6885813148788927E-2</v>
      </c>
      <c r="T181" s="113">
        <f t="shared" si="18"/>
        <v>0</v>
      </c>
      <c r="U181" s="113">
        <f t="shared" si="19"/>
        <v>8.7724621344916612E-2</v>
      </c>
    </row>
    <row r="182" spans="1:21" x14ac:dyDescent="0.45">
      <c r="A182" s="95">
        <v>44742</v>
      </c>
      <c r="B182" s="96">
        <v>4402</v>
      </c>
      <c r="C182" s="7">
        <v>932</v>
      </c>
      <c r="D182" s="7">
        <f t="shared" si="14"/>
        <v>3470</v>
      </c>
      <c r="E182" s="97">
        <v>1445</v>
      </c>
      <c r="F182" s="7">
        <v>140</v>
      </c>
      <c r="G182" s="7">
        <f t="shared" si="15"/>
        <v>1305</v>
      </c>
      <c r="H182" s="98">
        <v>0</v>
      </c>
      <c r="I182" s="7">
        <v>0</v>
      </c>
      <c r="J182" s="7"/>
      <c r="K182" s="99">
        <f t="shared" si="20"/>
        <v>5847</v>
      </c>
      <c r="L182" s="7">
        <v>0</v>
      </c>
      <c r="M182" s="7">
        <v>0</v>
      </c>
      <c r="N182" s="7">
        <v>0</v>
      </c>
      <c r="O182" s="7">
        <v>0</v>
      </c>
      <c r="P182" s="7">
        <v>4382.9351079973494</v>
      </c>
      <c r="Q182" s="7">
        <v>1942.4025165626499</v>
      </c>
      <c r="R182" s="113">
        <f t="shared" si="16"/>
        <v>0.21172194457064972</v>
      </c>
      <c r="S182" s="113">
        <f t="shared" si="17"/>
        <v>9.6885813148788927E-2</v>
      </c>
      <c r="T182" s="113">
        <f t="shared" si="18"/>
        <v>0</v>
      </c>
      <c r="U182" s="113">
        <f t="shared" si="19"/>
        <v>0.10286925257314622</v>
      </c>
    </row>
    <row r="183" spans="1:21" x14ac:dyDescent="0.45">
      <c r="A183" s="95">
        <v>44743</v>
      </c>
      <c r="B183" s="96">
        <v>4402</v>
      </c>
      <c r="C183" s="7">
        <v>932</v>
      </c>
      <c r="D183" s="7">
        <f t="shared" si="14"/>
        <v>3470</v>
      </c>
      <c r="E183" s="97">
        <v>1445</v>
      </c>
      <c r="F183" s="7">
        <v>140</v>
      </c>
      <c r="G183" s="7">
        <f t="shared" si="15"/>
        <v>1305</v>
      </c>
      <c r="H183" s="98">
        <v>0</v>
      </c>
      <c r="I183" s="7">
        <v>0</v>
      </c>
      <c r="J183" s="7"/>
      <c r="K183" s="99">
        <f t="shared" si="20"/>
        <v>5847</v>
      </c>
      <c r="L183" s="7">
        <v>0</v>
      </c>
      <c r="M183" s="7">
        <v>0</v>
      </c>
      <c r="N183" s="7">
        <v>0</v>
      </c>
      <c r="O183" s="7">
        <v>0</v>
      </c>
      <c r="P183" s="7">
        <v>4382.9351079973494</v>
      </c>
      <c r="Q183" s="7">
        <v>2053.0500422926502</v>
      </c>
      <c r="R183" s="113">
        <f t="shared" si="16"/>
        <v>0.21172194457064972</v>
      </c>
      <c r="S183" s="113">
        <f t="shared" si="17"/>
        <v>9.6885813148788927E-2</v>
      </c>
      <c r="T183" s="113">
        <f t="shared" si="18"/>
        <v>0</v>
      </c>
      <c r="U183" s="113">
        <f t="shared" si="19"/>
        <v>0.10286925257314622</v>
      </c>
    </row>
    <row r="184" spans="1:21" x14ac:dyDescent="0.45">
      <c r="A184" s="95">
        <v>44744</v>
      </c>
      <c r="B184" s="96">
        <v>4402</v>
      </c>
      <c r="C184" s="7">
        <v>932</v>
      </c>
      <c r="D184" s="7">
        <f t="shared" si="14"/>
        <v>3470</v>
      </c>
      <c r="E184" s="97">
        <v>1445</v>
      </c>
      <c r="F184" s="7">
        <v>140</v>
      </c>
      <c r="G184" s="7">
        <f t="shared" si="15"/>
        <v>1305</v>
      </c>
      <c r="H184" s="98">
        <v>0</v>
      </c>
      <c r="I184" s="7">
        <v>0</v>
      </c>
      <c r="J184" s="7"/>
      <c r="K184" s="99">
        <f t="shared" si="20"/>
        <v>5847</v>
      </c>
      <c r="L184" s="7">
        <v>0</v>
      </c>
      <c r="M184" s="7">
        <v>0</v>
      </c>
      <c r="N184" s="7">
        <v>0</v>
      </c>
      <c r="O184" s="7">
        <v>0</v>
      </c>
      <c r="P184" s="7">
        <v>4382.9351079973494</v>
      </c>
      <c r="Q184" s="7">
        <v>2053.0500422926502</v>
      </c>
      <c r="R184" s="113">
        <f t="shared" si="16"/>
        <v>0.21172194457064972</v>
      </c>
      <c r="S184" s="113">
        <f t="shared" si="17"/>
        <v>9.6885813148788927E-2</v>
      </c>
      <c r="T184" s="113">
        <f t="shared" si="18"/>
        <v>0</v>
      </c>
      <c r="U184" s="113">
        <f t="shared" si="19"/>
        <v>0.10286925257314622</v>
      </c>
    </row>
    <row r="185" spans="1:21" x14ac:dyDescent="0.45">
      <c r="A185" s="95">
        <v>44745</v>
      </c>
      <c r="B185" s="96">
        <v>4402</v>
      </c>
      <c r="C185" s="7">
        <v>932</v>
      </c>
      <c r="D185" s="7">
        <f t="shared" si="14"/>
        <v>3470</v>
      </c>
      <c r="E185" s="97">
        <v>1445</v>
      </c>
      <c r="F185" s="7">
        <v>140</v>
      </c>
      <c r="G185" s="7">
        <f t="shared" si="15"/>
        <v>1305</v>
      </c>
      <c r="H185" s="98">
        <v>0</v>
      </c>
      <c r="I185" s="7">
        <v>0</v>
      </c>
      <c r="J185" s="7"/>
      <c r="K185" s="99">
        <f t="shared" si="20"/>
        <v>5847</v>
      </c>
      <c r="L185" s="7">
        <v>0</v>
      </c>
      <c r="M185" s="7">
        <v>0</v>
      </c>
      <c r="N185" s="7">
        <v>0</v>
      </c>
      <c r="O185" s="7">
        <v>0</v>
      </c>
      <c r="P185" s="7">
        <v>4382.9351079973494</v>
      </c>
      <c r="Q185" s="7">
        <v>2053.0500422926502</v>
      </c>
      <c r="R185" s="113">
        <f t="shared" si="16"/>
        <v>0.21172194457064972</v>
      </c>
      <c r="S185" s="113">
        <f t="shared" si="17"/>
        <v>9.6885813148788927E-2</v>
      </c>
      <c r="T185" s="113">
        <f t="shared" si="18"/>
        <v>0</v>
      </c>
      <c r="U185" s="113">
        <f t="shared" si="19"/>
        <v>0.10286925257314622</v>
      </c>
    </row>
    <row r="186" spans="1:21" x14ac:dyDescent="0.45">
      <c r="A186" s="95">
        <v>44746</v>
      </c>
      <c r="B186" s="96">
        <v>4402</v>
      </c>
      <c r="C186" s="7">
        <v>932</v>
      </c>
      <c r="D186" s="7">
        <f t="shared" si="14"/>
        <v>3470</v>
      </c>
      <c r="E186" s="97">
        <v>1445</v>
      </c>
      <c r="F186" s="7">
        <v>140</v>
      </c>
      <c r="G186" s="7">
        <f t="shared" si="15"/>
        <v>1305</v>
      </c>
      <c r="H186" s="98">
        <v>0</v>
      </c>
      <c r="I186" s="7">
        <v>0</v>
      </c>
      <c r="J186" s="7"/>
      <c r="K186" s="99">
        <f t="shared" si="20"/>
        <v>5847</v>
      </c>
      <c r="L186" s="7">
        <v>0</v>
      </c>
      <c r="M186" s="7">
        <v>0</v>
      </c>
      <c r="N186" s="7">
        <v>0</v>
      </c>
      <c r="O186" s="7">
        <v>0</v>
      </c>
      <c r="P186" s="7">
        <v>4382.9351079973494</v>
      </c>
      <c r="Q186" s="7">
        <v>1613.0631319826498</v>
      </c>
      <c r="R186" s="113">
        <f t="shared" si="16"/>
        <v>0.21172194457064972</v>
      </c>
      <c r="S186" s="113">
        <f t="shared" si="17"/>
        <v>9.6885813148788927E-2</v>
      </c>
      <c r="T186" s="113">
        <f t="shared" si="18"/>
        <v>0</v>
      </c>
      <c r="U186" s="113">
        <f t="shared" si="19"/>
        <v>0.10286925257314622</v>
      </c>
    </row>
    <row r="187" spans="1:21" x14ac:dyDescent="0.45">
      <c r="A187" s="95">
        <v>44747</v>
      </c>
      <c r="B187" s="96">
        <v>4402</v>
      </c>
      <c r="C187" s="7">
        <v>932</v>
      </c>
      <c r="D187" s="7">
        <f t="shared" si="14"/>
        <v>3470</v>
      </c>
      <c r="E187" s="97">
        <v>1445</v>
      </c>
      <c r="F187" s="7">
        <v>140</v>
      </c>
      <c r="G187" s="7">
        <f t="shared" si="15"/>
        <v>1305</v>
      </c>
      <c r="H187" s="98">
        <v>0</v>
      </c>
      <c r="I187" s="7">
        <v>0</v>
      </c>
      <c r="J187" s="7"/>
      <c r="K187" s="99">
        <f t="shared" si="20"/>
        <v>5847</v>
      </c>
      <c r="L187" s="7">
        <v>0</v>
      </c>
      <c r="M187" s="7">
        <v>0</v>
      </c>
      <c r="N187" s="7">
        <v>0</v>
      </c>
      <c r="O187" s="7">
        <v>0</v>
      </c>
      <c r="P187" s="7">
        <v>4382.9351079973494</v>
      </c>
      <c r="Q187" s="7">
        <v>1259.8944945026501</v>
      </c>
      <c r="R187" s="113">
        <f t="shared" si="16"/>
        <v>0.21172194457064972</v>
      </c>
      <c r="S187" s="113">
        <f t="shared" si="17"/>
        <v>9.6885813148788927E-2</v>
      </c>
      <c r="T187" s="113">
        <f t="shared" si="18"/>
        <v>0</v>
      </c>
      <c r="U187" s="113">
        <f t="shared" si="19"/>
        <v>0.10286925257314622</v>
      </c>
    </row>
    <row r="188" spans="1:21" x14ac:dyDescent="0.45">
      <c r="A188" s="95">
        <v>44748</v>
      </c>
      <c r="B188" s="96">
        <v>4402</v>
      </c>
      <c r="C188" s="7">
        <v>932</v>
      </c>
      <c r="D188" s="7">
        <f t="shared" si="14"/>
        <v>3470</v>
      </c>
      <c r="E188" s="97">
        <v>1445</v>
      </c>
      <c r="F188" s="7">
        <v>140</v>
      </c>
      <c r="G188" s="7">
        <f t="shared" si="15"/>
        <v>1305</v>
      </c>
      <c r="H188" s="98">
        <v>0</v>
      </c>
      <c r="I188" s="7">
        <v>0</v>
      </c>
      <c r="J188" s="7"/>
      <c r="K188" s="99">
        <f t="shared" si="20"/>
        <v>5847</v>
      </c>
      <c r="L188" s="7">
        <v>0</v>
      </c>
      <c r="M188" s="7">
        <v>0</v>
      </c>
      <c r="N188" s="7">
        <v>0</v>
      </c>
      <c r="O188" s="7">
        <v>0</v>
      </c>
      <c r="P188" s="7">
        <v>4382.9351079973494</v>
      </c>
      <c r="Q188" s="7">
        <v>1761.5072767326503</v>
      </c>
      <c r="R188" s="113">
        <f t="shared" si="16"/>
        <v>0.21172194457064972</v>
      </c>
      <c r="S188" s="113">
        <f t="shared" si="17"/>
        <v>9.6885813148788927E-2</v>
      </c>
      <c r="T188" s="113">
        <f t="shared" si="18"/>
        <v>0</v>
      </c>
      <c r="U188" s="113">
        <f t="shared" si="19"/>
        <v>0.10286925257314622</v>
      </c>
    </row>
    <row r="189" spans="1:21" x14ac:dyDescent="0.45">
      <c r="A189" s="95">
        <v>44749</v>
      </c>
      <c r="B189" s="96">
        <v>4402</v>
      </c>
      <c r="C189" s="7">
        <v>933</v>
      </c>
      <c r="D189" s="7">
        <f t="shared" si="14"/>
        <v>3469</v>
      </c>
      <c r="E189" s="97">
        <v>1445</v>
      </c>
      <c r="F189" s="7">
        <v>140</v>
      </c>
      <c r="G189" s="7">
        <f t="shared" si="15"/>
        <v>1305</v>
      </c>
      <c r="H189" s="98">
        <v>0</v>
      </c>
      <c r="I189" s="7">
        <v>0</v>
      </c>
      <c r="J189" s="7"/>
      <c r="K189" s="99">
        <f t="shared" si="20"/>
        <v>5847</v>
      </c>
      <c r="L189" s="7">
        <v>0</v>
      </c>
      <c r="M189" s="7">
        <v>0</v>
      </c>
      <c r="N189" s="7">
        <v>0</v>
      </c>
      <c r="O189" s="7">
        <v>0</v>
      </c>
      <c r="P189" s="7">
        <v>4382.9351079973494</v>
      </c>
      <c r="Q189" s="7">
        <v>2069.7620609226501</v>
      </c>
      <c r="R189" s="113">
        <f t="shared" si="16"/>
        <v>0.21194911403907316</v>
      </c>
      <c r="S189" s="113">
        <f t="shared" si="17"/>
        <v>9.6885813148788927E-2</v>
      </c>
      <c r="T189" s="113">
        <f t="shared" si="18"/>
        <v>0</v>
      </c>
      <c r="U189" s="113">
        <f t="shared" si="19"/>
        <v>0.10294497572928736</v>
      </c>
    </row>
    <row r="190" spans="1:21" x14ac:dyDescent="0.45">
      <c r="A190" s="95">
        <v>44750</v>
      </c>
      <c r="B190" s="96">
        <v>4402</v>
      </c>
      <c r="C190" s="7">
        <v>933</v>
      </c>
      <c r="D190" s="7">
        <f t="shared" si="14"/>
        <v>3469</v>
      </c>
      <c r="E190" s="97">
        <v>1445</v>
      </c>
      <c r="F190" s="7">
        <v>140</v>
      </c>
      <c r="G190" s="7">
        <f t="shared" si="15"/>
        <v>1305</v>
      </c>
      <c r="H190" s="98">
        <v>0</v>
      </c>
      <c r="I190" s="7">
        <v>0</v>
      </c>
      <c r="J190" s="7"/>
      <c r="K190" s="99">
        <f t="shared" si="20"/>
        <v>5847</v>
      </c>
      <c r="L190" s="7">
        <v>0</v>
      </c>
      <c r="M190" s="7">
        <v>0</v>
      </c>
      <c r="N190" s="7">
        <v>0</v>
      </c>
      <c r="O190" s="7">
        <v>0</v>
      </c>
      <c r="P190" s="7">
        <v>4382.9351079973494</v>
      </c>
      <c r="Q190" s="7">
        <v>2080.5089481226505</v>
      </c>
      <c r="R190" s="113">
        <f t="shared" si="16"/>
        <v>0.21194911403907316</v>
      </c>
      <c r="S190" s="113">
        <f t="shared" si="17"/>
        <v>9.6885813148788927E-2</v>
      </c>
      <c r="T190" s="113">
        <f t="shared" si="18"/>
        <v>0</v>
      </c>
      <c r="U190" s="113">
        <f t="shared" si="19"/>
        <v>0.10294497572928736</v>
      </c>
    </row>
    <row r="191" spans="1:21" x14ac:dyDescent="0.45">
      <c r="A191" s="95">
        <v>44751</v>
      </c>
      <c r="B191" s="96">
        <v>4402</v>
      </c>
      <c r="C191" s="7">
        <v>933</v>
      </c>
      <c r="D191" s="7">
        <f t="shared" si="14"/>
        <v>3469</v>
      </c>
      <c r="E191" s="97">
        <v>1445</v>
      </c>
      <c r="F191" s="7">
        <v>140</v>
      </c>
      <c r="G191" s="7">
        <f t="shared" si="15"/>
        <v>1305</v>
      </c>
      <c r="H191" s="98">
        <v>0</v>
      </c>
      <c r="I191" s="7">
        <v>0</v>
      </c>
      <c r="J191" s="7"/>
      <c r="K191" s="99">
        <f t="shared" si="20"/>
        <v>5847</v>
      </c>
      <c r="L191" s="7">
        <v>0</v>
      </c>
      <c r="M191" s="7">
        <v>0</v>
      </c>
      <c r="N191" s="7">
        <v>0</v>
      </c>
      <c r="O191" s="7">
        <v>0</v>
      </c>
      <c r="P191" s="7">
        <v>4382.9351079973494</v>
      </c>
      <c r="Q191" s="7">
        <v>2080.5089481226505</v>
      </c>
      <c r="R191" s="113">
        <f t="shared" si="16"/>
        <v>0.21194911403907316</v>
      </c>
      <c r="S191" s="113">
        <f t="shared" si="17"/>
        <v>9.6885813148788927E-2</v>
      </c>
      <c r="T191" s="113">
        <f t="shared" si="18"/>
        <v>0</v>
      </c>
      <c r="U191" s="113">
        <f t="shared" si="19"/>
        <v>0.10294497572928736</v>
      </c>
    </row>
    <row r="192" spans="1:21" x14ac:dyDescent="0.45">
      <c r="A192" s="95">
        <v>44752</v>
      </c>
      <c r="B192" s="96">
        <v>4402</v>
      </c>
      <c r="C192" s="7">
        <v>933</v>
      </c>
      <c r="D192" s="7">
        <f t="shared" si="14"/>
        <v>3469</v>
      </c>
      <c r="E192" s="97">
        <v>1445</v>
      </c>
      <c r="F192" s="7">
        <v>140</v>
      </c>
      <c r="G192" s="7">
        <f t="shared" si="15"/>
        <v>1305</v>
      </c>
      <c r="H192" s="98">
        <v>0</v>
      </c>
      <c r="I192" s="7">
        <v>0</v>
      </c>
      <c r="J192" s="7"/>
      <c r="K192" s="99">
        <f t="shared" si="20"/>
        <v>5847</v>
      </c>
      <c r="L192" s="7">
        <v>0</v>
      </c>
      <c r="M192" s="7">
        <v>0</v>
      </c>
      <c r="N192" s="7">
        <v>0</v>
      </c>
      <c r="O192" s="7">
        <v>0</v>
      </c>
      <c r="P192" s="7">
        <v>4382.9351079973494</v>
      </c>
      <c r="Q192" s="7">
        <v>2080.5089481226505</v>
      </c>
      <c r="R192" s="113">
        <f t="shared" si="16"/>
        <v>0.21194911403907316</v>
      </c>
      <c r="S192" s="113">
        <f t="shared" si="17"/>
        <v>9.6885813148788927E-2</v>
      </c>
      <c r="T192" s="113">
        <f t="shared" si="18"/>
        <v>0</v>
      </c>
      <c r="U192" s="113">
        <f t="shared" si="19"/>
        <v>0.10294497572928736</v>
      </c>
    </row>
    <row r="193" spans="1:21" x14ac:dyDescent="0.45">
      <c r="A193" s="95">
        <v>44753</v>
      </c>
      <c r="B193" s="96">
        <v>4402</v>
      </c>
      <c r="C193" s="7">
        <v>933</v>
      </c>
      <c r="D193" s="7">
        <f t="shared" si="14"/>
        <v>3469</v>
      </c>
      <c r="E193" s="97">
        <v>1445</v>
      </c>
      <c r="F193" s="7">
        <v>140</v>
      </c>
      <c r="G193" s="7">
        <f t="shared" si="15"/>
        <v>1305</v>
      </c>
      <c r="H193" s="98">
        <v>0</v>
      </c>
      <c r="I193" s="7">
        <v>0</v>
      </c>
      <c r="J193" s="7"/>
      <c r="K193" s="99">
        <f t="shared" si="20"/>
        <v>5847</v>
      </c>
      <c r="L193" s="7">
        <v>0</v>
      </c>
      <c r="M193" s="7">
        <v>0</v>
      </c>
      <c r="N193" s="7">
        <v>0</v>
      </c>
      <c r="O193" s="7">
        <v>0</v>
      </c>
      <c r="P193" s="7">
        <v>4304.1914768826</v>
      </c>
      <c r="Q193" s="7">
        <v>2159.2525792373999</v>
      </c>
      <c r="R193" s="113">
        <f t="shared" si="16"/>
        <v>0.21194911403907316</v>
      </c>
      <c r="S193" s="113">
        <f t="shared" si="17"/>
        <v>9.6885813148788927E-2</v>
      </c>
      <c r="T193" s="113">
        <f t="shared" si="18"/>
        <v>0</v>
      </c>
      <c r="U193" s="113">
        <f t="shared" si="19"/>
        <v>0.10294497572928736</v>
      </c>
    </row>
    <row r="194" spans="1:21" x14ac:dyDescent="0.45">
      <c r="A194" s="95">
        <v>44754</v>
      </c>
      <c r="B194" s="96">
        <v>4402</v>
      </c>
      <c r="C194" s="7">
        <v>933</v>
      </c>
      <c r="D194" s="7">
        <f t="shared" ref="D194:D257" si="21">B194-C194</f>
        <v>3469</v>
      </c>
      <c r="E194" s="97">
        <v>1445</v>
      </c>
      <c r="F194" s="7">
        <v>140</v>
      </c>
      <c r="G194" s="7">
        <f t="shared" ref="G194:G257" si="22">E194-F194</f>
        <v>1305</v>
      </c>
      <c r="H194" s="98">
        <v>0</v>
      </c>
      <c r="I194" s="7">
        <v>0</v>
      </c>
      <c r="J194" s="7"/>
      <c r="K194" s="99">
        <f t="shared" si="20"/>
        <v>5847</v>
      </c>
      <c r="L194" s="7">
        <v>0</v>
      </c>
      <c r="M194" s="7">
        <v>0</v>
      </c>
      <c r="N194" s="7">
        <v>0</v>
      </c>
      <c r="O194" s="7">
        <v>0</v>
      </c>
      <c r="P194" s="7">
        <v>4304.1914768826</v>
      </c>
      <c r="Q194" s="7">
        <v>2204.1936943873998</v>
      </c>
      <c r="R194" s="113">
        <f t="shared" si="16"/>
        <v>0.21194911403907316</v>
      </c>
      <c r="S194" s="113">
        <f t="shared" si="17"/>
        <v>9.6885813148788927E-2</v>
      </c>
      <c r="T194" s="113">
        <f t="shared" si="18"/>
        <v>0</v>
      </c>
      <c r="U194" s="113">
        <f t="shared" si="19"/>
        <v>0.10294497572928736</v>
      </c>
    </row>
    <row r="195" spans="1:21" x14ac:dyDescent="0.45">
      <c r="A195" s="95">
        <v>44755</v>
      </c>
      <c r="B195" s="96">
        <v>4402</v>
      </c>
      <c r="C195" s="7">
        <v>933</v>
      </c>
      <c r="D195" s="7">
        <f t="shared" si="21"/>
        <v>3469</v>
      </c>
      <c r="E195" s="97">
        <v>1445</v>
      </c>
      <c r="F195" s="7">
        <v>140</v>
      </c>
      <c r="G195" s="7">
        <f t="shared" si="22"/>
        <v>1305</v>
      </c>
      <c r="H195" s="98">
        <v>0</v>
      </c>
      <c r="I195" s="7">
        <v>0</v>
      </c>
      <c r="J195" s="7"/>
      <c r="K195" s="99">
        <f t="shared" si="20"/>
        <v>5847</v>
      </c>
      <c r="L195" s="7">
        <v>0</v>
      </c>
      <c r="M195" s="7">
        <v>0</v>
      </c>
      <c r="N195" s="7">
        <v>0</v>
      </c>
      <c r="O195" s="7">
        <v>0</v>
      </c>
      <c r="P195" s="7">
        <v>4304.1914768826</v>
      </c>
      <c r="Q195" s="7">
        <v>1615.3013987173993</v>
      </c>
      <c r="R195" s="113">
        <f t="shared" ref="R195:R258" si="23">C195/B195</f>
        <v>0.21194911403907316</v>
      </c>
      <c r="S195" s="113">
        <f t="shared" ref="S195:S258" si="24">F195/E195</f>
        <v>9.6885813148788927E-2</v>
      </c>
      <c r="T195" s="113">
        <f t="shared" ref="T195:T258" si="25">IF(H195=0,0,I195/H195)</f>
        <v>0</v>
      </c>
      <c r="U195" s="113">
        <f t="shared" ref="U195:U258" si="26">AVERAGE(R195:T195)</f>
        <v>0.10294497572928736</v>
      </c>
    </row>
    <row r="196" spans="1:21" x14ac:dyDescent="0.45">
      <c r="A196" s="95">
        <v>44756</v>
      </c>
      <c r="B196" s="96">
        <v>4402</v>
      </c>
      <c r="C196" s="7">
        <v>934</v>
      </c>
      <c r="D196" s="7">
        <f t="shared" si="21"/>
        <v>3468</v>
      </c>
      <c r="E196" s="97">
        <v>1445</v>
      </c>
      <c r="F196" s="7">
        <v>140</v>
      </c>
      <c r="G196" s="7">
        <f t="shared" si="22"/>
        <v>1305</v>
      </c>
      <c r="H196" s="98">
        <v>0</v>
      </c>
      <c r="I196" s="7">
        <v>0</v>
      </c>
      <c r="J196" s="7"/>
      <c r="K196" s="99">
        <f t="shared" ref="K196:K259" si="27">B196+E196+H196</f>
        <v>5847</v>
      </c>
      <c r="L196" s="7">
        <v>0</v>
      </c>
      <c r="M196" s="7">
        <v>0</v>
      </c>
      <c r="N196" s="7">
        <v>0</v>
      </c>
      <c r="O196" s="7">
        <v>0</v>
      </c>
      <c r="P196" s="7">
        <v>4304.1914768826</v>
      </c>
      <c r="Q196" s="7">
        <v>1657.5369530373994</v>
      </c>
      <c r="R196" s="113">
        <f t="shared" si="23"/>
        <v>0.21217628350749659</v>
      </c>
      <c r="S196" s="113">
        <f t="shared" si="24"/>
        <v>9.6885813148788927E-2</v>
      </c>
      <c r="T196" s="113">
        <f t="shared" si="25"/>
        <v>0</v>
      </c>
      <c r="U196" s="113">
        <f t="shared" si="26"/>
        <v>0.10302069888542852</v>
      </c>
    </row>
    <row r="197" spans="1:21" x14ac:dyDescent="0.45">
      <c r="A197" s="95">
        <v>44757</v>
      </c>
      <c r="B197" s="96">
        <v>4402</v>
      </c>
      <c r="C197" s="7">
        <v>934</v>
      </c>
      <c r="D197" s="7">
        <f t="shared" si="21"/>
        <v>3468</v>
      </c>
      <c r="E197" s="97">
        <v>1445</v>
      </c>
      <c r="F197" s="7">
        <v>140</v>
      </c>
      <c r="G197" s="7">
        <f t="shared" si="22"/>
        <v>1305</v>
      </c>
      <c r="H197" s="98">
        <v>0</v>
      </c>
      <c r="I197" s="7">
        <v>0</v>
      </c>
      <c r="J197" s="7"/>
      <c r="K197" s="99">
        <f t="shared" si="27"/>
        <v>5847</v>
      </c>
      <c r="L197" s="7">
        <v>0</v>
      </c>
      <c r="M197" s="7">
        <v>0</v>
      </c>
      <c r="N197" s="7">
        <v>0</v>
      </c>
      <c r="O197" s="7">
        <v>0</v>
      </c>
      <c r="P197" s="7">
        <v>4304.1914768826</v>
      </c>
      <c r="Q197" s="7">
        <v>1750.6634618273997</v>
      </c>
      <c r="R197" s="113">
        <f t="shared" si="23"/>
        <v>0.21217628350749659</v>
      </c>
      <c r="S197" s="113">
        <f t="shared" si="24"/>
        <v>9.6885813148788927E-2</v>
      </c>
      <c r="T197" s="113">
        <f t="shared" si="25"/>
        <v>0</v>
      </c>
      <c r="U197" s="113">
        <f t="shared" si="26"/>
        <v>0.10302069888542852</v>
      </c>
    </row>
    <row r="198" spans="1:21" x14ac:dyDescent="0.45">
      <c r="A198" s="95">
        <v>44758</v>
      </c>
      <c r="B198" s="96">
        <v>4402</v>
      </c>
      <c r="C198" s="7">
        <v>934</v>
      </c>
      <c r="D198" s="7">
        <f t="shared" si="21"/>
        <v>3468</v>
      </c>
      <c r="E198" s="97">
        <v>1445</v>
      </c>
      <c r="F198" s="7">
        <v>140</v>
      </c>
      <c r="G198" s="7">
        <f t="shared" si="22"/>
        <v>1305</v>
      </c>
      <c r="H198" s="98">
        <v>0</v>
      </c>
      <c r="I198" s="7">
        <v>0</v>
      </c>
      <c r="J198" s="7"/>
      <c r="K198" s="99">
        <f t="shared" si="27"/>
        <v>5847</v>
      </c>
      <c r="L198" s="7">
        <v>0</v>
      </c>
      <c r="M198" s="7">
        <v>0</v>
      </c>
      <c r="N198" s="7">
        <v>0</v>
      </c>
      <c r="O198" s="7">
        <v>0</v>
      </c>
      <c r="P198" s="7">
        <v>4304.1914768826</v>
      </c>
      <c r="Q198" s="7">
        <v>1750.6634618273997</v>
      </c>
      <c r="R198" s="113">
        <f t="shared" si="23"/>
        <v>0.21217628350749659</v>
      </c>
      <c r="S198" s="113">
        <f t="shared" si="24"/>
        <v>9.6885813148788927E-2</v>
      </c>
      <c r="T198" s="113">
        <f t="shared" si="25"/>
        <v>0</v>
      </c>
      <c r="U198" s="113">
        <f t="shared" si="26"/>
        <v>0.10302069888542852</v>
      </c>
    </row>
    <row r="199" spans="1:21" x14ac:dyDescent="0.45">
      <c r="A199" s="95">
        <v>44759</v>
      </c>
      <c r="B199" s="96">
        <v>4402</v>
      </c>
      <c r="C199" s="7">
        <v>934</v>
      </c>
      <c r="D199" s="7">
        <f t="shared" si="21"/>
        <v>3468</v>
      </c>
      <c r="E199" s="97">
        <v>1445</v>
      </c>
      <c r="F199" s="7">
        <v>140</v>
      </c>
      <c r="G199" s="7">
        <f t="shared" si="22"/>
        <v>1305</v>
      </c>
      <c r="H199" s="98">
        <v>0</v>
      </c>
      <c r="I199" s="7">
        <v>0</v>
      </c>
      <c r="J199" s="7"/>
      <c r="K199" s="99">
        <f t="shared" si="27"/>
        <v>5847</v>
      </c>
      <c r="L199" s="7">
        <v>0</v>
      </c>
      <c r="M199" s="7">
        <v>0</v>
      </c>
      <c r="N199" s="7">
        <v>0</v>
      </c>
      <c r="O199" s="7">
        <v>0</v>
      </c>
      <c r="P199" s="7">
        <v>4304.1914768826</v>
      </c>
      <c r="Q199" s="7">
        <v>1750.6634618273997</v>
      </c>
      <c r="R199" s="113">
        <f t="shared" si="23"/>
        <v>0.21217628350749659</v>
      </c>
      <c r="S199" s="113">
        <f t="shared" si="24"/>
        <v>9.6885813148788927E-2</v>
      </c>
      <c r="T199" s="113">
        <f t="shared" si="25"/>
        <v>0</v>
      </c>
      <c r="U199" s="113">
        <f t="shared" si="26"/>
        <v>0.10302069888542852</v>
      </c>
    </row>
    <row r="200" spans="1:21" x14ac:dyDescent="0.45">
      <c r="A200" s="95">
        <v>44760</v>
      </c>
      <c r="B200" s="96">
        <v>4402</v>
      </c>
      <c r="C200" s="7">
        <v>934</v>
      </c>
      <c r="D200" s="7">
        <f t="shared" si="21"/>
        <v>3468</v>
      </c>
      <c r="E200" s="97">
        <v>1445</v>
      </c>
      <c r="F200" s="7">
        <v>140</v>
      </c>
      <c r="G200" s="7">
        <f t="shared" si="22"/>
        <v>1305</v>
      </c>
      <c r="H200" s="98">
        <v>0</v>
      </c>
      <c r="I200" s="7">
        <v>0</v>
      </c>
      <c r="J200" s="7"/>
      <c r="K200" s="99">
        <f t="shared" si="27"/>
        <v>5847</v>
      </c>
      <c r="L200" s="7">
        <v>0</v>
      </c>
      <c r="M200" s="7">
        <v>0</v>
      </c>
      <c r="N200" s="7">
        <v>0</v>
      </c>
      <c r="O200" s="7">
        <v>0</v>
      </c>
      <c r="P200" s="7">
        <v>4304.1914768826</v>
      </c>
      <c r="Q200" s="7">
        <v>1825.2380444473999</v>
      </c>
      <c r="R200" s="113">
        <f t="shared" si="23"/>
        <v>0.21217628350749659</v>
      </c>
      <c r="S200" s="113">
        <f t="shared" si="24"/>
        <v>9.6885813148788927E-2</v>
      </c>
      <c r="T200" s="113">
        <f t="shared" si="25"/>
        <v>0</v>
      </c>
      <c r="U200" s="113">
        <f t="shared" si="26"/>
        <v>0.10302069888542852</v>
      </c>
    </row>
    <row r="201" spans="1:21" x14ac:dyDescent="0.45">
      <c r="A201" s="95">
        <v>44761</v>
      </c>
      <c r="B201" s="96">
        <v>4402</v>
      </c>
      <c r="C201" s="7">
        <v>934</v>
      </c>
      <c r="D201" s="7">
        <f t="shared" si="21"/>
        <v>3468</v>
      </c>
      <c r="E201" s="97">
        <v>1445</v>
      </c>
      <c r="F201" s="7">
        <v>140</v>
      </c>
      <c r="G201" s="7">
        <f t="shared" si="22"/>
        <v>1305</v>
      </c>
      <c r="H201" s="98">
        <v>0</v>
      </c>
      <c r="I201" s="7">
        <v>0</v>
      </c>
      <c r="J201" s="7"/>
      <c r="K201" s="99">
        <f t="shared" si="27"/>
        <v>5847</v>
      </c>
      <c r="L201" s="7">
        <v>0</v>
      </c>
      <c r="M201" s="7">
        <v>0</v>
      </c>
      <c r="N201" s="7">
        <v>0</v>
      </c>
      <c r="O201" s="7">
        <v>0</v>
      </c>
      <c r="P201" s="7">
        <v>4304.1914768826</v>
      </c>
      <c r="Q201" s="7">
        <v>1581.8235707973995</v>
      </c>
      <c r="R201" s="113">
        <f t="shared" si="23"/>
        <v>0.21217628350749659</v>
      </c>
      <c r="S201" s="113">
        <f t="shared" si="24"/>
        <v>9.6885813148788927E-2</v>
      </c>
      <c r="T201" s="113">
        <f t="shared" si="25"/>
        <v>0</v>
      </c>
      <c r="U201" s="113">
        <f t="shared" si="26"/>
        <v>0.10302069888542852</v>
      </c>
    </row>
    <row r="202" spans="1:21" x14ac:dyDescent="0.45">
      <c r="A202" s="95">
        <v>44762</v>
      </c>
      <c r="B202" s="96">
        <v>4402</v>
      </c>
      <c r="C202" s="7">
        <v>934</v>
      </c>
      <c r="D202" s="7">
        <f t="shared" si="21"/>
        <v>3468</v>
      </c>
      <c r="E202" s="97">
        <v>1445</v>
      </c>
      <c r="F202" s="7">
        <v>140</v>
      </c>
      <c r="G202" s="7">
        <f t="shared" si="22"/>
        <v>1305</v>
      </c>
      <c r="H202" s="98">
        <v>0</v>
      </c>
      <c r="I202" s="7">
        <v>0</v>
      </c>
      <c r="J202" s="7"/>
      <c r="K202" s="99">
        <f t="shared" si="27"/>
        <v>5847</v>
      </c>
      <c r="L202" s="7">
        <v>0</v>
      </c>
      <c r="M202" s="7">
        <v>0</v>
      </c>
      <c r="N202" s="7">
        <v>0</v>
      </c>
      <c r="O202" s="7">
        <v>0</v>
      </c>
      <c r="P202" s="7">
        <v>4304.1914768826</v>
      </c>
      <c r="Q202" s="7">
        <v>1575.8824009273997</v>
      </c>
      <c r="R202" s="113">
        <f t="shared" si="23"/>
        <v>0.21217628350749659</v>
      </c>
      <c r="S202" s="113">
        <f t="shared" si="24"/>
        <v>9.6885813148788927E-2</v>
      </c>
      <c r="T202" s="113">
        <f t="shared" si="25"/>
        <v>0</v>
      </c>
      <c r="U202" s="113">
        <f t="shared" si="26"/>
        <v>0.10302069888542852</v>
      </c>
    </row>
    <row r="203" spans="1:21" x14ac:dyDescent="0.45">
      <c r="A203" s="95">
        <v>44763</v>
      </c>
      <c r="B203" s="96">
        <v>4402</v>
      </c>
      <c r="C203" s="7">
        <v>732</v>
      </c>
      <c r="D203" s="7">
        <f t="shared" si="21"/>
        <v>3670</v>
      </c>
      <c r="E203" s="97">
        <v>1445</v>
      </c>
      <c r="F203" s="7">
        <v>140</v>
      </c>
      <c r="G203" s="7">
        <f t="shared" si="22"/>
        <v>1305</v>
      </c>
      <c r="H203" s="98">
        <v>0</v>
      </c>
      <c r="I203" s="7">
        <v>0</v>
      </c>
      <c r="J203" s="7"/>
      <c r="K203" s="99">
        <f t="shared" si="27"/>
        <v>5847</v>
      </c>
      <c r="L203" s="7">
        <v>0</v>
      </c>
      <c r="M203" s="7">
        <v>0</v>
      </c>
      <c r="N203" s="7">
        <v>0</v>
      </c>
      <c r="O203" s="7">
        <v>0</v>
      </c>
      <c r="P203" s="7">
        <v>4304.1914768826</v>
      </c>
      <c r="Q203" s="7">
        <v>1834.4149562273997</v>
      </c>
      <c r="R203" s="113">
        <f t="shared" si="23"/>
        <v>0.16628805088596094</v>
      </c>
      <c r="S203" s="113">
        <f t="shared" si="24"/>
        <v>9.6885813148788927E-2</v>
      </c>
      <c r="T203" s="113">
        <f t="shared" si="25"/>
        <v>0</v>
      </c>
      <c r="U203" s="113">
        <f t="shared" si="26"/>
        <v>8.7724621344916612E-2</v>
      </c>
    </row>
    <row r="204" spans="1:21" x14ac:dyDescent="0.45">
      <c r="A204" s="95">
        <v>44764</v>
      </c>
      <c r="B204" s="96">
        <v>4402</v>
      </c>
      <c r="C204" s="7">
        <v>732</v>
      </c>
      <c r="D204" s="7">
        <f t="shared" si="21"/>
        <v>3670</v>
      </c>
      <c r="E204" s="97">
        <v>1445</v>
      </c>
      <c r="F204" s="7">
        <v>140</v>
      </c>
      <c r="G204" s="7">
        <f t="shared" si="22"/>
        <v>1305</v>
      </c>
      <c r="H204" s="98">
        <v>0</v>
      </c>
      <c r="I204" s="7">
        <v>0</v>
      </c>
      <c r="J204" s="7"/>
      <c r="K204" s="99">
        <f t="shared" si="27"/>
        <v>5847</v>
      </c>
      <c r="L204" s="7">
        <v>0</v>
      </c>
      <c r="M204" s="7">
        <v>0</v>
      </c>
      <c r="N204" s="7">
        <v>0</v>
      </c>
      <c r="O204" s="7">
        <v>0</v>
      </c>
      <c r="P204" s="7">
        <v>4304.1914768826</v>
      </c>
      <c r="Q204" s="7">
        <v>2799.5534193473995</v>
      </c>
      <c r="R204" s="113">
        <f t="shared" si="23"/>
        <v>0.16628805088596094</v>
      </c>
      <c r="S204" s="113">
        <f t="shared" si="24"/>
        <v>9.6885813148788927E-2</v>
      </c>
      <c r="T204" s="113">
        <f t="shared" si="25"/>
        <v>0</v>
      </c>
      <c r="U204" s="113">
        <f t="shared" si="26"/>
        <v>8.7724621344916612E-2</v>
      </c>
    </row>
    <row r="205" spans="1:21" x14ac:dyDescent="0.45">
      <c r="A205" s="95">
        <v>44765</v>
      </c>
      <c r="B205" s="96">
        <v>4402</v>
      </c>
      <c r="C205" s="7">
        <v>732</v>
      </c>
      <c r="D205" s="7">
        <f t="shared" si="21"/>
        <v>3670</v>
      </c>
      <c r="E205" s="97">
        <v>1445</v>
      </c>
      <c r="F205" s="7">
        <v>140</v>
      </c>
      <c r="G205" s="7">
        <f t="shared" si="22"/>
        <v>1305</v>
      </c>
      <c r="H205" s="98">
        <v>0</v>
      </c>
      <c r="I205" s="7">
        <v>0</v>
      </c>
      <c r="J205" s="7"/>
      <c r="K205" s="99">
        <f t="shared" si="27"/>
        <v>5847</v>
      </c>
      <c r="L205" s="7">
        <v>0</v>
      </c>
      <c r="M205" s="7">
        <v>0</v>
      </c>
      <c r="N205" s="7">
        <v>0</v>
      </c>
      <c r="O205" s="7">
        <v>0</v>
      </c>
      <c r="P205" s="7">
        <v>4304.1914768826</v>
      </c>
      <c r="Q205" s="7">
        <v>2799.5534193473995</v>
      </c>
      <c r="R205" s="113">
        <f t="shared" si="23"/>
        <v>0.16628805088596094</v>
      </c>
      <c r="S205" s="113">
        <f t="shared" si="24"/>
        <v>9.6885813148788927E-2</v>
      </c>
      <c r="T205" s="113">
        <f t="shared" si="25"/>
        <v>0</v>
      </c>
      <c r="U205" s="113">
        <f t="shared" si="26"/>
        <v>8.7724621344916612E-2</v>
      </c>
    </row>
    <row r="206" spans="1:21" x14ac:dyDescent="0.45">
      <c r="A206" s="95">
        <v>44766</v>
      </c>
      <c r="B206" s="96">
        <v>4402</v>
      </c>
      <c r="C206" s="7">
        <v>732</v>
      </c>
      <c r="D206" s="7">
        <f t="shared" si="21"/>
        <v>3670</v>
      </c>
      <c r="E206" s="97">
        <v>1445</v>
      </c>
      <c r="F206" s="7">
        <v>140</v>
      </c>
      <c r="G206" s="7">
        <f t="shared" si="22"/>
        <v>1305</v>
      </c>
      <c r="H206" s="98">
        <v>0</v>
      </c>
      <c r="I206" s="7">
        <v>0</v>
      </c>
      <c r="J206" s="7"/>
      <c r="K206" s="99">
        <f t="shared" si="27"/>
        <v>5847</v>
      </c>
      <c r="L206" s="7">
        <v>0</v>
      </c>
      <c r="M206" s="7">
        <v>0</v>
      </c>
      <c r="N206" s="7">
        <v>0</v>
      </c>
      <c r="O206" s="7">
        <v>0</v>
      </c>
      <c r="P206" s="7">
        <v>4304.1914768826</v>
      </c>
      <c r="Q206" s="7">
        <v>2799.5534193473995</v>
      </c>
      <c r="R206" s="113">
        <f t="shared" si="23"/>
        <v>0.16628805088596094</v>
      </c>
      <c r="S206" s="113">
        <f t="shared" si="24"/>
        <v>9.6885813148788927E-2</v>
      </c>
      <c r="T206" s="113">
        <f t="shared" si="25"/>
        <v>0</v>
      </c>
      <c r="U206" s="113">
        <f t="shared" si="26"/>
        <v>8.7724621344916612E-2</v>
      </c>
    </row>
    <row r="207" spans="1:21" x14ac:dyDescent="0.45">
      <c r="A207" s="95">
        <v>44767</v>
      </c>
      <c r="B207" s="96">
        <v>4402</v>
      </c>
      <c r="C207" s="7">
        <v>732</v>
      </c>
      <c r="D207" s="7">
        <f t="shared" si="21"/>
        <v>3670</v>
      </c>
      <c r="E207" s="97">
        <v>1445</v>
      </c>
      <c r="F207" s="7">
        <v>140</v>
      </c>
      <c r="G207" s="7">
        <f t="shared" si="22"/>
        <v>1305</v>
      </c>
      <c r="H207" s="98">
        <v>0</v>
      </c>
      <c r="I207" s="7">
        <v>0</v>
      </c>
      <c r="J207" s="7"/>
      <c r="K207" s="99">
        <f t="shared" si="27"/>
        <v>5847</v>
      </c>
      <c r="L207" s="7">
        <v>0</v>
      </c>
      <c r="M207" s="7">
        <v>0</v>
      </c>
      <c r="N207" s="7">
        <v>0</v>
      </c>
      <c r="O207" s="7">
        <v>0</v>
      </c>
      <c r="P207" s="7">
        <v>4304.1914768826</v>
      </c>
      <c r="Q207" s="7">
        <v>2482.0666609573991</v>
      </c>
      <c r="R207" s="113">
        <f t="shared" si="23"/>
        <v>0.16628805088596094</v>
      </c>
      <c r="S207" s="113">
        <f t="shared" si="24"/>
        <v>9.6885813148788927E-2</v>
      </c>
      <c r="T207" s="113">
        <f t="shared" si="25"/>
        <v>0</v>
      </c>
      <c r="U207" s="113">
        <f t="shared" si="26"/>
        <v>8.7724621344916612E-2</v>
      </c>
    </row>
    <row r="208" spans="1:21" x14ac:dyDescent="0.45">
      <c r="A208" s="95">
        <v>44768</v>
      </c>
      <c r="B208" s="96">
        <v>4402</v>
      </c>
      <c r="C208" s="7">
        <v>732</v>
      </c>
      <c r="D208" s="7">
        <f t="shared" si="21"/>
        <v>3670</v>
      </c>
      <c r="E208" s="97">
        <v>1070</v>
      </c>
      <c r="F208" s="7">
        <v>140</v>
      </c>
      <c r="G208" s="7">
        <f t="shared" si="22"/>
        <v>930</v>
      </c>
      <c r="H208" s="98">
        <v>0</v>
      </c>
      <c r="I208" s="7">
        <v>0</v>
      </c>
      <c r="J208" s="7"/>
      <c r="K208" s="99">
        <f t="shared" si="27"/>
        <v>5472</v>
      </c>
      <c r="L208" s="7">
        <v>0</v>
      </c>
      <c r="M208" s="7">
        <v>0</v>
      </c>
      <c r="N208" s="7">
        <v>0</v>
      </c>
      <c r="O208" s="7">
        <v>0</v>
      </c>
      <c r="P208" s="7">
        <v>4304.1914768826</v>
      </c>
      <c r="Q208" s="7">
        <v>3020.7368891874003</v>
      </c>
      <c r="R208" s="113">
        <f t="shared" si="23"/>
        <v>0.16628805088596094</v>
      </c>
      <c r="S208" s="113">
        <f t="shared" si="24"/>
        <v>0.13084112149532709</v>
      </c>
      <c r="T208" s="113">
        <f t="shared" si="25"/>
        <v>0</v>
      </c>
      <c r="U208" s="113">
        <f t="shared" si="26"/>
        <v>9.9043057460429337E-2</v>
      </c>
    </row>
    <row r="209" spans="1:21" x14ac:dyDescent="0.45">
      <c r="A209" s="95">
        <v>44769</v>
      </c>
      <c r="B209" s="96">
        <v>3682</v>
      </c>
      <c r="C209" s="7">
        <v>732</v>
      </c>
      <c r="D209" s="7">
        <f t="shared" si="21"/>
        <v>2950</v>
      </c>
      <c r="E209" s="97">
        <v>1370</v>
      </c>
      <c r="F209" s="7">
        <v>240</v>
      </c>
      <c r="G209" s="7">
        <f t="shared" si="22"/>
        <v>1130</v>
      </c>
      <c r="H209" s="98">
        <v>0</v>
      </c>
      <c r="I209" s="7">
        <v>0</v>
      </c>
      <c r="J209" s="7"/>
      <c r="K209" s="99">
        <f t="shared" si="27"/>
        <v>5052</v>
      </c>
      <c r="L209" s="7">
        <v>0</v>
      </c>
      <c r="M209" s="7">
        <v>0</v>
      </c>
      <c r="N209" s="7">
        <v>0</v>
      </c>
      <c r="O209" s="7">
        <v>0</v>
      </c>
      <c r="P209" s="7">
        <v>4304.1914768826</v>
      </c>
      <c r="Q209" s="7">
        <v>2211.5216388973995</v>
      </c>
      <c r="R209" s="113">
        <f t="shared" si="23"/>
        <v>0.19880499728408474</v>
      </c>
      <c r="S209" s="113">
        <f t="shared" si="24"/>
        <v>0.17518248175182483</v>
      </c>
      <c r="T209" s="113">
        <f t="shared" si="25"/>
        <v>0</v>
      </c>
      <c r="U209" s="113">
        <f t="shared" si="26"/>
        <v>0.12466249301196985</v>
      </c>
    </row>
    <row r="210" spans="1:21" x14ac:dyDescent="0.45">
      <c r="A210" s="95">
        <v>44770</v>
      </c>
      <c r="B210" s="96">
        <v>3682</v>
      </c>
      <c r="C210" s="7">
        <v>672</v>
      </c>
      <c r="D210" s="7">
        <f t="shared" si="21"/>
        <v>3010</v>
      </c>
      <c r="E210" s="97">
        <v>1370</v>
      </c>
      <c r="F210" s="7">
        <v>0</v>
      </c>
      <c r="G210" s="7">
        <f t="shared" si="22"/>
        <v>1370</v>
      </c>
      <c r="H210" s="98">
        <v>0</v>
      </c>
      <c r="I210" s="7">
        <v>0</v>
      </c>
      <c r="J210" s="7"/>
      <c r="K210" s="99">
        <f t="shared" si="27"/>
        <v>5052</v>
      </c>
      <c r="L210" s="7">
        <v>0</v>
      </c>
      <c r="M210" s="7">
        <v>0</v>
      </c>
      <c r="N210" s="7">
        <v>0</v>
      </c>
      <c r="O210" s="7">
        <v>0</v>
      </c>
      <c r="P210" s="7">
        <v>4304.1914768826</v>
      </c>
      <c r="Q210" s="7">
        <v>2055.669909687399</v>
      </c>
      <c r="R210" s="113">
        <f t="shared" si="23"/>
        <v>0.18250950570342206</v>
      </c>
      <c r="S210" s="113">
        <f t="shared" si="24"/>
        <v>0</v>
      </c>
      <c r="T210" s="113">
        <f t="shared" si="25"/>
        <v>0</v>
      </c>
      <c r="U210" s="113">
        <f t="shared" si="26"/>
        <v>6.0836501901140684E-2</v>
      </c>
    </row>
    <row r="211" spans="1:21" x14ac:dyDescent="0.45">
      <c r="A211" s="95">
        <v>44771</v>
      </c>
      <c r="B211" s="96">
        <v>3682</v>
      </c>
      <c r="C211" s="7">
        <v>672</v>
      </c>
      <c r="D211" s="7">
        <f t="shared" si="21"/>
        <v>3010</v>
      </c>
      <c r="E211" s="97">
        <v>1370</v>
      </c>
      <c r="F211" s="7">
        <v>0</v>
      </c>
      <c r="G211" s="7">
        <f t="shared" si="22"/>
        <v>1370</v>
      </c>
      <c r="H211" s="98">
        <v>0</v>
      </c>
      <c r="I211" s="7">
        <v>0</v>
      </c>
      <c r="J211" s="7"/>
      <c r="K211" s="99">
        <f t="shared" si="27"/>
        <v>5052</v>
      </c>
      <c r="L211" s="7">
        <v>0</v>
      </c>
      <c r="M211" s="7">
        <v>0</v>
      </c>
      <c r="N211" s="7">
        <v>0</v>
      </c>
      <c r="O211" s="7">
        <v>0</v>
      </c>
      <c r="P211" s="7">
        <v>4304.1914768826</v>
      </c>
      <c r="Q211" s="7">
        <v>2284.1693501773993</v>
      </c>
      <c r="R211" s="113">
        <f t="shared" si="23"/>
        <v>0.18250950570342206</v>
      </c>
      <c r="S211" s="113">
        <f t="shared" si="24"/>
        <v>0</v>
      </c>
      <c r="T211" s="113">
        <f t="shared" si="25"/>
        <v>0</v>
      </c>
      <c r="U211" s="113">
        <f t="shared" si="26"/>
        <v>6.0836501901140684E-2</v>
      </c>
    </row>
    <row r="212" spans="1:21" x14ac:dyDescent="0.45">
      <c r="A212" s="95">
        <v>44772</v>
      </c>
      <c r="B212" s="96">
        <v>3682</v>
      </c>
      <c r="C212" s="7">
        <v>672</v>
      </c>
      <c r="D212" s="7">
        <f t="shared" si="21"/>
        <v>3010</v>
      </c>
      <c r="E212" s="97">
        <v>1370</v>
      </c>
      <c r="F212" s="7">
        <v>0</v>
      </c>
      <c r="G212" s="7">
        <f t="shared" si="22"/>
        <v>1370</v>
      </c>
      <c r="H212" s="98">
        <v>0</v>
      </c>
      <c r="I212" s="7">
        <v>0</v>
      </c>
      <c r="J212" s="7"/>
      <c r="K212" s="99">
        <f t="shared" si="27"/>
        <v>5052</v>
      </c>
      <c r="L212" s="7">
        <v>0</v>
      </c>
      <c r="M212" s="7">
        <v>0</v>
      </c>
      <c r="N212" s="7">
        <v>0</v>
      </c>
      <c r="O212" s="7">
        <v>0</v>
      </c>
      <c r="P212" s="7">
        <v>4304.1914768826</v>
      </c>
      <c r="Q212" s="7">
        <v>2284.1693501773993</v>
      </c>
      <c r="R212" s="113">
        <f t="shared" si="23"/>
        <v>0.18250950570342206</v>
      </c>
      <c r="S212" s="113">
        <f t="shared" si="24"/>
        <v>0</v>
      </c>
      <c r="T212" s="113">
        <f t="shared" si="25"/>
        <v>0</v>
      </c>
      <c r="U212" s="113">
        <f t="shared" si="26"/>
        <v>6.0836501901140684E-2</v>
      </c>
    </row>
    <row r="213" spans="1:21" x14ac:dyDescent="0.45">
      <c r="A213" s="95">
        <v>44773</v>
      </c>
      <c r="B213" s="96">
        <v>3682</v>
      </c>
      <c r="C213" s="7">
        <v>672</v>
      </c>
      <c r="D213" s="7">
        <f t="shared" si="21"/>
        <v>3010</v>
      </c>
      <c r="E213" s="97">
        <v>1370</v>
      </c>
      <c r="F213" s="7">
        <v>0</v>
      </c>
      <c r="G213" s="7">
        <f t="shared" si="22"/>
        <v>1370</v>
      </c>
      <c r="H213" s="98">
        <v>0</v>
      </c>
      <c r="I213" s="7">
        <v>0</v>
      </c>
      <c r="J213" s="7"/>
      <c r="K213" s="99">
        <f t="shared" si="27"/>
        <v>5052</v>
      </c>
      <c r="L213" s="7">
        <v>0</v>
      </c>
      <c r="M213" s="7">
        <v>0</v>
      </c>
      <c r="N213" s="7">
        <v>0</v>
      </c>
      <c r="O213" s="7">
        <v>0</v>
      </c>
      <c r="P213" s="7">
        <v>4304.1914768826</v>
      </c>
      <c r="Q213" s="7">
        <v>2284.1693501773993</v>
      </c>
      <c r="R213" s="113">
        <f t="shared" si="23"/>
        <v>0.18250950570342206</v>
      </c>
      <c r="S213" s="113">
        <f t="shared" si="24"/>
        <v>0</v>
      </c>
      <c r="T213" s="113">
        <f t="shared" si="25"/>
        <v>0</v>
      </c>
      <c r="U213" s="113">
        <f t="shared" si="26"/>
        <v>6.0836501901140684E-2</v>
      </c>
    </row>
    <row r="214" spans="1:21" x14ac:dyDescent="0.45">
      <c r="A214" s="95">
        <v>44774</v>
      </c>
      <c r="B214" s="96">
        <v>3682</v>
      </c>
      <c r="C214" s="7">
        <v>672</v>
      </c>
      <c r="D214" s="7">
        <f t="shared" si="21"/>
        <v>3010</v>
      </c>
      <c r="E214" s="97">
        <v>1370</v>
      </c>
      <c r="F214" s="7">
        <v>0</v>
      </c>
      <c r="G214" s="7">
        <f t="shared" si="22"/>
        <v>1370</v>
      </c>
      <c r="H214" s="98">
        <v>0</v>
      </c>
      <c r="I214" s="7">
        <v>0</v>
      </c>
      <c r="J214" s="7"/>
      <c r="K214" s="99">
        <f t="shared" si="27"/>
        <v>5052</v>
      </c>
      <c r="L214" s="7">
        <v>0</v>
      </c>
      <c r="M214" s="7">
        <v>0</v>
      </c>
      <c r="N214" s="7">
        <v>0</v>
      </c>
      <c r="O214" s="7">
        <v>0</v>
      </c>
      <c r="P214" s="7">
        <v>4304.1914768826</v>
      </c>
      <c r="Q214" s="7">
        <v>2330.4018556673991</v>
      </c>
      <c r="R214" s="113">
        <f t="shared" si="23"/>
        <v>0.18250950570342206</v>
      </c>
      <c r="S214" s="113">
        <f t="shared" si="24"/>
        <v>0</v>
      </c>
      <c r="T214" s="113">
        <f t="shared" si="25"/>
        <v>0</v>
      </c>
      <c r="U214" s="113">
        <f t="shared" si="26"/>
        <v>6.0836501901140684E-2</v>
      </c>
    </row>
    <row r="215" spans="1:21" x14ac:dyDescent="0.45">
      <c r="A215" s="95">
        <v>44775</v>
      </c>
      <c r="B215" s="96">
        <v>3682</v>
      </c>
      <c r="C215" s="7">
        <v>672</v>
      </c>
      <c r="D215" s="7">
        <f t="shared" si="21"/>
        <v>3010</v>
      </c>
      <c r="E215" s="97">
        <v>1370</v>
      </c>
      <c r="F215" s="7">
        <v>0</v>
      </c>
      <c r="G215" s="7">
        <f t="shared" si="22"/>
        <v>1370</v>
      </c>
      <c r="H215" s="98">
        <v>0</v>
      </c>
      <c r="I215" s="7">
        <v>0</v>
      </c>
      <c r="J215" s="7"/>
      <c r="K215" s="99">
        <f t="shared" si="27"/>
        <v>5052</v>
      </c>
      <c r="L215" s="7">
        <v>0</v>
      </c>
      <c r="M215" s="7">
        <v>0</v>
      </c>
      <c r="N215" s="7">
        <v>0</v>
      </c>
      <c r="O215" s="7">
        <v>0</v>
      </c>
      <c r="P215" s="7">
        <v>4304.1914768826</v>
      </c>
      <c r="Q215" s="7">
        <v>3306.3627998073998</v>
      </c>
      <c r="R215" s="113">
        <f t="shared" si="23"/>
        <v>0.18250950570342206</v>
      </c>
      <c r="S215" s="113">
        <f t="shared" si="24"/>
        <v>0</v>
      </c>
      <c r="T215" s="113">
        <f t="shared" si="25"/>
        <v>0</v>
      </c>
      <c r="U215" s="113">
        <f t="shared" si="26"/>
        <v>6.0836501901140684E-2</v>
      </c>
    </row>
    <row r="216" spans="1:21" x14ac:dyDescent="0.45">
      <c r="A216" s="95">
        <v>44776</v>
      </c>
      <c r="B216" s="96">
        <v>3655</v>
      </c>
      <c r="C216" s="7">
        <v>672</v>
      </c>
      <c r="D216" s="7">
        <f t="shared" si="21"/>
        <v>2983</v>
      </c>
      <c r="E216" s="97">
        <v>1370</v>
      </c>
      <c r="F216" s="7">
        <v>0</v>
      </c>
      <c r="G216" s="7">
        <f t="shared" si="22"/>
        <v>1370</v>
      </c>
      <c r="H216" s="98">
        <v>0</v>
      </c>
      <c r="I216" s="7">
        <v>0</v>
      </c>
      <c r="J216" s="7"/>
      <c r="K216" s="99">
        <f t="shared" si="27"/>
        <v>5025</v>
      </c>
      <c r="L216" s="7">
        <v>0</v>
      </c>
      <c r="M216" s="7">
        <v>0</v>
      </c>
      <c r="N216" s="7">
        <v>0</v>
      </c>
      <c r="O216" s="7">
        <v>0</v>
      </c>
      <c r="P216" s="7">
        <v>4304.1914768826</v>
      </c>
      <c r="Q216" s="7">
        <v>2948.8082335873992</v>
      </c>
      <c r="R216" s="113">
        <f t="shared" si="23"/>
        <v>0.18385772913816689</v>
      </c>
      <c r="S216" s="113">
        <f t="shared" si="24"/>
        <v>0</v>
      </c>
      <c r="T216" s="113">
        <f t="shared" si="25"/>
        <v>0</v>
      </c>
      <c r="U216" s="113">
        <f t="shared" si="26"/>
        <v>6.1285909712722297E-2</v>
      </c>
    </row>
    <row r="217" spans="1:21" x14ac:dyDescent="0.45">
      <c r="A217" s="95">
        <v>44777</v>
      </c>
      <c r="B217" s="96">
        <v>3655</v>
      </c>
      <c r="C217" s="7">
        <v>570</v>
      </c>
      <c r="D217" s="7">
        <f t="shared" si="21"/>
        <v>3085</v>
      </c>
      <c r="E217" s="97">
        <v>1370</v>
      </c>
      <c r="F217" s="7">
        <v>0</v>
      </c>
      <c r="G217" s="7">
        <f t="shared" si="22"/>
        <v>1370</v>
      </c>
      <c r="H217" s="98">
        <v>0</v>
      </c>
      <c r="I217" s="7">
        <v>0</v>
      </c>
      <c r="J217" s="7"/>
      <c r="K217" s="99">
        <f t="shared" si="27"/>
        <v>5025</v>
      </c>
      <c r="L217" s="7">
        <v>0</v>
      </c>
      <c r="M217" s="7">
        <v>0</v>
      </c>
      <c r="N217" s="7">
        <v>0</v>
      </c>
      <c r="O217" s="7">
        <v>0</v>
      </c>
      <c r="P217" s="7">
        <v>4304.1914768826</v>
      </c>
      <c r="Q217" s="7">
        <v>2436.4437546774002</v>
      </c>
      <c r="R217" s="113">
        <f t="shared" si="23"/>
        <v>0.15595075239398085</v>
      </c>
      <c r="S217" s="113">
        <f t="shared" si="24"/>
        <v>0</v>
      </c>
      <c r="T217" s="113">
        <f t="shared" si="25"/>
        <v>0</v>
      </c>
      <c r="U217" s="113">
        <f t="shared" si="26"/>
        <v>5.1983584131326949E-2</v>
      </c>
    </row>
    <row r="218" spans="1:21" x14ac:dyDescent="0.45">
      <c r="A218" s="95">
        <v>44778</v>
      </c>
      <c r="B218" s="96">
        <v>3655</v>
      </c>
      <c r="C218" s="7">
        <v>570</v>
      </c>
      <c r="D218" s="7">
        <f t="shared" si="21"/>
        <v>3085</v>
      </c>
      <c r="E218" s="97">
        <v>1370</v>
      </c>
      <c r="F218" s="7">
        <v>0</v>
      </c>
      <c r="G218" s="7">
        <f t="shared" si="22"/>
        <v>1370</v>
      </c>
      <c r="H218" s="98">
        <v>0</v>
      </c>
      <c r="I218" s="7">
        <v>0</v>
      </c>
      <c r="J218" s="7"/>
      <c r="K218" s="99">
        <f t="shared" si="27"/>
        <v>5025</v>
      </c>
      <c r="L218" s="7">
        <v>0</v>
      </c>
      <c r="M218" s="7">
        <v>0</v>
      </c>
      <c r="N218" s="7">
        <v>0</v>
      </c>
      <c r="O218" s="7">
        <v>0</v>
      </c>
      <c r="P218" s="7">
        <v>4304.1914768826</v>
      </c>
      <c r="Q218" s="7">
        <v>2407.3980925373999</v>
      </c>
      <c r="R218" s="113">
        <f t="shared" si="23"/>
        <v>0.15595075239398085</v>
      </c>
      <c r="S218" s="113">
        <f t="shared" si="24"/>
        <v>0</v>
      </c>
      <c r="T218" s="113">
        <f t="shared" si="25"/>
        <v>0</v>
      </c>
      <c r="U218" s="113">
        <f t="shared" si="26"/>
        <v>5.1983584131326949E-2</v>
      </c>
    </row>
    <row r="219" spans="1:21" x14ac:dyDescent="0.45">
      <c r="A219" s="95">
        <v>44779</v>
      </c>
      <c r="B219" s="96">
        <v>3655</v>
      </c>
      <c r="C219" s="7">
        <v>570</v>
      </c>
      <c r="D219" s="7">
        <f t="shared" si="21"/>
        <v>3085</v>
      </c>
      <c r="E219" s="97">
        <v>1370</v>
      </c>
      <c r="F219" s="7">
        <v>0</v>
      </c>
      <c r="G219" s="7">
        <f t="shared" si="22"/>
        <v>1370</v>
      </c>
      <c r="H219" s="98">
        <v>0</v>
      </c>
      <c r="I219" s="7">
        <v>0</v>
      </c>
      <c r="J219" s="7"/>
      <c r="K219" s="99">
        <f t="shared" si="27"/>
        <v>5025</v>
      </c>
      <c r="L219" s="7">
        <v>0</v>
      </c>
      <c r="M219" s="7">
        <v>0</v>
      </c>
      <c r="N219" s="7">
        <v>0</v>
      </c>
      <c r="O219" s="7">
        <v>0</v>
      </c>
      <c r="P219" s="7">
        <v>4304.1914768826</v>
      </c>
      <c r="Q219" s="7">
        <v>2407.3980925373999</v>
      </c>
      <c r="R219" s="113">
        <f t="shared" si="23"/>
        <v>0.15595075239398085</v>
      </c>
      <c r="S219" s="113">
        <f t="shared" si="24"/>
        <v>0</v>
      </c>
      <c r="T219" s="113">
        <f t="shared" si="25"/>
        <v>0</v>
      </c>
      <c r="U219" s="113">
        <f t="shared" si="26"/>
        <v>5.1983584131326949E-2</v>
      </c>
    </row>
    <row r="220" spans="1:21" x14ac:dyDescent="0.45">
      <c r="A220" s="95">
        <v>44780</v>
      </c>
      <c r="B220" s="96">
        <v>3655</v>
      </c>
      <c r="C220" s="7">
        <v>570</v>
      </c>
      <c r="D220" s="7">
        <f t="shared" si="21"/>
        <v>3085</v>
      </c>
      <c r="E220" s="97">
        <v>1370</v>
      </c>
      <c r="F220" s="7">
        <v>0</v>
      </c>
      <c r="G220" s="7">
        <f t="shared" si="22"/>
        <v>1370</v>
      </c>
      <c r="H220" s="98">
        <v>0</v>
      </c>
      <c r="I220" s="7">
        <v>0</v>
      </c>
      <c r="J220" s="7"/>
      <c r="K220" s="99">
        <f t="shared" si="27"/>
        <v>5025</v>
      </c>
      <c r="L220" s="7">
        <v>0</v>
      </c>
      <c r="M220" s="7">
        <v>0</v>
      </c>
      <c r="N220" s="7">
        <v>0</v>
      </c>
      <c r="O220" s="7">
        <v>0</v>
      </c>
      <c r="P220" s="7">
        <v>4304.1914768826</v>
      </c>
      <c r="Q220" s="7">
        <v>2407.3980925373999</v>
      </c>
      <c r="R220" s="113">
        <f t="shared" si="23"/>
        <v>0.15595075239398085</v>
      </c>
      <c r="S220" s="113">
        <f t="shared" si="24"/>
        <v>0</v>
      </c>
      <c r="T220" s="113">
        <f t="shared" si="25"/>
        <v>0</v>
      </c>
      <c r="U220" s="113">
        <f t="shared" si="26"/>
        <v>5.1983584131326949E-2</v>
      </c>
    </row>
    <row r="221" spans="1:21" x14ac:dyDescent="0.45">
      <c r="A221" s="95">
        <v>44781</v>
      </c>
      <c r="B221" s="96">
        <v>3655</v>
      </c>
      <c r="C221" s="7">
        <v>570</v>
      </c>
      <c r="D221" s="7">
        <f t="shared" si="21"/>
        <v>3085</v>
      </c>
      <c r="E221" s="97">
        <v>1370</v>
      </c>
      <c r="F221" s="7">
        <v>0</v>
      </c>
      <c r="G221" s="7">
        <f t="shared" si="22"/>
        <v>1370</v>
      </c>
      <c r="H221" s="98">
        <v>0</v>
      </c>
      <c r="I221" s="7">
        <v>0</v>
      </c>
      <c r="J221" s="7"/>
      <c r="K221" s="99">
        <f t="shared" si="27"/>
        <v>5025</v>
      </c>
      <c r="L221" s="7">
        <v>0</v>
      </c>
      <c r="M221" s="7">
        <v>0</v>
      </c>
      <c r="N221" s="7">
        <v>0</v>
      </c>
      <c r="O221" s="7">
        <v>0</v>
      </c>
      <c r="P221" s="7">
        <v>4264.2956846608622</v>
      </c>
      <c r="Q221" s="7">
        <v>2739.2544925891384</v>
      </c>
      <c r="R221" s="113">
        <f t="shared" si="23"/>
        <v>0.15595075239398085</v>
      </c>
      <c r="S221" s="113">
        <f t="shared" si="24"/>
        <v>0</v>
      </c>
      <c r="T221" s="113">
        <f t="shared" si="25"/>
        <v>0</v>
      </c>
      <c r="U221" s="113">
        <f t="shared" si="26"/>
        <v>5.1983584131326949E-2</v>
      </c>
    </row>
    <row r="222" spans="1:21" x14ac:dyDescent="0.45">
      <c r="A222" s="95">
        <v>44782</v>
      </c>
      <c r="B222" s="96">
        <v>3655</v>
      </c>
      <c r="C222" s="7">
        <v>570</v>
      </c>
      <c r="D222" s="7">
        <f t="shared" si="21"/>
        <v>3085</v>
      </c>
      <c r="E222" s="97">
        <v>1370</v>
      </c>
      <c r="F222" s="7">
        <v>0</v>
      </c>
      <c r="G222" s="7">
        <f t="shared" si="22"/>
        <v>1370</v>
      </c>
      <c r="H222" s="98">
        <v>0</v>
      </c>
      <c r="I222" s="7">
        <v>0</v>
      </c>
      <c r="J222" s="7"/>
      <c r="K222" s="99">
        <f t="shared" si="27"/>
        <v>5025</v>
      </c>
      <c r="L222" s="7">
        <v>0</v>
      </c>
      <c r="M222" s="7">
        <v>0</v>
      </c>
      <c r="N222" s="7">
        <v>0</v>
      </c>
      <c r="O222" s="7">
        <v>0</v>
      </c>
      <c r="P222" s="7">
        <v>4264.2956846608622</v>
      </c>
      <c r="Q222" s="7">
        <v>2693.3979988091378</v>
      </c>
      <c r="R222" s="113">
        <f t="shared" si="23"/>
        <v>0.15595075239398085</v>
      </c>
      <c r="S222" s="113">
        <f t="shared" si="24"/>
        <v>0</v>
      </c>
      <c r="T222" s="113">
        <f t="shared" si="25"/>
        <v>0</v>
      </c>
      <c r="U222" s="113">
        <f t="shared" si="26"/>
        <v>5.1983584131326949E-2</v>
      </c>
    </row>
    <row r="223" spans="1:21" x14ac:dyDescent="0.45">
      <c r="A223" s="95">
        <v>44783</v>
      </c>
      <c r="B223" s="96">
        <v>3655</v>
      </c>
      <c r="C223" s="7">
        <v>570</v>
      </c>
      <c r="D223" s="7">
        <f t="shared" si="21"/>
        <v>3085</v>
      </c>
      <c r="E223" s="97">
        <v>1370</v>
      </c>
      <c r="F223" s="7">
        <v>0</v>
      </c>
      <c r="G223" s="7">
        <f t="shared" si="22"/>
        <v>1370</v>
      </c>
      <c r="H223" s="98">
        <v>0</v>
      </c>
      <c r="I223" s="7">
        <v>0</v>
      </c>
      <c r="J223" s="7"/>
      <c r="K223" s="99">
        <f t="shared" si="27"/>
        <v>5025</v>
      </c>
      <c r="L223" s="7">
        <v>0</v>
      </c>
      <c r="M223" s="7">
        <v>0</v>
      </c>
      <c r="N223" s="7">
        <v>0</v>
      </c>
      <c r="O223" s="7">
        <v>0</v>
      </c>
      <c r="P223" s="7">
        <v>4264.2956846608622</v>
      </c>
      <c r="Q223" s="7">
        <v>2604.2738065391377</v>
      </c>
      <c r="R223" s="113">
        <f t="shared" si="23"/>
        <v>0.15595075239398085</v>
      </c>
      <c r="S223" s="113">
        <f t="shared" si="24"/>
        <v>0</v>
      </c>
      <c r="T223" s="113">
        <f t="shared" si="25"/>
        <v>0</v>
      </c>
      <c r="U223" s="113">
        <f t="shared" si="26"/>
        <v>5.1983584131326949E-2</v>
      </c>
    </row>
    <row r="224" spans="1:21" x14ac:dyDescent="0.45">
      <c r="A224" s="95">
        <v>44784</v>
      </c>
      <c r="B224" s="96">
        <v>3655</v>
      </c>
      <c r="C224" s="7">
        <v>570</v>
      </c>
      <c r="D224" s="7">
        <f t="shared" si="21"/>
        <v>3085</v>
      </c>
      <c r="E224" s="97">
        <v>1370</v>
      </c>
      <c r="F224" s="7">
        <v>0</v>
      </c>
      <c r="G224" s="7">
        <f t="shared" si="22"/>
        <v>1370</v>
      </c>
      <c r="H224" s="98">
        <v>0</v>
      </c>
      <c r="I224" s="7">
        <v>0</v>
      </c>
      <c r="J224" s="7"/>
      <c r="K224" s="99">
        <f t="shared" si="27"/>
        <v>5025</v>
      </c>
      <c r="L224" s="7">
        <v>0</v>
      </c>
      <c r="M224" s="7">
        <v>0</v>
      </c>
      <c r="N224" s="7">
        <v>0</v>
      </c>
      <c r="O224" s="7">
        <v>0</v>
      </c>
      <c r="P224" s="7">
        <v>4264.2956846608622</v>
      </c>
      <c r="Q224" s="7">
        <v>3337.9910043491377</v>
      </c>
      <c r="R224" s="113">
        <f t="shared" si="23"/>
        <v>0.15595075239398085</v>
      </c>
      <c r="S224" s="113">
        <f t="shared" si="24"/>
        <v>0</v>
      </c>
      <c r="T224" s="113">
        <f t="shared" si="25"/>
        <v>0</v>
      </c>
      <c r="U224" s="113">
        <f t="shared" si="26"/>
        <v>5.1983584131326949E-2</v>
      </c>
    </row>
    <row r="225" spans="1:21" x14ac:dyDescent="0.45">
      <c r="A225" s="95">
        <v>44785</v>
      </c>
      <c r="B225" s="96">
        <v>3655</v>
      </c>
      <c r="C225" s="7">
        <v>570</v>
      </c>
      <c r="D225" s="7">
        <f t="shared" si="21"/>
        <v>3085</v>
      </c>
      <c r="E225" s="97">
        <v>1370</v>
      </c>
      <c r="F225" s="7">
        <v>0</v>
      </c>
      <c r="G225" s="7">
        <f t="shared" si="22"/>
        <v>1370</v>
      </c>
      <c r="H225" s="98">
        <v>0</v>
      </c>
      <c r="I225" s="7">
        <v>0</v>
      </c>
      <c r="J225" s="7"/>
      <c r="K225" s="99">
        <f t="shared" si="27"/>
        <v>5025</v>
      </c>
      <c r="L225" s="7">
        <v>0</v>
      </c>
      <c r="M225" s="7">
        <v>0</v>
      </c>
      <c r="N225" s="7">
        <v>0</v>
      </c>
      <c r="O225" s="7">
        <v>0</v>
      </c>
      <c r="P225" s="7">
        <v>4264.2956846608622</v>
      </c>
      <c r="Q225" s="7">
        <v>3346.6760861491371</v>
      </c>
      <c r="R225" s="113">
        <f t="shared" si="23"/>
        <v>0.15595075239398085</v>
      </c>
      <c r="S225" s="113">
        <f t="shared" si="24"/>
        <v>0</v>
      </c>
      <c r="T225" s="113">
        <f t="shared" si="25"/>
        <v>0</v>
      </c>
      <c r="U225" s="113">
        <f t="shared" si="26"/>
        <v>5.1983584131326949E-2</v>
      </c>
    </row>
    <row r="226" spans="1:21" x14ac:dyDescent="0.45">
      <c r="A226" s="95">
        <v>44786</v>
      </c>
      <c r="B226" s="96">
        <v>3655</v>
      </c>
      <c r="C226" s="7">
        <v>570</v>
      </c>
      <c r="D226" s="7">
        <f t="shared" si="21"/>
        <v>3085</v>
      </c>
      <c r="E226" s="97">
        <v>1370</v>
      </c>
      <c r="F226" s="7">
        <v>0</v>
      </c>
      <c r="G226" s="7">
        <f t="shared" si="22"/>
        <v>1370</v>
      </c>
      <c r="H226" s="98">
        <v>0</v>
      </c>
      <c r="I226" s="7">
        <v>0</v>
      </c>
      <c r="J226" s="7"/>
      <c r="K226" s="99">
        <f t="shared" si="27"/>
        <v>5025</v>
      </c>
      <c r="L226" s="7">
        <v>0</v>
      </c>
      <c r="M226" s="7">
        <v>0</v>
      </c>
      <c r="N226" s="7">
        <v>0</v>
      </c>
      <c r="O226" s="7">
        <v>0</v>
      </c>
      <c r="P226" s="7">
        <v>4264.2956846608622</v>
      </c>
      <c r="Q226" s="7">
        <v>3346.6760861491371</v>
      </c>
      <c r="R226" s="113">
        <f t="shared" si="23"/>
        <v>0.15595075239398085</v>
      </c>
      <c r="S226" s="113">
        <f t="shared" si="24"/>
        <v>0</v>
      </c>
      <c r="T226" s="113">
        <f t="shared" si="25"/>
        <v>0</v>
      </c>
      <c r="U226" s="113">
        <f t="shared" si="26"/>
        <v>5.1983584131326949E-2</v>
      </c>
    </row>
    <row r="227" spans="1:21" x14ac:dyDescent="0.45">
      <c r="A227" s="95">
        <v>44787</v>
      </c>
      <c r="B227" s="96">
        <v>3655</v>
      </c>
      <c r="C227" s="7">
        <v>570</v>
      </c>
      <c r="D227" s="7">
        <f t="shared" si="21"/>
        <v>3085</v>
      </c>
      <c r="E227" s="97">
        <v>1370</v>
      </c>
      <c r="F227" s="7">
        <v>0</v>
      </c>
      <c r="G227" s="7">
        <f t="shared" si="22"/>
        <v>1370</v>
      </c>
      <c r="H227" s="98">
        <v>0</v>
      </c>
      <c r="I227" s="7">
        <v>0</v>
      </c>
      <c r="J227" s="7"/>
      <c r="K227" s="99">
        <f t="shared" si="27"/>
        <v>5025</v>
      </c>
      <c r="L227" s="7">
        <v>0</v>
      </c>
      <c r="M227" s="7">
        <v>0</v>
      </c>
      <c r="N227" s="7">
        <v>0</v>
      </c>
      <c r="O227" s="7">
        <v>0</v>
      </c>
      <c r="P227" s="7">
        <v>4264.2956846608622</v>
      </c>
      <c r="Q227" s="7">
        <v>3346.6760861491371</v>
      </c>
      <c r="R227" s="113">
        <f t="shared" si="23"/>
        <v>0.15595075239398085</v>
      </c>
      <c r="S227" s="113">
        <f t="shared" si="24"/>
        <v>0</v>
      </c>
      <c r="T227" s="113">
        <f t="shared" si="25"/>
        <v>0</v>
      </c>
      <c r="U227" s="113">
        <f t="shared" si="26"/>
        <v>5.1983584131326949E-2</v>
      </c>
    </row>
    <row r="228" spans="1:21" x14ac:dyDescent="0.45">
      <c r="A228" s="95">
        <v>44788</v>
      </c>
      <c r="B228" s="96">
        <v>3655</v>
      </c>
      <c r="C228" s="7">
        <v>570</v>
      </c>
      <c r="D228" s="7">
        <f t="shared" si="21"/>
        <v>3085</v>
      </c>
      <c r="E228" s="97">
        <v>1370</v>
      </c>
      <c r="F228" s="7">
        <v>0</v>
      </c>
      <c r="G228" s="7">
        <f t="shared" si="22"/>
        <v>1370</v>
      </c>
      <c r="H228" s="98">
        <v>0</v>
      </c>
      <c r="I228" s="7">
        <v>0</v>
      </c>
      <c r="J228" s="7"/>
      <c r="K228" s="99">
        <f t="shared" si="27"/>
        <v>5025</v>
      </c>
      <c r="L228" s="7">
        <v>0</v>
      </c>
      <c r="M228" s="7">
        <v>0</v>
      </c>
      <c r="N228" s="7">
        <v>0</v>
      </c>
      <c r="O228" s="7">
        <v>0</v>
      </c>
      <c r="P228" s="7">
        <v>4264.2956846608622</v>
      </c>
      <c r="Q228" s="7">
        <v>2941.754152619138</v>
      </c>
      <c r="R228" s="113">
        <f t="shared" si="23"/>
        <v>0.15595075239398085</v>
      </c>
      <c r="S228" s="113">
        <f t="shared" si="24"/>
        <v>0</v>
      </c>
      <c r="T228" s="113">
        <f t="shared" si="25"/>
        <v>0</v>
      </c>
      <c r="U228" s="113">
        <f t="shared" si="26"/>
        <v>5.1983584131326949E-2</v>
      </c>
    </row>
    <row r="229" spans="1:21" x14ac:dyDescent="0.45">
      <c r="A229" s="95">
        <v>44789</v>
      </c>
      <c r="B229" s="96">
        <v>3655</v>
      </c>
      <c r="C229" s="7">
        <v>570</v>
      </c>
      <c r="D229" s="7">
        <f t="shared" si="21"/>
        <v>3085</v>
      </c>
      <c r="E229" s="97">
        <v>1370</v>
      </c>
      <c r="F229" s="7">
        <v>0</v>
      </c>
      <c r="G229" s="7">
        <f t="shared" si="22"/>
        <v>1370</v>
      </c>
      <c r="H229" s="98">
        <v>0</v>
      </c>
      <c r="I229" s="7">
        <v>0</v>
      </c>
      <c r="J229" s="7"/>
      <c r="K229" s="99">
        <f t="shared" si="27"/>
        <v>5025</v>
      </c>
      <c r="L229" s="7">
        <v>0</v>
      </c>
      <c r="M229" s="7">
        <v>0</v>
      </c>
      <c r="N229" s="7">
        <v>0</v>
      </c>
      <c r="O229" s="7">
        <v>0</v>
      </c>
      <c r="P229" s="7">
        <v>4264.2956846608622</v>
      </c>
      <c r="Q229" s="7">
        <v>2659.7815981691374</v>
      </c>
      <c r="R229" s="113">
        <f t="shared" si="23"/>
        <v>0.15595075239398085</v>
      </c>
      <c r="S229" s="113">
        <f t="shared" si="24"/>
        <v>0</v>
      </c>
      <c r="T229" s="113">
        <f t="shared" si="25"/>
        <v>0</v>
      </c>
      <c r="U229" s="113">
        <f t="shared" si="26"/>
        <v>5.1983584131326949E-2</v>
      </c>
    </row>
    <row r="230" spans="1:21" x14ac:dyDescent="0.45">
      <c r="A230" s="95">
        <v>44790</v>
      </c>
      <c r="B230" s="96">
        <v>3655</v>
      </c>
      <c r="C230" s="7">
        <v>570</v>
      </c>
      <c r="D230" s="7">
        <f t="shared" si="21"/>
        <v>3085</v>
      </c>
      <c r="E230" s="97">
        <v>1370</v>
      </c>
      <c r="F230" s="7">
        <v>0</v>
      </c>
      <c r="G230" s="7">
        <f t="shared" si="22"/>
        <v>1370</v>
      </c>
      <c r="H230" s="98">
        <v>0</v>
      </c>
      <c r="I230" s="7">
        <v>0</v>
      </c>
      <c r="J230" s="7"/>
      <c r="K230" s="99">
        <f t="shared" si="27"/>
        <v>5025</v>
      </c>
      <c r="L230" s="7">
        <v>0</v>
      </c>
      <c r="M230" s="7">
        <v>0</v>
      </c>
      <c r="N230" s="7">
        <v>0</v>
      </c>
      <c r="O230" s="7">
        <v>0</v>
      </c>
      <c r="P230" s="7">
        <v>4264.2956846608622</v>
      </c>
      <c r="Q230" s="7">
        <v>2294.2343569591385</v>
      </c>
      <c r="R230" s="113">
        <f t="shared" si="23"/>
        <v>0.15595075239398085</v>
      </c>
      <c r="S230" s="113">
        <f t="shared" si="24"/>
        <v>0</v>
      </c>
      <c r="T230" s="113">
        <f t="shared" si="25"/>
        <v>0</v>
      </c>
      <c r="U230" s="113">
        <f t="shared" si="26"/>
        <v>5.1983584131326949E-2</v>
      </c>
    </row>
    <row r="231" spans="1:21" x14ac:dyDescent="0.45">
      <c r="A231" s="95">
        <v>44791</v>
      </c>
      <c r="B231" s="96">
        <v>3655</v>
      </c>
      <c r="C231" s="7">
        <v>570</v>
      </c>
      <c r="D231" s="7">
        <f t="shared" si="21"/>
        <v>3085</v>
      </c>
      <c r="E231" s="97">
        <v>1370</v>
      </c>
      <c r="F231" s="7">
        <v>0</v>
      </c>
      <c r="G231" s="7">
        <f t="shared" si="22"/>
        <v>1370</v>
      </c>
      <c r="H231" s="98">
        <v>0</v>
      </c>
      <c r="I231" s="7">
        <v>0</v>
      </c>
      <c r="J231" s="7"/>
      <c r="K231" s="99">
        <f t="shared" si="27"/>
        <v>5025</v>
      </c>
      <c r="L231" s="7">
        <v>0</v>
      </c>
      <c r="M231" s="7">
        <v>0</v>
      </c>
      <c r="N231" s="7">
        <v>0</v>
      </c>
      <c r="O231" s="7">
        <v>0</v>
      </c>
      <c r="P231" s="7">
        <v>4264.2956846608622</v>
      </c>
      <c r="Q231" s="7">
        <v>2153.9890415391378</v>
      </c>
      <c r="R231" s="113">
        <f t="shared" si="23"/>
        <v>0.15595075239398085</v>
      </c>
      <c r="S231" s="113">
        <f t="shared" si="24"/>
        <v>0</v>
      </c>
      <c r="T231" s="113">
        <f t="shared" si="25"/>
        <v>0</v>
      </c>
      <c r="U231" s="113">
        <f t="shared" si="26"/>
        <v>5.1983584131326949E-2</v>
      </c>
    </row>
    <row r="232" spans="1:21" x14ac:dyDescent="0.45">
      <c r="A232" s="95">
        <v>44792</v>
      </c>
      <c r="B232" s="96">
        <v>3655</v>
      </c>
      <c r="C232" s="7">
        <v>570</v>
      </c>
      <c r="D232" s="7">
        <f t="shared" si="21"/>
        <v>3085</v>
      </c>
      <c r="E232" s="97">
        <v>1370</v>
      </c>
      <c r="F232" s="7">
        <v>0</v>
      </c>
      <c r="G232" s="7">
        <f t="shared" si="22"/>
        <v>1370</v>
      </c>
      <c r="H232" s="98">
        <v>0</v>
      </c>
      <c r="I232" s="7">
        <v>0</v>
      </c>
      <c r="J232" s="7"/>
      <c r="K232" s="99">
        <f t="shared" si="27"/>
        <v>5025</v>
      </c>
      <c r="L232" s="7">
        <v>0</v>
      </c>
      <c r="M232" s="7">
        <v>0</v>
      </c>
      <c r="N232" s="7">
        <v>0</v>
      </c>
      <c r="O232" s="7">
        <v>0</v>
      </c>
      <c r="P232" s="7">
        <v>4264.2956846608622</v>
      </c>
      <c r="Q232" s="7">
        <v>2426.4994784591377</v>
      </c>
      <c r="R232" s="113">
        <f t="shared" si="23"/>
        <v>0.15595075239398085</v>
      </c>
      <c r="S232" s="113">
        <f t="shared" si="24"/>
        <v>0</v>
      </c>
      <c r="T232" s="113">
        <f t="shared" si="25"/>
        <v>0</v>
      </c>
      <c r="U232" s="113">
        <f t="shared" si="26"/>
        <v>5.1983584131326949E-2</v>
      </c>
    </row>
    <row r="233" spans="1:21" x14ac:dyDescent="0.45">
      <c r="A233" s="95">
        <v>44793</v>
      </c>
      <c r="B233" s="96">
        <v>3655</v>
      </c>
      <c r="C233" s="7">
        <v>570</v>
      </c>
      <c r="D233" s="7">
        <f t="shared" si="21"/>
        <v>3085</v>
      </c>
      <c r="E233" s="97">
        <v>1370</v>
      </c>
      <c r="F233" s="7">
        <v>0</v>
      </c>
      <c r="G233" s="7">
        <f t="shared" si="22"/>
        <v>1370</v>
      </c>
      <c r="H233" s="98">
        <v>0</v>
      </c>
      <c r="I233" s="7">
        <v>0</v>
      </c>
      <c r="J233" s="7"/>
      <c r="K233" s="99">
        <f t="shared" si="27"/>
        <v>5025</v>
      </c>
      <c r="L233" s="7">
        <v>0</v>
      </c>
      <c r="M233" s="7">
        <v>0</v>
      </c>
      <c r="N233" s="7">
        <v>0</v>
      </c>
      <c r="O233" s="7">
        <v>0</v>
      </c>
      <c r="P233" s="7">
        <v>4264.2956846608622</v>
      </c>
      <c r="Q233" s="7">
        <v>2426.4994784591377</v>
      </c>
      <c r="R233" s="113">
        <f t="shared" si="23"/>
        <v>0.15595075239398085</v>
      </c>
      <c r="S233" s="113">
        <f t="shared" si="24"/>
        <v>0</v>
      </c>
      <c r="T233" s="113">
        <f t="shared" si="25"/>
        <v>0</v>
      </c>
      <c r="U233" s="113">
        <f t="shared" si="26"/>
        <v>5.1983584131326949E-2</v>
      </c>
    </row>
    <row r="234" spans="1:21" x14ac:dyDescent="0.45">
      <c r="A234" s="95">
        <v>44794</v>
      </c>
      <c r="B234" s="96">
        <v>3655</v>
      </c>
      <c r="C234" s="7">
        <v>570</v>
      </c>
      <c r="D234" s="7">
        <f t="shared" si="21"/>
        <v>3085</v>
      </c>
      <c r="E234" s="97">
        <v>1370</v>
      </c>
      <c r="F234" s="7">
        <v>0</v>
      </c>
      <c r="G234" s="7">
        <f t="shared" si="22"/>
        <v>1370</v>
      </c>
      <c r="H234" s="98">
        <v>0</v>
      </c>
      <c r="I234" s="7">
        <v>0</v>
      </c>
      <c r="J234" s="7"/>
      <c r="K234" s="99">
        <f t="shared" si="27"/>
        <v>5025</v>
      </c>
      <c r="L234" s="7">
        <v>0</v>
      </c>
      <c r="M234" s="7">
        <v>0</v>
      </c>
      <c r="N234" s="7">
        <v>0</v>
      </c>
      <c r="O234" s="7">
        <v>0</v>
      </c>
      <c r="P234" s="7">
        <v>4264.2956846608622</v>
      </c>
      <c r="Q234" s="7">
        <v>2426.4994784591377</v>
      </c>
      <c r="R234" s="113">
        <f t="shared" si="23"/>
        <v>0.15595075239398085</v>
      </c>
      <c r="S234" s="113">
        <f t="shared" si="24"/>
        <v>0</v>
      </c>
      <c r="T234" s="113">
        <f t="shared" si="25"/>
        <v>0</v>
      </c>
      <c r="U234" s="113">
        <f t="shared" si="26"/>
        <v>5.1983584131326949E-2</v>
      </c>
    </row>
    <row r="235" spans="1:21" x14ac:dyDescent="0.45">
      <c r="A235" s="95">
        <v>44795</v>
      </c>
      <c r="B235" s="96">
        <v>3655</v>
      </c>
      <c r="C235" s="7">
        <v>570</v>
      </c>
      <c r="D235" s="7">
        <f t="shared" si="21"/>
        <v>3085</v>
      </c>
      <c r="E235" s="97">
        <v>1370</v>
      </c>
      <c r="F235" s="7">
        <v>0</v>
      </c>
      <c r="G235" s="7">
        <f t="shared" si="22"/>
        <v>1370</v>
      </c>
      <c r="H235" s="98">
        <v>0</v>
      </c>
      <c r="I235" s="7">
        <v>0</v>
      </c>
      <c r="J235" s="7"/>
      <c r="K235" s="99">
        <f t="shared" si="27"/>
        <v>5025</v>
      </c>
      <c r="L235" s="7">
        <v>0</v>
      </c>
      <c r="M235" s="7">
        <v>0</v>
      </c>
      <c r="N235" s="7">
        <v>0</v>
      </c>
      <c r="O235" s="7">
        <v>0</v>
      </c>
      <c r="P235" s="7">
        <v>4264.2956846608622</v>
      </c>
      <c r="Q235" s="7">
        <v>2516.3368305491381</v>
      </c>
      <c r="R235" s="113">
        <f t="shared" si="23"/>
        <v>0.15595075239398085</v>
      </c>
      <c r="S235" s="113">
        <f t="shared" si="24"/>
        <v>0</v>
      </c>
      <c r="T235" s="113">
        <f t="shared" si="25"/>
        <v>0</v>
      </c>
      <c r="U235" s="113">
        <f t="shared" si="26"/>
        <v>5.1983584131326949E-2</v>
      </c>
    </row>
    <row r="236" spans="1:21" x14ac:dyDescent="0.45">
      <c r="A236" s="95">
        <v>44796</v>
      </c>
      <c r="B236" s="96">
        <v>3655</v>
      </c>
      <c r="C236" s="7">
        <v>570</v>
      </c>
      <c r="D236" s="7">
        <f t="shared" si="21"/>
        <v>3085</v>
      </c>
      <c r="E236" s="97">
        <v>1370</v>
      </c>
      <c r="F236" s="7">
        <v>0</v>
      </c>
      <c r="G236" s="7">
        <f t="shared" si="22"/>
        <v>1370</v>
      </c>
      <c r="H236" s="98">
        <v>0</v>
      </c>
      <c r="I236" s="7">
        <v>0</v>
      </c>
      <c r="J236" s="7"/>
      <c r="K236" s="99">
        <f t="shared" si="27"/>
        <v>5025</v>
      </c>
      <c r="L236" s="7">
        <v>0</v>
      </c>
      <c r="M236" s="7">
        <v>0</v>
      </c>
      <c r="N236" s="7">
        <v>0</v>
      </c>
      <c r="O236" s="7">
        <v>0</v>
      </c>
      <c r="P236" s="7">
        <v>4264.2956846608622</v>
      </c>
      <c r="Q236" s="7">
        <v>3100.5951712491378</v>
      </c>
      <c r="R236" s="113">
        <f t="shared" si="23"/>
        <v>0.15595075239398085</v>
      </c>
      <c r="S236" s="113">
        <f t="shared" si="24"/>
        <v>0</v>
      </c>
      <c r="T236" s="113">
        <f t="shared" si="25"/>
        <v>0</v>
      </c>
      <c r="U236" s="113">
        <f t="shared" si="26"/>
        <v>5.1983584131326949E-2</v>
      </c>
    </row>
    <row r="237" spans="1:21" x14ac:dyDescent="0.45">
      <c r="A237" s="95">
        <v>44797</v>
      </c>
      <c r="B237" s="96">
        <v>3655</v>
      </c>
      <c r="C237" s="7">
        <v>570</v>
      </c>
      <c r="D237" s="7">
        <f t="shared" si="21"/>
        <v>3085</v>
      </c>
      <c r="E237" s="97">
        <v>1370</v>
      </c>
      <c r="F237" s="7">
        <v>0</v>
      </c>
      <c r="G237" s="7">
        <f t="shared" si="22"/>
        <v>1370</v>
      </c>
      <c r="H237" s="98">
        <v>0</v>
      </c>
      <c r="I237" s="7">
        <v>0</v>
      </c>
      <c r="J237" s="7"/>
      <c r="K237" s="99">
        <f t="shared" si="27"/>
        <v>5025</v>
      </c>
      <c r="L237" s="7">
        <v>0</v>
      </c>
      <c r="M237" s="7">
        <v>0</v>
      </c>
      <c r="N237" s="7">
        <v>0</v>
      </c>
      <c r="O237" s="7">
        <v>0</v>
      </c>
      <c r="P237" s="7">
        <v>4264.2956846608622</v>
      </c>
      <c r="Q237" s="7">
        <v>2515.4334457891387</v>
      </c>
      <c r="R237" s="113">
        <f t="shared" si="23"/>
        <v>0.15595075239398085</v>
      </c>
      <c r="S237" s="113">
        <f t="shared" si="24"/>
        <v>0</v>
      </c>
      <c r="T237" s="113">
        <f t="shared" si="25"/>
        <v>0</v>
      </c>
      <c r="U237" s="113">
        <f t="shared" si="26"/>
        <v>5.1983584131326949E-2</v>
      </c>
    </row>
    <row r="238" spans="1:21" x14ac:dyDescent="0.45">
      <c r="A238" s="95">
        <v>44798</v>
      </c>
      <c r="B238" s="96">
        <v>3655</v>
      </c>
      <c r="C238" s="7">
        <v>570</v>
      </c>
      <c r="D238" s="7">
        <f t="shared" si="21"/>
        <v>3085</v>
      </c>
      <c r="E238" s="97">
        <v>1370</v>
      </c>
      <c r="F238" s="7">
        <v>0</v>
      </c>
      <c r="G238" s="7">
        <f t="shared" si="22"/>
        <v>1370</v>
      </c>
      <c r="H238" s="98">
        <v>0</v>
      </c>
      <c r="I238" s="7">
        <v>0</v>
      </c>
      <c r="J238" s="7"/>
      <c r="K238" s="99">
        <f t="shared" si="27"/>
        <v>5025</v>
      </c>
      <c r="L238" s="7">
        <v>0</v>
      </c>
      <c r="M238" s="7">
        <v>0</v>
      </c>
      <c r="N238" s="7">
        <v>0</v>
      </c>
      <c r="O238" s="7">
        <v>0</v>
      </c>
      <c r="P238" s="7">
        <v>4264.2956846608622</v>
      </c>
      <c r="Q238" s="7">
        <v>2984.3242224591381</v>
      </c>
      <c r="R238" s="113">
        <f t="shared" si="23"/>
        <v>0.15595075239398085</v>
      </c>
      <c r="S238" s="113">
        <f t="shared" si="24"/>
        <v>0</v>
      </c>
      <c r="T238" s="113">
        <f t="shared" si="25"/>
        <v>0</v>
      </c>
      <c r="U238" s="113">
        <f t="shared" si="26"/>
        <v>5.1983584131326949E-2</v>
      </c>
    </row>
    <row r="239" spans="1:21" x14ac:dyDescent="0.45">
      <c r="A239" s="95">
        <v>44799</v>
      </c>
      <c r="B239" s="96">
        <v>3655</v>
      </c>
      <c r="C239" s="7">
        <v>570</v>
      </c>
      <c r="D239" s="7">
        <f t="shared" si="21"/>
        <v>3085</v>
      </c>
      <c r="E239" s="97">
        <v>1370</v>
      </c>
      <c r="F239" s="7">
        <v>0</v>
      </c>
      <c r="G239" s="7">
        <f t="shared" si="22"/>
        <v>1370</v>
      </c>
      <c r="H239" s="98">
        <v>0</v>
      </c>
      <c r="I239" s="7">
        <v>0</v>
      </c>
      <c r="J239" s="7"/>
      <c r="K239" s="99">
        <f t="shared" si="27"/>
        <v>5025</v>
      </c>
      <c r="L239" s="7">
        <v>0</v>
      </c>
      <c r="M239" s="7">
        <v>0</v>
      </c>
      <c r="N239" s="7">
        <v>0</v>
      </c>
      <c r="O239" s="7">
        <v>0</v>
      </c>
      <c r="P239" s="7">
        <v>4264.2956846608622</v>
      </c>
      <c r="Q239" s="7">
        <v>2964.1903542791383</v>
      </c>
      <c r="R239" s="113">
        <f t="shared" si="23"/>
        <v>0.15595075239398085</v>
      </c>
      <c r="S239" s="113">
        <f t="shared" si="24"/>
        <v>0</v>
      </c>
      <c r="T239" s="113">
        <f t="shared" si="25"/>
        <v>0</v>
      </c>
      <c r="U239" s="113">
        <f t="shared" si="26"/>
        <v>5.1983584131326949E-2</v>
      </c>
    </row>
    <row r="240" spans="1:21" x14ac:dyDescent="0.45">
      <c r="A240" s="95">
        <v>44800</v>
      </c>
      <c r="B240" s="96">
        <v>3655</v>
      </c>
      <c r="C240" s="7">
        <v>570</v>
      </c>
      <c r="D240" s="7">
        <f t="shared" si="21"/>
        <v>3085</v>
      </c>
      <c r="E240" s="97">
        <v>1370</v>
      </c>
      <c r="F240" s="7">
        <v>0</v>
      </c>
      <c r="G240" s="7">
        <f t="shared" si="22"/>
        <v>1370</v>
      </c>
      <c r="H240" s="98">
        <v>0</v>
      </c>
      <c r="I240" s="7">
        <v>0</v>
      </c>
      <c r="J240" s="7"/>
      <c r="K240" s="99">
        <f t="shared" si="27"/>
        <v>5025</v>
      </c>
      <c r="L240" s="7">
        <v>0</v>
      </c>
      <c r="M240" s="7">
        <v>0</v>
      </c>
      <c r="N240" s="7">
        <v>0</v>
      </c>
      <c r="O240" s="7">
        <v>0</v>
      </c>
      <c r="P240" s="7">
        <v>4264.2956846608622</v>
      </c>
      <c r="Q240" s="7">
        <v>2964.1903542791383</v>
      </c>
      <c r="R240" s="113">
        <f t="shared" si="23"/>
        <v>0.15595075239398085</v>
      </c>
      <c r="S240" s="113">
        <f t="shared" si="24"/>
        <v>0</v>
      </c>
      <c r="T240" s="113">
        <f t="shared" si="25"/>
        <v>0</v>
      </c>
      <c r="U240" s="113">
        <f t="shared" si="26"/>
        <v>5.1983584131326949E-2</v>
      </c>
    </row>
    <row r="241" spans="1:21" x14ac:dyDescent="0.45">
      <c r="A241" s="95">
        <v>44801</v>
      </c>
      <c r="B241" s="96">
        <v>3655</v>
      </c>
      <c r="C241" s="7">
        <v>570</v>
      </c>
      <c r="D241" s="7">
        <f t="shared" si="21"/>
        <v>3085</v>
      </c>
      <c r="E241" s="97">
        <v>1370</v>
      </c>
      <c r="F241" s="7">
        <v>0</v>
      </c>
      <c r="G241" s="7">
        <f t="shared" si="22"/>
        <v>1370</v>
      </c>
      <c r="H241" s="98">
        <v>0</v>
      </c>
      <c r="I241" s="7">
        <v>0</v>
      </c>
      <c r="J241" s="7"/>
      <c r="K241" s="99">
        <f t="shared" si="27"/>
        <v>5025</v>
      </c>
      <c r="L241" s="7">
        <v>0</v>
      </c>
      <c r="M241" s="7">
        <v>0</v>
      </c>
      <c r="N241" s="7">
        <v>0</v>
      </c>
      <c r="O241" s="7">
        <v>0</v>
      </c>
      <c r="P241" s="7">
        <v>4264.2956846608622</v>
      </c>
      <c r="Q241" s="7">
        <v>2964.1903542791383</v>
      </c>
      <c r="R241" s="113">
        <f t="shared" si="23"/>
        <v>0.15595075239398085</v>
      </c>
      <c r="S241" s="113">
        <f t="shared" si="24"/>
        <v>0</v>
      </c>
      <c r="T241" s="113">
        <f t="shared" si="25"/>
        <v>0</v>
      </c>
      <c r="U241" s="113">
        <f t="shared" si="26"/>
        <v>5.1983584131326949E-2</v>
      </c>
    </row>
    <row r="242" spans="1:21" x14ac:dyDescent="0.45">
      <c r="A242" s="95">
        <v>44802</v>
      </c>
      <c r="B242" s="96">
        <v>3655</v>
      </c>
      <c r="C242" s="7">
        <v>570</v>
      </c>
      <c r="D242" s="7">
        <f t="shared" si="21"/>
        <v>3085</v>
      </c>
      <c r="E242" s="97">
        <v>1370</v>
      </c>
      <c r="F242" s="7">
        <v>0</v>
      </c>
      <c r="G242" s="7">
        <f t="shared" si="22"/>
        <v>1370</v>
      </c>
      <c r="H242" s="98">
        <v>0</v>
      </c>
      <c r="I242" s="7">
        <v>0</v>
      </c>
      <c r="J242" s="7"/>
      <c r="K242" s="99">
        <f t="shared" si="27"/>
        <v>5025</v>
      </c>
      <c r="L242" s="7">
        <v>0</v>
      </c>
      <c r="M242" s="7">
        <v>0</v>
      </c>
      <c r="N242" s="7">
        <v>0</v>
      </c>
      <c r="O242" s="7">
        <v>0</v>
      </c>
      <c r="P242" s="7">
        <v>4264.2956846608622</v>
      </c>
      <c r="Q242" s="7">
        <v>2769.513908799137</v>
      </c>
      <c r="R242" s="113">
        <f t="shared" si="23"/>
        <v>0.15595075239398085</v>
      </c>
      <c r="S242" s="113">
        <f t="shared" si="24"/>
        <v>0</v>
      </c>
      <c r="T242" s="113">
        <f t="shared" si="25"/>
        <v>0</v>
      </c>
      <c r="U242" s="113">
        <f t="shared" si="26"/>
        <v>5.1983584131326949E-2</v>
      </c>
    </row>
    <row r="243" spans="1:21" x14ac:dyDescent="0.45">
      <c r="A243" s="95">
        <v>44803</v>
      </c>
      <c r="B243" s="96">
        <v>3655</v>
      </c>
      <c r="C243" s="7">
        <v>570</v>
      </c>
      <c r="D243" s="7">
        <f t="shared" si="21"/>
        <v>3085</v>
      </c>
      <c r="E243" s="97">
        <v>1370</v>
      </c>
      <c r="F243" s="7">
        <v>0</v>
      </c>
      <c r="G243" s="7">
        <f t="shared" si="22"/>
        <v>1370</v>
      </c>
      <c r="H243" s="98">
        <v>0</v>
      </c>
      <c r="I243" s="7">
        <v>0</v>
      </c>
      <c r="J243" s="7"/>
      <c r="K243" s="99">
        <f t="shared" si="27"/>
        <v>5025</v>
      </c>
      <c r="L243" s="7">
        <v>0</v>
      </c>
      <c r="M243" s="7">
        <v>0</v>
      </c>
      <c r="N243" s="7">
        <v>0</v>
      </c>
      <c r="O243" s="7">
        <v>0</v>
      </c>
      <c r="P243" s="7">
        <v>4264.2956846608622</v>
      </c>
      <c r="Q243" s="7">
        <v>2804.8025741391375</v>
      </c>
      <c r="R243" s="113">
        <f t="shared" si="23"/>
        <v>0.15595075239398085</v>
      </c>
      <c r="S243" s="113">
        <f t="shared" si="24"/>
        <v>0</v>
      </c>
      <c r="T243" s="113">
        <f t="shared" si="25"/>
        <v>0</v>
      </c>
      <c r="U243" s="113">
        <f t="shared" si="26"/>
        <v>5.1983584131326949E-2</v>
      </c>
    </row>
    <row r="244" spans="1:21" x14ac:dyDescent="0.45">
      <c r="A244" s="95">
        <v>44804</v>
      </c>
      <c r="B244" s="96">
        <v>3535</v>
      </c>
      <c r="C244" s="7">
        <v>570</v>
      </c>
      <c r="D244" s="7">
        <f t="shared" si="21"/>
        <v>2965</v>
      </c>
      <c r="E244" s="97">
        <v>1370</v>
      </c>
      <c r="F244" s="7">
        <v>0</v>
      </c>
      <c r="G244" s="7">
        <f t="shared" si="22"/>
        <v>1370</v>
      </c>
      <c r="H244" s="98">
        <v>0</v>
      </c>
      <c r="I244" s="7">
        <v>0</v>
      </c>
      <c r="J244" s="7"/>
      <c r="K244" s="99">
        <f t="shared" si="27"/>
        <v>4905</v>
      </c>
      <c r="L244" s="7">
        <v>0</v>
      </c>
      <c r="M244" s="7">
        <v>0</v>
      </c>
      <c r="N244" s="7">
        <v>0</v>
      </c>
      <c r="O244" s="7">
        <v>0</v>
      </c>
      <c r="P244" s="7">
        <v>4264.2956846608622</v>
      </c>
      <c r="Q244" s="7">
        <v>2555.8267417791376</v>
      </c>
      <c r="R244" s="113">
        <f t="shared" si="23"/>
        <v>0.16124469589816123</v>
      </c>
      <c r="S244" s="113">
        <f t="shared" si="24"/>
        <v>0</v>
      </c>
      <c r="T244" s="113">
        <f t="shared" si="25"/>
        <v>0</v>
      </c>
      <c r="U244" s="113">
        <f t="shared" si="26"/>
        <v>5.3748231966053744E-2</v>
      </c>
    </row>
    <row r="245" spans="1:21" x14ac:dyDescent="0.45">
      <c r="A245" s="95">
        <v>44805</v>
      </c>
      <c r="B245" s="96">
        <v>3535</v>
      </c>
      <c r="C245" s="7">
        <v>570</v>
      </c>
      <c r="D245" s="7">
        <f t="shared" si="21"/>
        <v>2965</v>
      </c>
      <c r="E245" s="97">
        <v>1370</v>
      </c>
      <c r="F245" s="7">
        <v>0</v>
      </c>
      <c r="G245" s="7">
        <f t="shared" si="22"/>
        <v>1370</v>
      </c>
      <c r="H245" s="98">
        <v>0</v>
      </c>
      <c r="I245" s="7">
        <v>0</v>
      </c>
      <c r="J245" s="7"/>
      <c r="K245" s="99">
        <f t="shared" si="27"/>
        <v>4905</v>
      </c>
      <c r="L245" s="7">
        <v>0</v>
      </c>
      <c r="M245" s="7">
        <v>0</v>
      </c>
      <c r="N245" s="7">
        <v>0</v>
      </c>
      <c r="O245" s="7">
        <v>0</v>
      </c>
      <c r="P245" s="7">
        <v>4264.2956846608622</v>
      </c>
      <c r="Q245" s="7">
        <v>2721.6244718191379</v>
      </c>
      <c r="R245" s="113">
        <f t="shared" si="23"/>
        <v>0.16124469589816123</v>
      </c>
      <c r="S245" s="113">
        <f t="shared" si="24"/>
        <v>0</v>
      </c>
      <c r="T245" s="113">
        <f t="shared" si="25"/>
        <v>0</v>
      </c>
      <c r="U245" s="113">
        <f t="shared" si="26"/>
        <v>5.3748231966053744E-2</v>
      </c>
    </row>
    <row r="246" spans="1:21" x14ac:dyDescent="0.45">
      <c r="A246" s="95">
        <v>44806</v>
      </c>
      <c r="B246" s="96">
        <v>3535</v>
      </c>
      <c r="C246" s="7">
        <v>570</v>
      </c>
      <c r="D246" s="7">
        <f t="shared" si="21"/>
        <v>2965</v>
      </c>
      <c r="E246" s="97">
        <v>1370</v>
      </c>
      <c r="F246" s="7">
        <v>0</v>
      </c>
      <c r="G246" s="7">
        <f t="shared" si="22"/>
        <v>1370</v>
      </c>
      <c r="H246" s="98">
        <v>0</v>
      </c>
      <c r="I246" s="7">
        <v>0</v>
      </c>
      <c r="J246" s="7"/>
      <c r="K246" s="99">
        <f t="shared" si="27"/>
        <v>4905</v>
      </c>
      <c r="L246" s="7">
        <v>0</v>
      </c>
      <c r="M246" s="7">
        <v>0</v>
      </c>
      <c r="N246" s="7">
        <v>0</v>
      </c>
      <c r="O246" s="7">
        <v>0</v>
      </c>
      <c r="P246" s="7">
        <v>4264.2956846608622</v>
      </c>
      <c r="Q246" s="7">
        <v>2721.6342053991384</v>
      </c>
      <c r="R246" s="113">
        <f t="shared" si="23"/>
        <v>0.16124469589816123</v>
      </c>
      <c r="S246" s="113">
        <f t="shared" si="24"/>
        <v>0</v>
      </c>
      <c r="T246" s="113">
        <f t="shared" si="25"/>
        <v>0</v>
      </c>
      <c r="U246" s="113">
        <f t="shared" si="26"/>
        <v>5.3748231966053744E-2</v>
      </c>
    </row>
    <row r="247" spans="1:21" x14ac:dyDescent="0.45">
      <c r="A247" s="95">
        <v>44807</v>
      </c>
      <c r="B247" s="96">
        <v>3535</v>
      </c>
      <c r="C247" s="7">
        <v>570</v>
      </c>
      <c r="D247" s="7">
        <f t="shared" si="21"/>
        <v>2965</v>
      </c>
      <c r="E247" s="97">
        <v>1370</v>
      </c>
      <c r="F247" s="7">
        <v>0</v>
      </c>
      <c r="G247" s="7">
        <f t="shared" si="22"/>
        <v>1370</v>
      </c>
      <c r="H247" s="98">
        <v>0</v>
      </c>
      <c r="I247" s="7">
        <v>0</v>
      </c>
      <c r="J247" s="7"/>
      <c r="K247" s="99">
        <f t="shared" si="27"/>
        <v>4905</v>
      </c>
      <c r="L247" s="7">
        <v>0</v>
      </c>
      <c r="M247" s="7">
        <v>0</v>
      </c>
      <c r="N247" s="7">
        <v>0</v>
      </c>
      <c r="O247" s="7">
        <v>0</v>
      </c>
      <c r="P247" s="7">
        <v>4264.2956846608622</v>
      </c>
      <c r="Q247" s="7">
        <v>2721.6342053991384</v>
      </c>
      <c r="R247" s="113">
        <f t="shared" si="23"/>
        <v>0.16124469589816123</v>
      </c>
      <c r="S247" s="113">
        <f t="shared" si="24"/>
        <v>0</v>
      </c>
      <c r="T247" s="113">
        <f t="shared" si="25"/>
        <v>0</v>
      </c>
      <c r="U247" s="113">
        <f t="shared" si="26"/>
        <v>5.3748231966053744E-2</v>
      </c>
    </row>
    <row r="248" spans="1:21" x14ac:dyDescent="0.45">
      <c r="A248" s="95">
        <v>44808</v>
      </c>
      <c r="B248" s="96">
        <v>3535</v>
      </c>
      <c r="C248" s="7">
        <v>570</v>
      </c>
      <c r="D248" s="7">
        <f t="shared" si="21"/>
        <v>2965</v>
      </c>
      <c r="E248" s="97">
        <v>1370</v>
      </c>
      <c r="F248" s="7">
        <v>0</v>
      </c>
      <c r="G248" s="7">
        <f t="shared" si="22"/>
        <v>1370</v>
      </c>
      <c r="H248" s="98">
        <v>0</v>
      </c>
      <c r="I248" s="7">
        <v>0</v>
      </c>
      <c r="J248" s="7"/>
      <c r="K248" s="99">
        <f t="shared" si="27"/>
        <v>4905</v>
      </c>
      <c r="L248" s="7">
        <v>0</v>
      </c>
      <c r="M248" s="7">
        <v>0</v>
      </c>
      <c r="N248" s="7">
        <v>0</v>
      </c>
      <c r="O248" s="7">
        <v>0</v>
      </c>
      <c r="P248" s="7">
        <v>4264.2956846608622</v>
      </c>
      <c r="Q248" s="7">
        <v>2721.6342053991384</v>
      </c>
      <c r="R248" s="113">
        <f t="shared" si="23"/>
        <v>0.16124469589816123</v>
      </c>
      <c r="S248" s="113">
        <f t="shared" si="24"/>
        <v>0</v>
      </c>
      <c r="T248" s="113">
        <f t="shared" si="25"/>
        <v>0</v>
      </c>
      <c r="U248" s="113">
        <f t="shared" si="26"/>
        <v>5.3748231966053744E-2</v>
      </c>
    </row>
    <row r="249" spans="1:21" x14ac:dyDescent="0.45">
      <c r="A249" s="95">
        <v>44809</v>
      </c>
      <c r="B249" s="96">
        <v>3535</v>
      </c>
      <c r="C249" s="7">
        <v>570</v>
      </c>
      <c r="D249" s="7">
        <f t="shared" si="21"/>
        <v>2965</v>
      </c>
      <c r="E249" s="97">
        <v>1370</v>
      </c>
      <c r="F249" s="7">
        <v>0</v>
      </c>
      <c r="G249" s="7">
        <f t="shared" si="22"/>
        <v>1370</v>
      </c>
      <c r="H249" s="98">
        <v>0</v>
      </c>
      <c r="I249" s="7">
        <v>0</v>
      </c>
      <c r="J249" s="7"/>
      <c r="K249" s="99">
        <f t="shared" si="27"/>
        <v>4905</v>
      </c>
      <c r="L249" s="7">
        <v>0</v>
      </c>
      <c r="M249" s="7">
        <v>0</v>
      </c>
      <c r="N249" s="7">
        <v>0</v>
      </c>
      <c r="O249" s="7">
        <v>0</v>
      </c>
      <c r="P249" s="7">
        <v>4272.9214019600477</v>
      </c>
      <c r="Q249" s="7">
        <v>2460.2679730299515</v>
      </c>
      <c r="R249" s="113">
        <f t="shared" si="23"/>
        <v>0.16124469589816123</v>
      </c>
      <c r="S249" s="113">
        <f t="shared" si="24"/>
        <v>0</v>
      </c>
      <c r="T249" s="113">
        <f t="shared" si="25"/>
        <v>0</v>
      </c>
      <c r="U249" s="113">
        <f t="shared" si="26"/>
        <v>5.3748231966053744E-2</v>
      </c>
    </row>
    <row r="250" spans="1:21" x14ac:dyDescent="0.45">
      <c r="A250" s="95">
        <v>44810</v>
      </c>
      <c r="B250" s="96">
        <v>3535</v>
      </c>
      <c r="C250" s="7">
        <v>570</v>
      </c>
      <c r="D250" s="7">
        <f t="shared" si="21"/>
        <v>2965</v>
      </c>
      <c r="E250" s="97">
        <v>1370</v>
      </c>
      <c r="F250" s="7">
        <v>0</v>
      </c>
      <c r="G250" s="7">
        <f t="shared" si="22"/>
        <v>1370</v>
      </c>
      <c r="H250" s="98">
        <v>0</v>
      </c>
      <c r="I250" s="7">
        <v>0</v>
      </c>
      <c r="J250" s="7"/>
      <c r="K250" s="99">
        <f t="shared" si="27"/>
        <v>4905</v>
      </c>
      <c r="L250" s="7">
        <v>0</v>
      </c>
      <c r="M250" s="7">
        <v>0</v>
      </c>
      <c r="N250" s="7">
        <v>0</v>
      </c>
      <c r="O250" s="7">
        <v>0</v>
      </c>
      <c r="P250" s="7">
        <v>4272.9214019600477</v>
      </c>
      <c r="Q250" s="7">
        <v>1976.3889223199517</v>
      </c>
      <c r="R250" s="113">
        <f t="shared" si="23"/>
        <v>0.16124469589816123</v>
      </c>
      <c r="S250" s="113">
        <f t="shared" si="24"/>
        <v>0</v>
      </c>
      <c r="T250" s="113">
        <f t="shared" si="25"/>
        <v>0</v>
      </c>
      <c r="U250" s="113">
        <f t="shared" si="26"/>
        <v>5.3748231966053744E-2</v>
      </c>
    </row>
    <row r="251" spans="1:21" x14ac:dyDescent="0.45">
      <c r="A251" s="95">
        <v>44811</v>
      </c>
      <c r="B251" s="96">
        <v>3535</v>
      </c>
      <c r="C251" s="7">
        <v>570</v>
      </c>
      <c r="D251" s="7">
        <f t="shared" si="21"/>
        <v>2965</v>
      </c>
      <c r="E251" s="97">
        <v>1370</v>
      </c>
      <c r="F251" s="7">
        <v>0</v>
      </c>
      <c r="G251" s="7">
        <f t="shared" si="22"/>
        <v>1370</v>
      </c>
      <c r="H251" s="98">
        <v>0</v>
      </c>
      <c r="I251" s="7">
        <v>0</v>
      </c>
      <c r="J251" s="7"/>
      <c r="K251" s="99">
        <f t="shared" si="27"/>
        <v>4905</v>
      </c>
      <c r="L251" s="7">
        <v>0</v>
      </c>
      <c r="M251" s="7">
        <v>0</v>
      </c>
      <c r="N251" s="7">
        <v>0</v>
      </c>
      <c r="O251" s="7">
        <v>0</v>
      </c>
      <c r="P251" s="7">
        <v>4272.9214019600477</v>
      </c>
      <c r="Q251" s="7">
        <v>1568.4567777399511</v>
      </c>
      <c r="R251" s="113">
        <f t="shared" si="23"/>
        <v>0.16124469589816123</v>
      </c>
      <c r="S251" s="113">
        <f t="shared" si="24"/>
        <v>0</v>
      </c>
      <c r="T251" s="113">
        <f t="shared" si="25"/>
        <v>0</v>
      </c>
      <c r="U251" s="113">
        <f t="shared" si="26"/>
        <v>5.3748231966053744E-2</v>
      </c>
    </row>
    <row r="252" spans="1:21" x14ac:dyDescent="0.45">
      <c r="A252" s="95">
        <v>44812</v>
      </c>
      <c r="B252" s="96">
        <v>3535</v>
      </c>
      <c r="C252" s="7">
        <v>450</v>
      </c>
      <c r="D252" s="7">
        <f t="shared" si="21"/>
        <v>3085</v>
      </c>
      <c r="E252" s="97">
        <v>1370</v>
      </c>
      <c r="F252" s="7">
        <v>0</v>
      </c>
      <c r="G252" s="7">
        <f t="shared" si="22"/>
        <v>1370</v>
      </c>
      <c r="H252" s="98">
        <v>0</v>
      </c>
      <c r="I252" s="7">
        <v>0</v>
      </c>
      <c r="J252" s="7"/>
      <c r="K252" s="99">
        <f t="shared" si="27"/>
        <v>4905</v>
      </c>
      <c r="L252" s="7">
        <v>0</v>
      </c>
      <c r="M252" s="7">
        <v>0</v>
      </c>
      <c r="N252" s="7">
        <v>0</v>
      </c>
      <c r="O252" s="7">
        <v>0</v>
      </c>
      <c r="P252" s="7">
        <v>4272.9214019600477</v>
      </c>
      <c r="Q252" s="7">
        <v>3151.6986375499514</v>
      </c>
      <c r="R252" s="113">
        <f t="shared" si="23"/>
        <v>0.12729844413012731</v>
      </c>
      <c r="S252" s="113">
        <f t="shared" si="24"/>
        <v>0</v>
      </c>
      <c r="T252" s="113">
        <f t="shared" si="25"/>
        <v>0</v>
      </c>
      <c r="U252" s="113">
        <f t="shared" si="26"/>
        <v>4.2432814710042434E-2</v>
      </c>
    </row>
    <row r="253" spans="1:21" x14ac:dyDescent="0.45">
      <c r="A253" s="95">
        <v>44813</v>
      </c>
      <c r="B253" s="96">
        <v>3535</v>
      </c>
      <c r="C253" s="7">
        <v>450</v>
      </c>
      <c r="D253" s="7">
        <f t="shared" si="21"/>
        <v>3085</v>
      </c>
      <c r="E253" s="97">
        <v>1370</v>
      </c>
      <c r="F253" s="7">
        <v>0</v>
      </c>
      <c r="G253" s="7">
        <f t="shared" si="22"/>
        <v>1370</v>
      </c>
      <c r="H253" s="98">
        <v>0</v>
      </c>
      <c r="I253" s="7">
        <v>0</v>
      </c>
      <c r="J253" s="7"/>
      <c r="K253" s="99">
        <f t="shared" si="27"/>
        <v>4905</v>
      </c>
      <c r="L253" s="7">
        <v>0</v>
      </c>
      <c r="M253" s="7">
        <v>0</v>
      </c>
      <c r="N253" s="7">
        <v>0</v>
      </c>
      <c r="O253" s="7">
        <v>0</v>
      </c>
      <c r="P253" s="7">
        <v>4272.9214019600477</v>
      </c>
      <c r="Q253" s="7">
        <v>3398.0094919899511</v>
      </c>
      <c r="R253" s="113">
        <f t="shared" si="23"/>
        <v>0.12729844413012731</v>
      </c>
      <c r="S253" s="113">
        <f t="shared" si="24"/>
        <v>0</v>
      </c>
      <c r="T253" s="113">
        <f t="shared" si="25"/>
        <v>0</v>
      </c>
      <c r="U253" s="113">
        <f t="shared" si="26"/>
        <v>4.2432814710042434E-2</v>
      </c>
    </row>
    <row r="254" spans="1:21" x14ac:dyDescent="0.45">
      <c r="A254" s="95">
        <v>44814</v>
      </c>
      <c r="B254" s="96">
        <v>3535</v>
      </c>
      <c r="C254" s="7">
        <v>450</v>
      </c>
      <c r="D254" s="7">
        <f t="shared" si="21"/>
        <v>3085</v>
      </c>
      <c r="E254" s="97">
        <v>1370</v>
      </c>
      <c r="F254" s="7">
        <v>0</v>
      </c>
      <c r="G254" s="7">
        <f t="shared" si="22"/>
        <v>1370</v>
      </c>
      <c r="H254" s="98">
        <v>0</v>
      </c>
      <c r="I254" s="7">
        <v>0</v>
      </c>
      <c r="J254" s="7"/>
      <c r="K254" s="99">
        <f t="shared" si="27"/>
        <v>4905</v>
      </c>
      <c r="L254" s="7">
        <v>0</v>
      </c>
      <c r="M254" s="7">
        <v>0</v>
      </c>
      <c r="N254" s="7">
        <v>0</v>
      </c>
      <c r="O254" s="7">
        <v>0</v>
      </c>
      <c r="P254" s="7">
        <v>4272.9214019600477</v>
      </c>
      <c r="Q254" s="7">
        <v>3398.0094919899511</v>
      </c>
      <c r="R254" s="113">
        <f t="shared" si="23"/>
        <v>0.12729844413012731</v>
      </c>
      <c r="S254" s="113">
        <f t="shared" si="24"/>
        <v>0</v>
      </c>
      <c r="T254" s="113">
        <f t="shared" si="25"/>
        <v>0</v>
      </c>
      <c r="U254" s="113">
        <f t="shared" si="26"/>
        <v>4.2432814710042434E-2</v>
      </c>
    </row>
    <row r="255" spans="1:21" x14ac:dyDescent="0.45">
      <c r="A255" s="95">
        <v>44815</v>
      </c>
      <c r="B255" s="96">
        <v>3535</v>
      </c>
      <c r="C255" s="7">
        <v>450</v>
      </c>
      <c r="D255" s="7">
        <f t="shared" si="21"/>
        <v>3085</v>
      </c>
      <c r="E255" s="97">
        <v>1370</v>
      </c>
      <c r="F255" s="7">
        <v>0</v>
      </c>
      <c r="G255" s="7">
        <f t="shared" si="22"/>
        <v>1370</v>
      </c>
      <c r="H255" s="98">
        <v>0</v>
      </c>
      <c r="I255" s="7">
        <v>0</v>
      </c>
      <c r="J255" s="7"/>
      <c r="K255" s="99">
        <f t="shared" si="27"/>
        <v>4905</v>
      </c>
      <c r="L255" s="7">
        <v>0</v>
      </c>
      <c r="M255" s="7">
        <v>0</v>
      </c>
      <c r="N255" s="7">
        <v>0</v>
      </c>
      <c r="O255" s="7">
        <v>0</v>
      </c>
      <c r="P255" s="7">
        <v>4272.9214019600477</v>
      </c>
      <c r="Q255" s="7">
        <v>3398.0094919899511</v>
      </c>
      <c r="R255" s="113">
        <f t="shared" si="23"/>
        <v>0.12729844413012731</v>
      </c>
      <c r="S255" s="113">
        <f t="shared" si="24"/>
        <v>0</v>
      </c>
      <c r="T255" s="113">
        <f t="shared" si="25"/>
        <v>0</v>
      </c>
      <c r="U255" s="113">
        <f t="shared" si="26"/>
        <v>4.2432814710042434E-2</v>
      </c>
    </row>
    <row r="256" spans="1:21" x14ac:dyDescent="0.45">
      <c r="A256" s="95">
        <v>44816</v>
      </c>
      <c r="B256" s="96">
        <v>3535</v>
      </c>
      <c r="C256" s="7">
        <v>450</v>
      </c>
      <c r="D256" s="7">
        <f t="shared" si="21"/>
        <v>3085</v>
      </c>
      <c r="E256" s="97">
        <v>1370</v>
      </c>
      <c r="F256" s="7">
        <v>0</v>
      </c>
      <c r="G256" s="7">
        <f t="shared" si="22"/>
        <v>1370</v>
      </c>
      <c r="H256" s="98">
        <v>0</v>
      </c>
      <c r="I256" s="7">
        <v>0</v>
      </c>
      <c r="J256" s="7"/>
      <c r="K256" s="99">
        <f t="shared" si="27"/>
        <v>4905</v>
      </c>
      <c r="L256" s="7">
        <v>0</v>
      </c>
      <c r="M256" s="7">
        <v>0</v>
      </c>
      <c r="N256" s="7">
        <v>0</v>
      </c>
      <c r="O256" s="7">
        <v>0</v>
      </c>
      <c r="P256" s="7">
        <v>4272.9214019600477</v>
      </c>
      <c r="Q256" s="7">
        <v>3492.8116747099502</v>
      </c>
      <c r="R256" s="113">
        <f t="shared" si="23"/>
        <v>0.12729844413012731</v>
      </c>
      <c r="S256" s="113">
        <f t="shared" si="24"/>
        <v>0</v>
      </c>
      <c r="T256" s="113">
        <f t="shared" si="25"/>
        <v>0</v>
      </c>
      <c r="U256" s="113">
        <f t="shared" si="26"/>
        <v>4.2432814710042434E-2</v>
      </c>
    </row>
    <row r="257" spans="1:21" x14ac:dyDescent="0.45">
      <c r="A257" s="95">
        <v>44817</v>
      </c>
      <c r="B257" s="96">
        <v>3535</v>
      </c>
      <c r="C257" s="7">
        <v>450</v>
      </c>
      <c r="D257" s="7">
        <f t="shared" si="21"/>
        <v>3085</v>
      </c>
      <c r="E257" s="97">
        <v>1370</v>
      </c>
      <c r="F257" s="7">
        <v>0</v>
      </c>
      <c r="G257" s="7">
        <f t="shared" si="22"/>
        <v>1370</v>
      </c>
      <c r="H257" s="98">
        <v>0</v>
      </c>
      <c r="I257" s="7">
        <v>0</v>
      </c>
      <c r="J257" s="7"/>
      <c r="K257" s="99">
        <f t="shared" si="27"/>
        <v>4905</v>
      </c>
      <c r="L257" s="7">
        <v>0</v>
      </c>
      <c r="M257" s="7">
        <v>0</v>
      </c>
      <c r="N257" s="7">
        <v>0</v>
      </c>
      <c r="O257" s="7">
        <v>0</v>
      </c>
      <c r="P257" s="7">
        <v>4272.9214019600477</v>
      </c>
      <c r="Q257" s="7">
        <v>3481.866718599952</v>
      </c>
      <c r="R257" s="113">
        <f t="shared" si="23"/>
        <v>0.12729844413012731</v>
      </c>
      <c r="S257" s="113">
        <f t="shared" si="24"/>
        <v>0</v>
      </c>
      <c r="T257" s="113">
        <f t="shared" si="25"/>
        <v>0</v>
      </c>
      <c r="U257" s="113">
        <f t="shared" si="26"/>
        <v>4.2432814710042434E-2</v>
      </c>
    </row>
    <row r="258" spans="1:21" x14ac:dyDescent="0.45">
      <c r="A258" s="95">
        <v>44818</v>
      </c>
      <c r="B258" s="96">
        <v>3435</v>
      </c>
      <c r="C258" s="7">
        <v>450</v>
      </c>
      <c r="D258" s="7">
        <f t="shared" ref="D258:D321" si="28">B258-C258</f>
        <v>2985</v>
      </c>
      <c r="E258" s="97">
        <v>1370</v>
      </c>
      <c r="F258" s="7">
        <v>0</v>
      </c>
      <c r="G258" s="7">
        <f t="shared" ref="G258:G321" si="29">E258-F258</f>
        <v>1370</v>
      </c>
      <c r="H258" s="98">
        <v>0</v>
      </c>
      <c r="I258" s="7">
        <v>0</v>
      </c>
      <c r="J258" s="7"/>
      <c r="K258" s="99">
        <f t="shared" si="27"/>
        <v>4805</v>
      </c>
      <c r="L258" s="7">
        <v>0</v>
      </c>
      <c r="M258" s="7">
        <v>0</v>
      </c>
      <c r="N258" s="7">
        <v>0</v>
      </c>
      <c r="O258" s="7">
        <v>0</v>
      </c>
      <c r="P258" s="7">
        <v>4272.9214019600477</v>
      </c>
      <c r="Q258" s="7">
        <v>2057.3801464299513</v>
      </c>
      <c r="R258" s="113">
        <f t="shared" si="23"/>
        <v>0.13100436681222707</v>
      </c>
      <c r="S258" s="113">
        <f t="shared" si="24"/>
        <v>0</v>
      </c>
      <c r="T258" s="113">
        <f t="shared" si="25"/>
        <v>0</v>
      </c>
      <c r="U258" s="113">
        <f t="shared" si="26"/>
        <v>4.3668122270742356E-2</v>
      </c>
    </row>
    <row r="259" spans="1:21" x14ac:dyDescent="0.45">
      <c r="A259" s="95">
        <v>44819</v>
      </c>
      <c r="B259" s="96">
        <v>3435</v>
      </c>
      <c r="C259" s="7">
        <v>350</v>
      </c>
      <c r="D259" s="7">
        <f t="shared" si="28"/>
        <v>3085</v>
      </c>
      <c r="E259" s="97">
        <v>1370</v>
      </c>
      <c r="F259" s="7">
        <v>0</v>
      </c>
      <c r="G259" s="7">
        <f t="shared" si="29"/>
        <v>1370</v>
      </c>
      <c r="H259" s="98">
        <v>0</v>
      </c>
      <c r="I259" s="7">
        <v>0</v>
      </c>
      <c r="J259" s="7"/>
      <c r="K259" s="99">
        <f t="shared" si="27"/>
        <v>4805</v>
      </c>
      <c r="L259" s="7">
        <v>0</v>
      </c>
      <c r="M259" s="7">
        <v>0</v>
      </c>
      <c r="N259" s="7">
        <v>0</v>
      </c>
      <c r="O259" s="7">
        <v>0</v>
      </c>
      <c r="P259" s="7">
        <v>4272.9214019600477</v>
      </c>
      <c r="Q259" s="7">
        <v>2191.0258928699518</v>
      </c>
      <c r="R259" s="113">
        <f t="shared" ref="R259:R322" si="30">C259/B259</f>
        <v>0.10189228529839883</v>
      </c>
      <c r="S259" s="113">
        <f t="shared" ref="S259:S322" si="31">F259/E259</f>
        <v>0</v>
      </c>
      <c r="T259" s="113">
        <f t="shared" ref="T259:T322" si="32">IF(H259=0,0,I259/H259)</f>
        <v>0</v>
      </c>
      <c r="U259" s="113">
        <f t="shared" ref="U259:U322" si="33">AVERAGE(R259:T259)</f>
        <v>3.3964095099466275E-2</v>
      </c>
    </row>
    <row r="260" spans="1:21" x14ac:dyDescent="0.45">
      <c r="A260" s="95">
        <v>44820</v>
      </c>
      <c r="B260" s="96">
        <v>3435</v>
      </c>
      <c r="C260" s="7">
        <v>350</v>
      </c>
      <c r="D260" s="7">
        <f t="shared" si="28"/>
        <v>3085</v>
      </c>
      <c r="E260" s="97">
        <v>1370</v>
      </c>
      <c r="F260" s="7">
        <v>0</v>
      </c>
      <c r="G260" s="7">
        <f t="shared" si="29"/>
        <v>1370</v>
      </c>
      <c r="H260" s="98">
        <v>0</v>
      </c>
      <c r="I260" s="7">
        <v>0</v>
      </c>
      <c r="J260" s="7"/>
      <c r="K260" s="99">
        <f t="shared" ref="K260:K323" si="34">B260+E260+H260</f>
        <v>4805</v>
      </c>
      <c r="L260" s="7">
        <v>0</v>
      </c>
      <c r="M260" s="7">
        <v>0</v>
      </c>
      <c r="N260" s="7">
        <v>0</v>
      </c>
      <c r="O260" s="7">
        <v>0</v>
      </c>
      <c r="P260" s="7">
        <v>4272.9214019600477</v>
      </c>
      <c r="Q260" s="7">
        <v>2436.8370413499515</v>
      </c>
      <c r="R260" s="113">
        <f t="shared" si="30"/>
        <v>0.10189228529839883</v>
      </c>
      <c r="S260" s="113">
        <f t="shared" si="31"/>
        <v>0</v>
      </c>
      <c r="T260" s="113">
        <f t="shared" si="32"/>
        <v>0</v>
      </c>
      <c r="U260" s="113">
        <f t="shared" si="33"/>
        <v>3.3964095099466275E-2</v>
      </c>
    </row>
    <row r="261" spans="1:21" x14ac:dyDescent="0.45">
      <c r="A261" s="95">
        <v>44821</v>
      </c>
      <c r="B261" s="96">
        <v>3435</v>
      </c>
      <c r="C261" s="7">
        <v>350</v>
      </c>
      <c r="D261" s="7">
        <f t="shared" si="28"/>
        <v>3085</v>
      </c>
      <c r="E261" s="97">
        <v>1370</v>
      </c>
      <c r="F261" s="7">
        <v>0</v>
      </c>
      <c r="G261" s="7">
        <f t="shared" si="29"/>
        <v>1370</v>
      </c>
      <c r="H261" s="98">
        <v>0</v>
      </c>
      <c r="I261" s="7">
        <v>0</v>
      </c>
      <c r="J261" s="7"/>
      <c r="K261" s="99">
        <f t="shared" si="34"/>
        <v>4805</v>
      </c>
      <c r="L261" s="7">
        <v>0</v>
      </c>
      <c r="M261" s="7">
        <v>0</v>
      </c>
      <c r="N261" s="7">
        <v>0</v>
      </c>
      <c r="O261" s="7">
        <v>0</v>
      </c>
      <c r="P261" s="7">
        <v>4272.9214019600477</v>
      </c>
      <c r="Q261" s="7">
        <v>2436.8370413499515</v>
      </c>
      <c r="R261" s="113">
        <f t="shared" si="30"/>
        <v>0.10189228529839883</v>
      </c>
      <c r="S261" s="113">
        <f t="shared" si="31"/>
        <v>0</v>
      </c>
      <c r="T261" s="113">
        <f t="shared" si="32"/>
        <v>0</v>
      </c>
      <c r="U261" s="113">
        <f t="shared" si="33"/>
        <v>3.3964095099466275E-2</v>
      </c>
    </row>
    <row r="262" spans="1:21" x14ac:dyDescent="0.45">
      <c r="A262" s="95">
        <v>44822</v>
      </c>
      <c r="B262" s="96">
        <v>3435</v>
      </c>
      <c r="C262" s="7">
        <v>350</v>
      </c>
      <c r="D262" s="7">
        <f t="shared" si="28"/>
        <v>3085</v>
      </c>
      <c r="E262" s="97">
        <v>1370</v>
      </c>
      <c r="F262" s="7">
        <v>0</v>
      </c>
      <c r="G262" s="7">
        <f t="shared" si="29"/>
        <v>1370</v>
      </c>
      <c r="H262" s="98">
        <v>0</v>
      </c>
      <c r="I262" s="7">
        <v>0</v>
      </c>
      <c r="J262" s="7"/>
      <c r="K262" s="99">
        <f t="shared" si="34"/>
        <v>4805</v>
      </c>
      <c r="L262" s="7">
        <v>0</v>
      </c>
      <c r="M262" s="7">
        <v>0</v>
      </c>
      <c r="N262" s="7">
        <v>0</v>
      </c>
      <c r="O262" s="7">
        <v>0</v>
      </c>
      <c r="P262" s="7">
        <v>4272.9214019600477</v>
      </c>
      <c r="Q262" s="7">
        <v>2436.8370413499515</v>
      </c>
      <c r="R262" s="113">
        <f t="shared" si="30"/>
        <v>0.10189228529839883</v>
      </c>
      <c r="S262" s="113">
        <f t="shared" si="31"/>
        <v>0</v>
      </c>
      <c r="T262" s="113">
        <f t="shared" si="32"/>
        <v>0</v>
      </c>
      <c r="U262" s="113">
        <f t="shared" si="33"/>
        <v>3.3964095099466275E-2</v>
      </c>
    </row>
    <row r="263" spans="1:21" x14ac:dyDescent="0.45">
      <c r="A263" s="95">
        <v>44823</v>
      </c>
      <c r="B263" s="96">
        <v>3435</v>
      </c>
      <c r="C263" s="7">
        <v>350</v>
      </c>
      <c r="D263" s="7">
        <f t="shared" si="28"/>
        <v>3085</v>
      </c>
      <c r="E263" s="97">
        <v>1370</v>
      </c>
      <c r="F263" s="7">
        <v>0</v>
      </c>
      <c r="G263" s="7">
        <f t="shared" si="29"/>
        <v>1370</v>
      </c>
      <c r="H263" s="98">
        <v>0</v>
      </c>
      <c r="I263" s="7">
        <v>0</v>
      </c>
      <c r="J263" s="7"/>
      <c r="K263" s="99">
        <f t="shared" si="34"/>
        <v>4805</v>
      </c>
      <c r="L263" s="7">
        <v>0</v>
      </c>
      <c r="M263" s="7">
        <v>0</v>
      </c>
      <c r="N263" s="7">
        <v>0</v>
      </c>
      <c r="O263" s="7">
        <v>0</v>
      </c>
      <c r="P263" s="7">
        <v>4272.9214019600477</v>
      </c>
      <c r="Q263" s="7">
        <v>1905.4702625699515</v>
      </c>
      <c r="R263" s="113">
        <f t="shared" si="30"/>
        <v>0.10189228529839883</v>
      </c>
      <c r="S263" s="113">
        <f t="shared" si="31"/>
        <v>0</v>
      </c>
      <c r="T263" s="113">
        <f t="shared" si="32"/>
        <v>0</v>
      </c>
      <c r="U263" s="113">
        <f t="shared" si="33"/>
        <v>3.3964095099466275E-2</v>
      </c>
    </row>
    <row r="264" spans="1:21" x14ac:dyDescent="0.45">
      <c r="A264" s="95">
        <v>44824</v>
      </c>
      <c r="B264" s="96">
        <v>3435</v>
      </c>
      <c r="C264" s="7">
        <v>350</v>
      </c>
      <c r="D264" s="7">
        <f t="shared" si="28"/>
        <v>3085</v>
      </c>
      <c r="E264" s="97">
        <v>1370</v>
      </c>
      <c r="F264" s="7">
        <v>0</v>
      </c>
      <c r="G264" s="7">
        <f t="shared" si="29"/>
        <v>1370</v>
      </c>
      <c r="H264" s="98">
        <v>0</v>
      </c>
      <c r="I264" s="7">
        <v>0</v>
      </c>
      <c r="J264" s="7"/>
      <c r="K264" s="99">
        <f t="shared" si="34"/>
        <v>4805</v>
      </c>
      <c r="L264" s="7">
        <v>0</v>
      </c>
      <c r="M264" s="7">
        <v>0</v>
      </c>
      <c r="N264" s="7">
        <v>0</v>
      </c>
      <c r="O264" s="7">
        <v>0</v>
      </c>
      <c r="P264" s="7">
        <v>4272.9214019600477</v>
      </c>
      <c r="Q264" s="7">
        <v>2028.2637061699515</v>
      </c>
      <c r="R264" s="113">
        <f t="shared" si="30"/>
        <v>0.10189228529839883</v>
      </c>
      <c r="S264" s="113">
        <f t="shared" si="31"/>
        <v>0</v>
      </c>
      <c r="T264" s="113">
        <f t="shared" si="32"/>
        <v>0</v>
      </c>
      <c r="U264" s="113">
        <f t="shared" si="33"/>
        <v>3.3964095099466275E-2</v>
      </c>
    </row>
    <row r="265" spans="1:21" x14ac:dyDescent="0.45">
      <c r="A265" s="95">
        <v>44825</v>
      </c>
      <c r="B265" s="96">
        <v>3335</v>
      </c>
      <c r="C265" s="7">
        <v>350</v>
      </c>
      <c r="D265" s="7">
        <f t="shared" si="28"/>
        <v>2985</v>
      </c>
      <c r="E265" s="97">
        <v>1370</v>
      </c>
      <c r="F265" s="7">
        <v>0</v>
      </c>
      <c r="G265" s="7">
        <f t="shared" si="29"/>
        <v>1370</v>
      </c>
      <c r="H265" s="98">
        <v>0</v>
      </c>
      <c r="I265" s="7">
        <v>0</v>
      </c>
      <c r="J265" s="7"/>
      <c r="K265" s="99">
        <f t="shared" si="34"/>
        <v>4705</v>
      </c>
      <c r="L265" s="7">
        <v>0</v>
      </c>
      <c r="M265" s="7">
        <v>0</v>
      </c>
      <c r="N265" s="7">
        <v>0</v>
      </c>
      <c r="O265" s="7">
        <v>0</v>
      </c>
      <c r="P265" s="7">
        <v>4272.9214019600477</v>
      </c>
      <c r="Q265" s="7">
        <v>2089.857402169951</v>
      </c>
      <c r="R265" s="113">
        <f t="shared" si="30"/>
        <v>0.10494752623688156</v>
      </c>
      <c r="S265" s="113">
        <f t="shared" si="31"/>
        <v>0</v>
      </c>
      <c r="T265" s="113">
        <f t="shared" si="32"/>
        <v>0</v>
      </c>
      <c r="U265" s="113">
        <f t="shared" si="33"/>
        <v>3.4982508745627187E-2</v>
      </c>
    </row>
    <row r="266" spans="1:21" x14ac:dyDescent="0.45">
      <c r="A266" s="95">
        <v>44826</v>
      </c>
      <c r="B266" s="96">
        <v>3335</v>
      </c>
      <c r="C266" s="7">
        <v>250</v>
      </c>
      <c r="D266" s="7">
        <f t="shared" si="28"/>
        <v>3085</v>
      </c>
      <c r="E266" s="97">
        <v>1370</v>
      </c>
      <c r="F266" s="7">
        <v>0</v>
      </c>
      <c r="G266" s="7">
        <f t="shared" si="29"/>
        <v>1370</v>
      </c>
      <c r="H266" s="98">
        <v>0</v>
      </c>
      <c r="I266" s="7">
        <v>0</v>
      </c>
      <c r="J266" s="7"/>
      <c r="K266" s="99">
        <f t="shared" si="34"/>
        <v>4705</v>
      </c>
      <c r="L266" s="7">
        <v>0</v>
      </c>
      <c r="M266" s="7">
        <v>0</v>
      </c>
      <c r="N266" s="7">
        <v>0</v>
      </c>
      <c r="O266" s="7">
        <v>0</v>
      </c>
      <c r="P266" s="7">
        <v>4272.9214019600477</v>
      </c>
      <c r="Q266" s="7">
        <v>3133.7430674499519</v>
      </c>
      <c r="R266" s="113">
        <f t="shared" si="30"/>
        <v>7.4962518740629688E-2</v>
      </c>
      <c r="S266" s="113">
        <f t="shared" si="31"/>
        <v>0</v>
      </c>
      <c r="T266" s="113">
        <f t="shared" si="32"/>
        <v>0</v>
      </c>
      <c r="U266" s="113">
        <f t="shared" si="33"/>
        <v>2.4987506246876564E-2</v>
      </c>
    </row>
    <row r="267" spans="1:21" x14ac:dyDescent="0.45">
      <c r="A267" s="95">
        <v>44827</v>
      </c>
      <c r="B267" s="96">
        <v>3335</v>
      </c>
      <c r="C267" s="7">
        <v>250</v>
      </c>
      <c r="D267" s="7">
        <f t="shared" si="28"/>
        <v>3085</v>
      </c>
      <c r="E267" s="97">
        <v>1370</v>
      </c>
      <c r="F267" s="7">
        <v>0</v>
      </c>
      <c r="G267" s="7">
        <f t="shared" si="29"/>
        <v>1370</v>
      </c>
      <c r="H267" s="98">
        <v>0</v>
      </c>
      <c r="I267" s="7">
        <v>0</v>
      </c>
      <c r="J267" s="7"/>
      <c r="K267" s="99">
        <f t="shared" si="34"/>
        <v>4705</v>
      </c>
      <c r="L267" s="7">
        <v>0</v>
      </c>
      <c r="M267" s="7">
        <v>0</v>
      </c>
      <c r="N267" s="7">
        <v>0</v>
      </c>
      <c r="O267" s="7">
        <v>0</v>
      </c>
      <c r="P267" s="7">
        <v>4272.9214019600477</v>
      </c>
      <c r="Q267" s="7">
        <v>3269.8790540999521</v>
      </c>
      <c r="R267" s="113">
        <f t="shared" si="30"/>
        <v>7.4962518740629688E-2</v>
      </c>
      <c r="S267" s="113">
        <f t="shared" si="31"/>
        <v>0</v>
      </c>
      <c r="T267" s="113">
        <f t="shared" si="32"/>
        <v>0</v>
      </c>
      <c r="U267" s="113">
        <f t="shared" si="33"/>
        <v>2.4987506246876564E-2</v>
      </c>
    </row>
    <row r="268" spans="1:21" x14ac:dyDescent="0.45">
      <c r="A268" s="95">
        <v>44828</v>
      </c>
      <c r="B268" s="96">
        <v>3335</v>
      </c>
      <c r="C268" s="7">
        <v>250</v>
      </c>
      <c r="D268" s="7">
        <f t="shared" si="28"/>
        <v>3085</v>
      </c>
      <c r="E268" s="97">
        <v>1370</v>
      </c>
      <c r="F268" s="7">
        <v>0</v>
      </c>
      <c r="G268" s="7">
        <f t="shared" si="29"/>
        <v>1370</v>
      </c>
      <c r="H268" s="98">
        <v>0</v>
      </c>
      <c r="I268" s="7">
        <v>0</v>
      </c>
      <c r="J268" s="7"/>
      <c r="K268" s="99">
        <f t="shared" si="34"/>
        <v>4705</v>
      </c>
      <c r="L268" s="7">
        <v>0</v>
      </c>
      <c r="M268" s="7">
        <v>0</v>
      </c>
      <c r="N268" s="7">
        <v>0</v>
      </c>
      <c r="O268" s="7">
        <v>0</v>
      </c>
      <c r="P268" s="7">
        <v>4272.9214019600477</v>
      </c>
      <c r="Q268" s="7">
        <v>3269.8790540999521</v>
      </c>
      <c r="R268" s="113">
        <f t="shared" si="30"/>
        <v>7.4962518740629688E-2</v>
      </c>
      <c r="S268" s="113">
        <f t="shared" si="31"/>
        <v>0</v>
      </c>
      <c r="T268" s="113">
        <f t="shared" si="32"/>
        <v>0</v>
      </c>
      <c r="U268" s="113">
        <f t="shared" si="33"/>
        <v>2.4987506246876564E-2</v>
      </c>
    </row>
    <row r="269" spans="1:21" x14ac:dyDescent="0.45">
      <c r="A269" s="95">
        <v>44829</v>
      </c>
      <c r="B269" s="96">
        <v>3335</v>
      </c>
      <c r="C269" s="7">
        <v>250</v>
      </c>
      <c r="D269" s="7">
        <f t="shared" si="28"/>
        <v>3085</v>
      </c>
      <c r="E269" s="97">
        <v>1370</v>
      </c>
      <c r="F269" s="7">
        <v>0</v>
      </c>
      <c r="G269" s="7">
        <f t="shared" si="29"/>
        <v>1370</v>
      </c>
      <c r="H269" s="98">
        <v>0</v>
      </c>
      <c r="I269" s="7">
        <v>0</v>
      </c>
      <c r="J269" s="7"/>
      <c r="K269" s="99">
        <f t="shared" si="34"/>
        <v>4705</v>
      </c>
      <c r="L269" s="7">
        <v>0</v>
      </c>
      <c r="M269" s="7">
        <v>0</v>
      </c>
      <c r="N269" s="7">
        <v>0</v>
      </c>
      <c r="O269" s="7">
        <v>0</v>
      </c>
      <c r="P269" s="7">
        <v>4272.9214019600477</v>
      </c>
      <c r="Q269" s="7">
        <v>3269.8790540999521</v>
      </c>
      <c r="R269" s="113">
        <f t="shared" si="30"/>
        <v>7.4962518740629688E-2</v>
      </c>
      <c r="S269" s="113">
        <f t="shared" si="31"/>
        <v>0</v>
      </c>
      <c r="T269" s="113">
        <f t="shared" si="32"/>
        <v>0</v>
      </c>
      <c r="U269" s="113">
        <f t="shared" si="33"/>
        <v>2.4987506246876564E-2</v>
      </c>
    </row>
    <row r="270" spans="1:21" x14ac:dyDescent="0.45">
      <c r="A270" s="95">
        <v>44830</v>
      </c>
      <c r="B270" s="96">
        <v>3335</v>
      </c>
      <c r="C270" s="7">
        <v>250</v>
      </c>
      <c r="D270" s="7">
        <f t="shared" si="28"/>
        <v>3085</v>
      </c>
      <c r="E270" s="97">
        <v>1370</v>
      </c>
      <c r="F270" s="7">
        <v>0</v>
      </c>
      <c r="G270" s="7">
        <f t="shared" si="29"/>
        <v>1370</v>
      </c>
      <c r="H270" s="98">
        <v>0</v>
      </c>
      <c r="I270" s="7">
        <v>0</v>
      </c>
      <c r="J270" s="7"/>
      <c r="K270" s="99">
        <f t="shared" si="34"/>
        <v>4705</v>
      </c>
      <c r="L270" s="7">
        <v>0</v>
      </c>
      <c r="M270" s="7">
        <v>0</v>
      </c>
      <c r="N270" s="7">
        <v>0</v>
      </c>
      <c r="O270" s="7">
        <v>0</v>
      </c>
      <c r="P270" s="7">
        <v>4272.9214019600477</v>
      </c>
      <c r="Q270" s="7">
        <v>3201.7760926499514</v>
      </c>
      <c r="R270" s="113">
        <f t="shared" si="30"/>
        <v>7.4962518740629688E-2</v>
      </c>
      <c r="S270" s="113">
        <f t="shared" si="31"/>
        <v>0</v>
      </c>
      <c r="T270" s="113">
        <f t="shared" si="32"/>
        <v>0</v>
      </c>
      <c r="U270" s="113">
        <f t="shared" si="33"/>
        <v>2.4987506246876564E-2</v>
      </c>
    </row>
    <row r="271" spans="1:21" x14ac:dyDescent="0.45">
      <c r="A271" s="95">
        <v>44831</v>
      </c>
      <c r="B271" s="96">
        <v>3335</v>
      </c>
      <c r="C271" s="7">
        <v>250</v>
      </c>
      <c r="D271" s="7">
        <f t="shared" si="28"/>
        <v>3085</v>
      </c>
      <c r="E271" s="97">
        <v>1120</v>
      </c>
      <c r="F271" s="7">
        <v>0</v>
      </c>
      <c r="G271" s="7">
        <f t="shared" si="29"/>
        <v>1120</v>
      </c>
      <c r="H271" s="98">
        <v>0</v>
      </c>
      <c r="I271" s="7">
        <v>0</v>
      </c>
      <c r="J271" s="7"/>
      <c r="K271" s="99">
        <f t="shared" si="34"/>
        <v>4455</v>
      </c>
      <c r="L271" s="7">
        <v>0</v>
      </c>
      <c r="M271" s="7">
        <v>0</v>
      </c>
      <c r="N271" s="7">
        <v>0</v>
      </c>
      <c r="O271" s="7">
        <v>0</v>
      </c>
      <c r="P271" s="7">
        <v>4272.9214019600477</v>
      </c>
      <c r="Q271" s="7">
        <v>2973.100057339951</v>
      </c>
      <c r="R271" s="113">
        <f t="shared" si="30"/>
        <v>7.4962518740629688E-2</v>
      </c>
      <c r="S271" s="113">
        <f t="shared" si="31"/>
        <v>0</v>
      </c>
      <c r="T271" s="113">
        <f t="shared" si="32"/>
        <v>0</v>
      </c>
      <c r="U271" s="113">
        <f t="shared" si="33"/>
        <v>2.4987506246876564E-2</v>
      </c>
    </row>
    <row r="272" spans="1:21" x14ac:dyDescent="0.45">
      <c r="A272" s="95">
        <v>44832</v>
      </c>
      <c r="B272" s="96">
        <v>3335</v>
      </c>
      <c r="C272" s="7">
        <v>250</v>
      </c>
      <c r="D272" s="7">
        <f t="shared" si="28"/>
        <v>3085</v>
      </c>
      <c r="E272" s="97">
        <v>1120</v>
      </c>
      <c r="F272" s="7">
        <v>0</v>
      </c>
      <c r="G272" s="7">
        <f t="shared" si="29"/>
        <v>1120</v>
      </c>
      <c r="H272" s="98">
        <v>0</v>
      </c>
      <c r="I272" s="7">
        <v>0</v>
      </c>
      <c r="J272" s="7"/>
      <c r="K272" s="99">
        <f t="shared" si="34"/>
        <v>4455</v>
      </c>
      <c r="L272" s="7">
        <v>0</v>
      </c>
      <c r="M272" s="7">
        <v>0</v>
      </c>
      <c r="N272" s="7">
        <v>0</v>
      </c>
      <c r="O272" s="7">
        <v>0</v>
      </c>
      <c r="P272" s="7">
        <v>4272.9214019600477</v>
      </c>
      <c r="Q272" s="7">
        <v>2682.7668022099519</v>
      </c>
      <c r="R272" s="113">
        <f t="shared" si="30"/>
        <v>7.4962518740629688E-2</v>
      </c>
      <c r="S272" s="113">
        <f t="shared" si="31"/>
        <v>0</v>
      </c>
      <c r="T272" s="113">
        <f t="shared" si="32"/>
        <v>0</v>
      </c>
      <c r="U272" s="113">
        <f t="shared" si="33"/>
        <v>2.4987506246876564E-2</v>
      </c>
    </row>
    <row r="273" spans="1:21" x14ac:dyDescent="0.45">
      <c r="A273" s="95">
        <v>44833</v>
      </c>
      <c r="B273" s="96">
        <v>3335</v>
      </c>
      <c r="C273" s="7">
        <v>250</v>
      </c>
      <c r="D273" s="7">
        <f t="shared" si="28"/>
        <v>3085</v>
      </c>
      <c r="E273" s="97">
        <v>1390</v>
      </c>
      <c r="F273" s="7">
        <v>0</v>
      </c>
      <c r="G273" s="7">
        <f t="shared" si="29"/>
        <v>1390</v>
      </c>
      <c r="H273" s="98">
        <v>0</v>
      </c>
      <c r="I273" s="7">
        <v>0</v>
      </c>
      <c r="J273" s="7"/>
      <c r="K273" s="99">
        <f t="shared" si="34"/>
        <v>4725</v>
      </c>
      <c r="L273" s="7">
        <v>0</v>
      </c>
      <c r="M273" s="7">
        <v>0</v>
      </c>
      <c r="N273" s="7">
        <v>0</v>
      </c>
      <c r="O273" s="7">
        <v>0</v>
      </c>
      <c r="P273" s="7">
        <v>4272.9214019600477</v>
      </c>
      <c r="Q273" s="7">
        <v>3227.0371353499518</v>
      </c>
      <c r="R273" s="113">
        <f t="shared" si="30"/>
        <v>7.4962518740629688E-2</v>
      </c>
      <c r="S273" s="113">
        <f t="shared" si="31"/>
        <v>0</v>
      </c>
      <c r="T273" s="113">
        <f t="shared" si="32"/>
        <v>0</v>
      </c>
      <c r="U273" s="113">
        <f t="shared" si="33"/>
        <v>2.4987506246876564E-2</v>
      </c>
    </row>
    <row r="274" spans="1:21" x14ac:dyDescent="0.45">
      <c r="A274" s="95">
        <v>44834</v>
      </c>
      <c r="B274" s="96">
        <v>3335</v>
      </c>
      <c r="C274" s="7">
        <v>250</v>
      </c>
      <c r="D274" s="7">
        <f t="shared" si="28"/>
        <v>3085</v>
      </c>
      <c r="E274" s="97">
        <v>1390</v>
      </c>
      <c r="F274" s="7">
        <v>0</v>
      </c>
      <c r="G274" s="7">
        <f t="shared" si="29"/>
        <v>1390</v>
      </c>
      <c r="H274" s="98">
        <v>0</v>
      </c>
      <c r="I274" s="7">
        <v>0</v>
      </c>
      <c r="J274" s="7"/>
      <c r="K274" s="99">
        <f t="shared" si="34"/>
        <v>4725</v>
      </c>
      <c r="L274" s="7">
        <v>0</v>
      </c>
      <c r="M274" s="7">
        <v>0</v>
      </c>
      <c r="N274" s="7">
        <v>0</v>
      </c>
      <c r="O274" s="7">
        <v>0</v>
      </c>
      <c r="P274" s="7">
        <v>4272.9214019600477</v>
      </c>
      <c r="Q274" s="7">
        <v>2930.1846501099512</v>
      </c>
      <c r="R274" s="113">
        <f t="shared" si="30"/>
        <v>7.4962518740629688E-2</v>
      </c>
      <c r="S274" s="113">
        <f t="shared" si="31"/>
        <v>0</v>
      </c>
      <c r="T274" s="113">
        <f t="shared" si="32"/>
        <v>0</v>
      </c>
      <c r="U274" s="113">
        <f t="shared" si="33"/>
        <v>2.4987506246876564E-2</v>
      </c>
    </row>
    <row r="275" spans="1:21" x14ac:dyDescent="0.45">
      <c r="A275" s="95">
        <v>44835</v>
      </c>
      <c r="B275" s="96">
        <v>3335</v>
      </c>
      <c r="C275" s="7">
        <v>250</v>
      </c>
      <c r="D275" s="7">
        <f t="shared" si="28"/>
        <v>3085</v>
      </c>
      <c r="E275" s="97">
        <v>1390</v>
      </c>
      <c r="F275" s="7">
        <v>0</v>
      </c>
      <c r="G275" s="7">
        <f t="shared" si="29"/>
        <v>1390</v>
      </c>
      <c r="H275" s="98">
        <v>0</v>
      </c>
      <c r="I275" s="7">
        <v>0</v>
      </c>
      <c r="J275" s="7"/>
      <c r="K275" s="99">
        <f t="shared" si="34"/>
        <v>4725</v>
      </c>
      <c r="L275" s="7">
        <v>0</v>
      </c>
      <c r="M275" s="7">
        <v>0</v>
      </c>
      <c r="N275" s="7">
        <v>0</v>
      </c>
      <c r="O275" s="7">
        <v>0</v>
      </c>
      <c r="P275" s="7">
        <v>4272.9214019600477</v>
      </c>
      <c r="Q275" s="7">
        <v>2930.1846501099512</v>
      </c>
      <c r="R275" s="113">
        <f t="shared" si="30"/>
        <v>7.4962518740629688E-2</v>
      </c>
      <c r="S275" s="113">
        <f t="shared" si="31"/>
        <v>0</v>
      </c>
      <c r="T275" s="113">
        <f t="shared" si="32"/>
        <v>0</v>
      </c>
      <c r="U275" s="113">
        <f t="shared" si="33"/>
        <v>2.4987506246876564E-2</v>
      </c>
    </row>
    <row r="276" spans="1:21" x14ac:dyDescent="0.45">
      <c r="A276" s="95">
        <v>44836</v>
      </c>
      <c r="B276" s="96">
        <v>3335</v>
      </c>
      <c r="C276" s="7">
        <v>250</v>
      </c>
      <c r="D276" s="7">
        <f t="shared" si="28"/>
        <v>3085</v>
      </c>
      <c r="E276" s="97">
        <v>1390</v>
      </c>
      <c r="F276" s="7">
        <v>0</v>
      </c>
      <c r="G276" s="7">
        <f t="shared" si="29"/>
        <v>1390</v>
      </c>
      <c r="H276" s="98">
        <v>0</v>
      </c>
      <c r="I276" s="7">
        <v>0</v>
      </c>
      <c r="J276" s="7"/>
      <c r="K276" s="99">
        <f t="shared" si="34"/>
        <v>4725</v>
      </c>
      <c r="L276" s="7">
        <v>0</v>
      </c>
      <c r="M276" s="7">
        <v>0</v>
      </c>
      <c r="N276" s="7">
        <v>0</v>
      </c>
      <c r="O276" s="7">
        <v>0</v>
      </c>
      <c r="P276" s="7">
        <v>4272.9214019600477</v>
      </c>
      <c r="Q276" s="7">
        <v>2930.1846501099512</v>
      </c>
      <c r="R276" s="113">
        <f t="shared" si="30"/>
        <v>7.4962518740629688E-2</v>
      </c>
      <c r="S276" s="113">
        <f t="shared" si="31"/>
        <v>0</v>
      </c>
      <c r="T276" s="113">
        <f t="shared" si="32"/>
        <v>0</v>
      </c>
      <c r="U276" s="113">
        <f t="shared" si="33"/>
        <v>2.4987506246876564E-2</v>
      </c>
    </row>
    <row r="277" spans="1:21" x14ac:dyDescent="0.45">
      <c r="A277" s="95">
        <v>44837</v>
      </c>
      <c r="B277" s="96">
        <v>3335</v>
      </c>
      <c r="C277" s="7">
        <v>250</v>
      </c>
      <c r="D277" s="7">
        <f t="shared" si="28"/>
        <v>3085</v>
      </c>
      <c r="E277" s="97">
        <v>1390</v>
      </c>
      <c r="F277" s="7">
        <v>0</v>
      </c>
      <c r="G277" s="7">
        <f t="shared" si="29"/>
        <v>1390</v>
      </c>
      <c r="H277" s="98">
        <v>0</v>
      </c>
      <c r="I277" s="7">
        <v>0</v>
      </c>
      <c r="J277" s="7"/>
      <c r="K277" s="99">
        <f t="shared" si="34"/>
        <v>4725</v>
      </c>
      <c r="L277" s="7">
        <v>0</v>
      </c>
      <c r="M277" s="7">
        <v>0</v>
      </c>
      <c r="N277" s="7">
        <v>0</v>
      </c>
      <c r="O277" s="7">
        <v>0</v>
      </c>
      <c r="P277" s="7">
        <v>4316.7849218808569</v>
      </c>
      <c r="Q277" s="7">
        <v>3387.5698544991428</v>
      </c>
      <c r="R277" s="113">
        <f t="shared" si="30"/>
        <v>7.4962518740629688E-2</v>
      </c>
      <c r="S277" s="113">
        <f t="shared" si="31"/>
        <v>0</v>
      </c>
      <c r="T277" s="113">
        <f t="shared" si="32"/>
        <v>0</v>
      </c>
      <c r="U277" s="113">
        <f t="shared" si="33"/>
        <v>2.4987506246876564E-2</v>
      </c>
    </row>
    <row r="278" spans="1:21" x14ac:dyDescent="0.45">
      <c r="A278" s="95">
        <v>44838</v>
      </c>
      <c r="B278" s="96">
        <v>3335</v>
      </c>
      <c r="C278" s="7">
        <v>250</v>
      </c>
      <c r="D278" s="7">
        <f t="shared" si="28"/>
        <v>3085</v>
      </c>
      <c r="E278" s="97">
        <v>1390</v>
      </c>
      <c r="F278" s="7">
        <v>0</v>
      </c>
      <c r="G278" s="7">
        <f t="shared" si="29"/>
        <v>1390</v>
      </c>
      <c r="H278" s="98">
        <v>0</v>
      </c>
      <c r="I278" s="7">
        <v>0</v>
      </c>
      <c r="J278" s="7"/>
      <c r="K278" s="99">
        <f t="shared" si="34"/>
        <v>4725</v>
      </c>
      <c r="L278" s="7">
        <v>0</v>
      </c>
      <c r="M278" s="7">
        <v>0</v>
      </c>
      <c r="N278" s="7">
        <v>0</v>
      </c>
      <c r="O278" s="7">
        <v>0</v>
      </c>
      <c r="P278" s="7">
        <v>4316.7849218808569</v>
      </c>
      <c r="Q278" s="7">
        <v>3614.7432004991419</v>
      </c>
      <c r="R278" s="113">
        <f t="shared" si="30"/>
        <v>7.4962518740629688E-2</v>
      </c>
      <c r="S278" s="113">
        <f t="shared" si="31"/>
        <v>0</v>
      </c>
      <c r="T278" s="113">
        <f t="shared" si="32"/>
        <v>0</v>
      </c>
      <c r="U278" s="113">
        <f t="shared" si="33"/>
        <v>2.4987506246876564E-2</v>
      </c>
    </row>
    <row r="279" spans="1:21" x14ac:dyDescent="0.45">
      <c r="A279" s="95">
        <v>44839</v>
      </c>
      <c r="B279" s="96">
        <v>3635</v>
      </c>
      <c r="C279" s="7">
        <v>250</v>
      </c>
      <c r="D279" s="7">
        <f t="shared" si="28"/>
        <v>3385</v>
      </c>
      <c r="E279" s="97">
        <v>1390</v>
      </c>
      <c r="F279" s="7">
        <v>0</v>
      </c>
      <c r="G279" s="7">
        <f t="shared" si="29"/>
        <v>1390</v>
      </c>
      <c r="H279" s="98">
        <v>0</v>
      </c>
      <c r="I279" s="7">
        <v>0</v>
      </c>
      <c r="J279" s="7"/>
      <c r="K279" s="99">
        <f t="shared" si="34"/>
        <v>5025</v>
      </c>
      <c r="L279" s="7">
        <v>0</v>
      </c>
      <c r="M279" s="7">
        <v>0</v>
      </c>
      <c r="N279" s="7">
        <v>0</v>
      </c>
      <c r="O279" s="7">
        <v>0</v>
      </c>
      <c r="P279" s="7">
        <v>4316.7849218808569</v>
      </c>
      <c r="Q279" s="7">
        <v>3540.2781815391427</v>
      </c>
      <c r="R279" s="113">
        <f t="shared" si="30"/>
        <v>6.8775790921595595E-2</v>
      </c>
      <c r="S279" s="113">
        <f t="shared" si="31"/>
        <v>0</v>
      </c>
      <c r="T279" s="113">
        <f t="shared" si="32"/>
        <v>0</v>
      </c>
      <c r="U279" s="113">
        <f t="shared" si="33"/>
        <v>2.2925263640531865E-2</v>
      </c>
    </row>
    <row r="280" spans="1:21" x14ac:dyDescent="0.45">
      <c r="A280" s="95">
        <v>44840</v>
      </c>
      <c r="B280" s="96">
        <v>3635</v>
      </c>
      <c r="C280" s="7">
        <v>100</v>
      </c>
      <c r="D280" s="7">
        <f t="shared" si="28"/>
        <v>3535</v>
      </c>
      <c r="E280" s="97">
        <v>1390</v>
      </c>
      <c r="F280" s="7">
        <v>0</v>
      </c>
      <c r="G280" s="7">
        <f t="shared" si="29"/>
        <v>1390</v>
      </c>
      <c r="H280" s="98">
        <v>0</v>
      </c>
      <c r="I280" s="7">
        <v>0</v>
      </c>
      <c r="J280" s="7"/>
      <c r="K280" s="99">
        <f t="shared" si="34"/>
        <v>5025</v>
      </c>
      <c r="L280" s="7">
        <v>0</v>
      </c>
      <c r="M280" s="7">
        <v>0</v>
      </c>
      <c r="N280" s="7">
        <v>0</v>
      </c>
      <c r="O280" s="7">
        <v>0</v>
      </c>
      <c r="P280" s="7">
        <v>4316.7849218808569</v>
      </c>
      <c r="Q280" s="7">
        <v>2830.6879082491432</v>
      </c>
      <c r="R280" s="113">
        <f t="shared" si="30"/>
        <v>2.7510316368638238E-2</v>
      </c>
      <c r="S280" s="113">
        <f t="shared" si="31"/>
        <v>0</v>
      </c>
      <c r="T280" s="113">
        <f t="shared" si="32"/>
        <v>0</v>
      </c>
      <c r="U280" s="113">
        <f t="shared" si="33"/>
        <v>9.170105456212746E-3</v>
      </c>
    </row>
    <row r="281" spans="1:21" x14ac:dyDescent="0.45">
      <c r="A281" s="95">
        <v>44841</v>
      </c>
      <c r="B281" s="96">
        <v>3635</v>
      </c>
      <c r="C281" s="7">
        <v>100</v>
      </c>
      <c r="D281" s="7">
        <f t="shared" si="28"/>
        <v>3535</v>
      </c>
      <c r="E281" s="97">
        <v>1390</v>
      </c>
      <c r="F281" s="7">
        <v>0</v>
      </c>
      <c r="G281" s="7">
        <f t="shared" si="29"/>
        <v>1390</v>
      </c>
      <c r="H281" s="98">
        <v>0</v>
      </c>
      <c r="I281" s="7">
        <v>0</v>
      </c>
      <c r="J281" s="7"/>
      <c r="K281" s="99">
        <f t="shared" si="34"/>
        <v>5025</v>
      </c>
      <c r="L281" s="7">
        <v>0</v>
      </c>
      <c r="M281" s="7">
        <v>0</v>
      </c>
      <c r="N281" s="7">
        <v>0</v>
      </c>
      <c r="O281" s="7">
        <v>0</v>
      </c>
      <c r="P281" s="7">
        <v>4316.7849218808569</v>
      </c>
      <c r="Q281" s="7">
        <v>2828.2666512991418</v>
      </c>
      <c r="R281" s="113">
        <f t="shared" si="30"/>
        <v>2.7510316368638238E-2</v>
      </c>
      <c r="S281" s="113">
        <f t="shared" si="31"/>
        <v>0</v>
      </c>
      <c r="T281" s="113">
        <f t="shared" si="32"/>
        <v>0</v>
      </c>
      <c r="U281" s="113">
        <f t="shared" si="33"/>
        <v>9.170105456212746E-3</v>
      </c>
    </row>
    <row r="282" spans="1:21" x14ac:dyDescent="0.45">
      <c r="A282" s="95">
        <v>44842</v>
      </c>
      <c r="B282" s="96">
        <v>3635</v>
      </c>
      <c r="C282" s="7">
        <v>100</v>
      </c>
      <c r="D282" s="7">
        <f t="shared" si="28"/>
        <v>3535</v>
      </c>
      <c r="E282" s="97">
        <v>1390</v>
      </c>
      <c r="F282" s="7">
        <v>0</v>
      </c>
      <c r="G282" s="7">
        <f t="shared" si="29"/>
        <v>1390</v>
      </c>
      <c r="H282" s="98">
        <v>0</v>
      </c>
      <c r="I282" s="7">
        <v>0</v>
      </c>
      <c r="J282" s="7"/>
      <c r="K282" s="99">
        <f t="shared" si="34"/>
        <v>5025</v>
      </c>
      <c r="L282" s="7">
        <v>0</v>
      </c>
      <c r="M282" s="7">
        <v>0</v>
      </c>
      <c r="N282" s="7">
        <v>0</v>
      </c>
      <c r="O282" s="7">
        <v>0</v>
      </c>
      <c r="P282" s="7">
        <v>4316.7849218808569</v>
      </c>
      <c r="Q282" s="7">
        <v>2828.2666512991418</v>
      </c>
      <c r="R282" s="113">
        <f t="shared" si="30"/>
        <v>2.7510316368638238E-2</v>
      </c>
      <c r="S282" s="113">
        <f t="shared" si="31"/>
        <v>0</v>
      </c>
      <c r="T282" s="113">
        <f t="shared" si="32"/>
        <v>0</v>
      </c>
      <c r="U282" s="113">
        <f t="shared" si="33"/>
        <v>9.170105456212746E-3</v>
      </c>
    </row>
    <row r="283" spans="1:21" x14ac:dyDescent="0.45">
      <c r="A283" s="95">
        <v>44843</v>
      </c>
      <c r="B283" s="96">
        <v>3635</v>
      </c>
      <c r="C283" s="7">
        <v>100</v>
      </c>
      <c r="D283" s="7">
        <f t="shared" si="28"/>
        <v>3535</v>
      </c>
      <c r="E283" s="97">
        <v>1390</v>
      </c>
      <c r="F283" s="7">
        <v>0</v>
      </c>
      <c r="G283" s="7">
        <f t="shared" si="29"/>
        <v>1390</v>
      </c>
      <c r="H283" s="98">
        <v>0</v>
      </c>
      <c r="I283" s="7">
        <v>0</v>
      </c>
      <c r="J283" s="7"/>
      <c r="K283" s="99">
        <f t="shared" si="34"/>
        <v>5025</v>
      </c>
      <c r="L283" s="7">
        <v>0</v>
      </c>
      <c r="M283" s="7">
        <v>0</v>
      </c>
      <c r="N283" s="7">
        <v>0</v>
      </c>
      <c r="O283" s="7">
        <v>0</v>
      </c>
      <c r="P283" s="7">
        <v>4316.7849218808569</v>
      </c>
      <c r="Q283" s="7">
        <v>2828.2666512991418</v>
      </c>
      <c r="R283" s="113">
        <f t="shared" si="30"/>
        <v>2.7510316368638238E-2</v>
      </c>
      <c r="S283" s="113">
        <f t="shared" si="31"/>
        <v>0</v>
      </c>
      <c r="T283" s="113">
        <f t="shared" si="32"/>
        <v>0</v>
      </c>
      <c r="U283" s="113">
        <f t="shared" si="33"/>
        <v>9.170105456212746E-3</v>
      </c>
    </row>
    <row r="284" spans="1:21" x14ac:dyDescent="0.45">
      <c r="A284" s="95">
        <v>44844</v>
      </c>
      <c r="B284" s="96">
        <v>3635</v>
      </c>
      <c r="C284" s="7">
        <v>100</v>
      </c>
      <c r="D284" s="7">
        <f t="shared" si="28"/>
        <v>3535</v>
      </c>
      <c r="E284" s="97">
        <v>1390</v>
      </c>
      <c r="F284" s="7">
        <v>0</v>
      </c>
      <c r="G284" s="7">
        <f t="shared" si="29"/>
        <v>1390</v>
      </c>
      <c r="H284" s="98">
        <v>0</v>
      </c>
      <c r="I284" s="7">
        <v>0</v>
      </c>
      <c r="J284" s="7"/>
      <c r="K284" s="99">
        <f t="shared" si="34"/>
        <v>5025</v>
      </c>
      <c r="L284" s="7">
        <v>0</v>
      </c>
      <c r="M284" s="7">
        <v>0</v>
      </c>
      <c r="N284" s="7">
        <v>0</v>
      </c>
      <c r="O284" s="7">
        <v>0</v>
      </c>
      <c r="P284" s="7">
        <v>4316.7849218808569</v>
      </c>
      <c r="Q284" s="7">
        <v>2876.5944984391426</v>
      </c>
      <c r="R284" s="113">
        <f t="shared" si="30"/>
        <v>2.7510316368638238E-2</v>
      </c>
      <c r="S284" s="113">
        <f t="shared" si="31"/>
        <v>0</v>
      </c>
      <c r="T284" s="113">
        <f t="shared" si="32"/>
        <v>0</v>
      </c>
      <c r="U284" s="113">
        <f t="shared" si="33"/>
        <v>9.170105456212746E-3</v>
      </c>
    </row>
    <row r="285" spans="1:21" x14ac:dyDescent="0.45">
      <c r="A285" s="95">
        <v>44845</v>
      </c>
      <c r="B285" s="96">
        <v>3635</v>
      </c>
      <c r="C285" s="7">
        <v>100</v>
      </c>
      <c r="D285" s="7">
        <f t="shared" si="28"/>
        <v>3535</v>
      </c>
      <c r="E285" s="97">
        <v>1390</v>
      </c>
      <c r="F285" s="7">
        <v>0</v>
      </c>
      <c r="G285" s="7">
        <f t="shared" si="29"/>
        <v>1390</v>
      </c>
      <c r="H285" s="98">
        <v>0</v>
      </c>
      <c r="I285" s="7">
        <v>0</v>
      </c>
      <c r="J285" s="7"/>
      <c r="K285" s="99">
        <f t="shared" si="34"/>
        <v>5025</v>
      </c>
      <c r="L285" s="7">
        <v>0</v>
      </c>
      <c r="M285" s="7">
        <v>0</v>
      </c>
      <c r="N285" s="7">
        <v>0</v>
      </c>
      <c r="O285" s="7">
        <v>0</v>
      </c>
      <c r="P285" s="7">
        <v>4316.7849218808569</v>
      </c>
      <c r="Q285" s="7">
        <v>2964.2675164591419</v>
      </c>
      <c r="R285" s="113">
        <f t="shared" si="30"/>
        <v>2.7510316368638238E-2</v>
      </c>
      <c r="S285" s="113">
        <f t="shared" si="31"/>
        <v>0</v>
      </c>
      <c r="T285" s="113">
        <f t="shared" si="32"/>
        <v>0</v>
      </c>
      <c r="U285" s="113">
        <f t="shared" si="33"/>
        <v>9.170105456212746E-3</v>
      </c>
    </row>
    <row r="286" spans="1:21" x14ac:dyDescent="0.45">
      <c r="A286" s="95">
        <v>44846</v>
      </c>
      <c r="B286" s="96">
        <v>3735</v>
      </c>
      <c r="C286" s="7">
        <v>100</v>
      </c>
      <c r="D286" s="7">
        <f t="shared" si="28"/>
        <v>3635</v>
      </c>
      <c r="E286" s="97">
        <v>1390</v>
      </c>
      <c r="F286" s="7">
        <v>0</v>
      </c>
      <c r="G286" s="7">
        <f t="shared" si="29"/>
        <v>1390</v>
      </c>
      <c r="H286" s="98">
        <v>0</v>
      </c>
      <c r="I286" s="7">
        <v>0</v>
      </c>
      <c r="J286" s="7"/>
      <c r="K286" s="99">
        <f t="shared" si="34"/>
        <v>5125</v>
      </c>
      <c r="L286" s="7">
        <v>0</v>
      </c>
      <c r="M286" s="7">
        <v>0</v>
      </c>
      <c r="N286" s="7">
        <v>0</v>
      </c>
      <c r="O286" s="7">
        <v>0</v>
      </c>
      <c r="P286" s="7">
        <v>4316.7849218808569</v>
      </c>
      <c r="Q286" s="7">
        <v>3053.7845618691417</v>
      </c>
      <c r="R286" s="113">
        <f t="shared" si="30"/>
        <v>2.677376171352075E-2</v>
      </c>
      <c r="S286" s="113">
        <f t="shared" si="31"/>
        <v>0</v>
      </c>
      <c r="T286" s="113">
        <f t="shared" si="32"/>
        <v>0</v>
      </c>
      <c r="U286" s="113">
        <f t="shared" si="33"/>
        <v>8.9245872378402504E-3</v>
      </c>
    </row>
    <row r="287" spans="1:21" x14ac:dyDescent="0.45">
      <c r="A287" s="95">
        <v>44847</v>
      </c>
      <c r="B287" s="96">
        <v>3735</v>
      </c>
      <c r="C287" s="7">
        <v>350</v>
      </c>
      <c r="D287" s="7">
        <f t="shared" si="28"/>
        <v>3385</v>
      </c>
      <c r="E287" s="97">
        <v>1390</v>
      </c>
      <c r="F287" s="7">
        <v>0</v>
      </c>
      <c r="G287" s="7">
        <f t="shared" si="29"/>
        <v>1390</v>
      </c>
      <c r="H287" s="98">
        <v>0</v>
      </c>
      <c r="I287" s="7">
        <v>0</v>
      </c>
      <c r="J287" s="7"/>
      <c r="K287" s="99">
        <f t="shared" si="34"/>
        <v>5125</v>
      </c>
      <c r="L287" s="7">
        <v>0</v>
      </c>
      <c r="M287" s="7">
        <v>0</v>
      </c>
      <c r="N287" s="7">
        <v>0</v>
      </c>
      <c r="O287" s="7">
        <v>0</v>
      </c>
      <c r="P287" s="7">
        <v>4316.7849218808569</v>
      </c>
      <c r="Q287" s="7">
        <v>3012.1337878291424</v>
      </c>
      <c r="R287" s="113">
        <f t="shared" si="30"/>
        <v>9.3708165997322623E-2</v>
      </c>
      <c r="S287" s="113">
        <f t="shared" si="31"/>
        <v>0</v>
      </c>
      <c r="T287" s="113">
        <f t="shared" si="32"/>
        <v>0</v>
      </c>
      <c r="U287" s="113">
        <f t="shared" si="33"/>
        <v>3.1236055332440876E-2</v>
      </c>
    </row>
    <row r="288" spans="1:21" x14ac:dyDescent="0.45">
      <c r="A288" s="95">
        <v>44848</v>
      </c>
      <c r="B288" s="96">
        <v>3735</v>
      </c>
      <c r="C288" s="7">
        <v>350</v>
      </c>
      <c r="D288" s="7">
        <f t="shared" si="28"/>
        <v>3385</v>
      </c>
      <c r="E288" s="97">
        <v>1390</v>
      </c>
      <c r="F288" s="7">
        <v>0</v>
      </c>
      <c r="G288" s="7">
        <f t="shared" si="29"/>
        <v>1390</v>
      </c>
      <c r="H288" s="98">
        <v>0</v>
      </c>
      <c r="I288" s="7">
        <v>0</v>
      </c>
      <c r="J288" s="7"/>
      <c r="K288" s="99">
        <f t="shared" si="34"/>
        <v>5125</v>
      </c>
      <c r="L288" s="7">
        <v>0</v>
      </c>
      <c r="M288" s="7">
        <v>0</v>
      </c>
      <c r="N288" s="7">
        <v>0</v>
      </c>
      <c r="O288" s="7">
        <v>0</v>
      </c>
      <c r="P288" s="7">
        <v>4316.7849218808569</v>
      </c>
      <c r="Q288" s="7">
        <v>3200.7448557291427</v>
      </c>
      <c r="R288" s="113">
        <f t="shared" si="30"/>
        <v>9.3708165997322623E-2</v>
      </c>
      <c r="S288" s="113">
        <f t="shared" si="31"/>
        <v>0</v>
      </c>
      <c r="T288" s="113">
        <f t="shared" si="32"/>
        <v>0</v>
      </c>
      <c r="U288" s="113">
        <f t="shared" si="33"/>
        <v>3.1236055332440876E-2</v>
      </c>
    </row>
    <row r="289" spans="1:21" x14ac:dyDescent="0.45">
      <c r="A289" s="95">
        <v>44849</v>
      </c>
      <c r="B289" s="96">
        <v>3735</v>
      </c>
      <c r="C289" s="7">
        <v>350</v>
      </c>
      <c r="D289" s="7">
        <f t="shared" si="28"/>
        <v>3385</v>
      </c>
      <c r="E289" s="97">
        <v>1390</v>
      </c>
      <c r="F289" s="7">
        <v>0</v>
      </c>
      <c r="G289" s="7">
        <f t="shared" si="29"/>
        <v>1390</v>
      </c>
      <c r="H289" s="98">
        <v>0</v>
      </c>
      <c r="I289" s="7">
        <v>0</v>
      </c>
      <c r="J289" s="7"/>
      <c r="K289" s="99">
        <f t="shared" si="34"/>
        <v>5125</v>
      </c>
      <c r="L289" s="7">
        <v>0</v>
      </c>
      <c r="M289" s="7">
        <v>0</v>
      </c>
      <c r="N289" s="7">
        <v>0</v>
      </c>
      <c r="O289" s="7">
        <v>0</v>
      </c>
      <c r="P289" s="7">
        <v>4316.7849218808569</v>
      </c>
      <c r="Q289" s="7">
        <v>3200.7448557291427</v>
      </c>
      <c r="R289" s="113">
        <f t="shared" si="30"/>
        <v>9.3708165997322623E-2</v>
      </c>
      <c r="S289" s="113">
        <f t="shared" si="31"/>
        <v>0</v>
      </c>
      <c r="T289" s="113">
        <f t="shared" si="32"/>
        <v>0</v>
      </c>
      <c r="U289" s="113">
        <f t="shared" si="33"/>
        <v>3.1236055332440876E-2</v>
      </c>
    </row>
    <row r="290" spans="1:21" x14ac:dyDescent="0.45">
      <c r="A290" s="95">
        <v>44850</v>
      </c>
      <c r="B290" s="96">
        <v>3735</v>
      </c>
      <c r="C290" s="7">
        <v>350</v>
      </c>
      <c r="D290" s="7">
        <f t="shared" si="28"/>
        <v>3385</v>
      </c>
      <c r="E290" s="97">
        <v>1390</v>
      </c>
      <c r="F290" s="7">
        <v>0</v>
      </c>
      <c r="G290" s="7">
        <f t="shared" si="29"/>
        <v>1390</v>
      </c>
      <c r="H290" s="98">
        <v>0</v>
      </c>
      <c r="I290" s="7">
        <v>0</v>
      </c>
      <c r="J290" s="7"/>
      <c r="K290" s="99">
        <f t="shared" si="34"/>
        <v>5125</v>
      </c>
      <c r="L290" s="7">
        <v>0</v>
      </c>
      <c r="M290" s="7">
        <v>0</v>
      </c>
      <c r="N290" s="7">
        <v>0</v>
      </c>
      <c r="O290" s="7">
        <v>0</v>
      </c>
      <c r="P290" s="7">
        <v>4316.7849218808569</v>
      </c>
      <c r="Q290" s="7">
        <v>3200.7448557291427</v>
      </c>
      <c r="R290" s="113">
        <f t="shared" si="30"/>
        <v>9.3708165997322623E-2</v>
      </c>
      <c r="S290" s="113">
        <f t="shared" si="31"/>
        <v>0</v>
      </c>
      <c r="T290" s="113">
        <f t="shared" si="32"/>
        <v>0</v>
      </c>
      <c r="U290" s="113">
        <f t="shared" si="33"/>
        <v>3.1236055332440876E-2</v>
      </c>
    </row>
    <row r="291" spans="1:21" x14ac:dyDescent="0.45">
      <c r="A291" s="95">
        <v>44851</v>
      </c>
      <c r="B291" s="96">
        <v>3735</v>
      </c>
      <c r="C291" s="7">
        <v>350</v>
      </c>
      <c r="D291" s="7">
        <f t="shared" si="28"/>
        <v>3385</v>
      </c>
      <c r="E291" s="97">
        <v>1390</v>
      </c>
      <c r="F291" s="7">
        <v>0</v>
      </c>
      <c r="G291" s="7">
        <f t="shared" si="29"/>
        <v>1390</v>
      </c>
      <c r="H291" s="98">
        <v>0</v>
      </c>
      <c r="I291" s="7">
        <v>0</v>
      </c>
      <c r="J291" s="7"/>
      <c r="K291" s="99">
        <f t="shared" si="34"/>
        <v>5125</v>
      </c>
      <c r="L291" s="7">
        <v>0</v>
      </c>
      <c r="M291" s="7">
        <v>0</v>
      </c>
      <c r="N291" s="7">
        <v>0</v>
      </c>
      <c r="O291" s="7">
        <v>0</v>
      </c>
      <c r="P291" s="7">
        <v>4316.7849218808569</v>
      </c>
      <c r="Q291" s="7">
        <v>3113.9290532591431</v>
      </c>
      <c r="R291" s="113">
        <f t="shared" si="30"/>
        <v>9.3708165997322623E-2</v>
      </c>
      <c r="S291" s="113">
        <f t="shared" si="31"/>
        <v>0</v>
      </c>
      <c r="T291" s="113">
        <f t="shared" si="32"/>
        <v>0</v>
      </c>
      <c r="U291" s="113">
        <f t="shared" si="33"/>
        <v>3.1236055332440876E-2</v>
      </c>
    </row>
    <row r="292" spans="1:21" x14ac:dyDescent="0.45">
      <c r="A292" s="95">
        <v>44852</v>
      </c>
      <c r="B292" s="96">
        <v>3735</v>
      </c>
      <c r="C292" s="7">
        <v>350</v>
      </c>
      <c r="D292" s="7">
        <f t="shared" si="28"/>
        <v>3385</v>
      </c>
      <c r="E292" s="97">
        <v>1390</v>
      </c>
      <c r="F292" s="7">
        <v>0</v>
      </c>
      <c r="G292" s="7">
        <f t="shared" si="29"/>
        <v>1390</v>
      </c>
      <c r="H292" s="98">
        <v>0</v>
      </c>
      <c r="I292" s="7">
        <v>0</v>
      </c>
      <c r="J292" s="7"/>
      <c r="K292" s="99">
        <f t="shared" si="34"/>
        <v>5125</v>
      </c>
      <c r="L292" s="7">
        <v>0</v>
      </c>
      <c r="M292" s="7">
        <v>0</v>
      </c>
      <c r="N292" s="7">
        <v>0</v>
      </c>
      <c r="O292" s="7">
        <v>0</v>
      </c>
      <c r="P292" s="7">
        <v>4316.7849218808569</v>
      </c>
      <c r="Q292" s="7">
        <v>2702.5403496891427</v>
      </c>
      <c r="R292" s="113">
        <f t="shared" si="30"/>
        <v>9.3708165997322623E-2</v>
      </c>
      <c r="S292" s="113">
        <f t="shared" si="31"/>
        <v>0</v>
      </c>
      <c r="T292" s="113">
        <f t="shared" si="32"/>
        <v>0</v>
      </c>
      <c r="U292" s="113">
        <f t="shared" si="33"/>
        <v>3.1236055332440876E-2</v>
      </c>
    </row>
    <row r="293" spans="1:21" x14ac:dyDescent="0.45">
      <c r="A293" s="95">
        <v>44853</v>
      </c>
      <c r="B293" s="96">
        <v>3735</v>
      </c>
      <c r="C293" s="7">
        <v>350</v>
      </c>
      <c r="D293" s="7">
        <f t="shared" si="28"/>
        <v>3385</v>
      </c>
      <c r="E293" s="97">
        <v>1390</v>
      </c>
      <c r="F293" s="7">
        <v>0</v>
      </c>
      <c r="G293" s="7">
        <f t="shared" si="29"/>
        <v>1390</v>
      </c>
      <c r="H293" s="98">
        <v>0</v>
      </c>
      <c r="I293" s="7">
        <v>0</v>
      </c>
      <c r="J293" s="7"/>
      <c r="K293" s="99">
        <f t="shared" si="34"/>
        <v>5125</v>
      </c>
      <c r="L293" s="7">
        <v>0</v>
      </c>
      <c r="M293" s="7">
        <v>0</v>
      </c>
      <c r="N293" s="7">
        <v>0</v>
      </c>
      <c r="O293" s="7">
        <v>0</v>
      </c>
      <c r="P293" s="7">
        <v>4316.7849218808569</v>
      </c>
      <c r="Q293" s="7">
        <v>2797.4290470491424</v>
      </c>
      <c r="R293" s="113">
        <f t="shared" si="30"/>
        <v>9.3708165997322623E-2</v>
      </c>
      <c r="S293" s="113">
        <f t="shared" si="31"/>
        <v>0</v>
      </c>
      <c r="T293" s="113">
        <f t="shared" si="32"/>
        <v>0</v>
      </c>
      <c r="U293" s="113">
        <f t="shared" si="33"/>
        <v>3.1236055332440876E-2</v>
      </c>
    </row>
    <row r="294" spans="1:21" x14ac:dyDescent="0.45">
      <c r="A294" s="95">
        <v>44854</v>
      </c>
      <c r="B294" s="96">
        <v>3735</v>
      </c>
      <c r="C294" s="7">
        <v>350</v>
      </c>
      <c r="D294" s="7">
        <f t="shared" si="28"/>
        <v>3385</v>
      </c>
      <c r="E294" s="97">
        <v>1390</v>
      </c>
      <c r="F294" s="7">
        <v>0</v>
      </c>
      <c r="G294" s="7">
        <f t="shared" si="29"/>
        <v>1390</v>
      </c>
      <c r="H294" s="98">
        <v>0</v>
      </c>
      <c r="I294" s="7">
        <v>0</v>
      </c>
      <c r="J294" s="7"/>
      <c r="K294" s="99">
        <f t="shared" si="34"/>
        <v>5125</v>
      </c>
      <c r="L294" s="7">
        <v>0</v>
      </c>
      <c r="M294" s="7">
        <v>0</v>
      </c>
      <c r="N294" s="7">
        <v>0</v>
      </c>
      <c r="O294" s="7">
        <v>0</v>
      </c>
      <c r="P294" s="7">
        <v>4316.7849218808569</v>
      </c>
      <c r="Q294" s="7">
        <v>2582.5228577291423</v>
      </c>
      <c r="R294" s="113">
        <f t="shared" si="30"/>
        <v>9.3708165997322623E-2</v>
      </c>
      <c r="S294" s="113">
        <f t="shared" si="31"/>
        <v>0</v>
      </c>
      <c r="T294" s="113">
        <f t="shared" si="32"/>
        <v>0</v>
      </c>
      <c r="U294" s="113">
        <f t="shared" si="33"/>
        <v>3.1236055332440876E-2</v>
      </c>
    </row>
    <row r="295" spans="1:21" x14ac:dyDescent="0.45">
      <c r="A295" s="95">
        <v>44855</v>
      </c>
      <c r="B295" s="96">
        <v>3735</v>
      </c>
      <c r="C295" s="7">
        <v>350</v>
      </c>
      <c r="D295" s="7">
        <f t="shared" si="28"/>
        <v>3385</v>
      </c>
      <c r="E295" s="97">
        <v>1390</v>
      </c>
      <c r="F295" s="7">
        <v>0</v>
      </c>
      <c r="G295" s="7">
        <f t="shared" si="29"/>
        <v>1390</v>
      </c>
      <c r="H295" s="98">
        <v>0</v>
      </c>
      <c r="I295" s="7">
        <v>0</v>
      </c>
      <c r="J295" s="7"/>
      <c r="K295" s="99">
        <f t="shared" si="34"/>
        <v>5125</v>
      </c>
      <c r="L295" s="7">
        <v>0</v>
      </c>
      <c r="M295" s="7">
        <v>0</v>
      </c>
      <c r="N295" s="7">
        <v>0</v>
      </c>
      <c r="O295" s="7">
        <v>0</v>
      </c>
      <c r="P295" s="7">
        <v>4316.7849218808569</v>
      </c>
      <c r="Q295" s="7">
        <v>2535.8877324491427</v>
      </c>
      <c r="R295" s="113">
        <f t="shared" si="30"/>
        <v>9.3708165997322623E-2</v>
      </c>
      <c r="S295" s="113">
        <f t="shared" si="31"/>
        <v>0</v>
      </c>
      <c r="T295" s="113">
        <f t="shared" si="32"/>
        <v>0</v>
      </c>
      <c r="U295" s="113">
        <f t="shared" si="33"/>
        <v>3.1236055332440876E-2</v>
      </c>
    </row>
    <row r="296" spans="1:21" x14ac:dyDescent="0.45">
      <c r="A296" s="95">
        <v>44856</v>
      </c>
      <c r="B296" s="96">
        <v>3735</v>
      </c>
      <c r="C296" s="7">
        <v>350</v>
      </c>
      <c r="D296" s="7">
        <f t="shared" si="28"/>
        <v>3385</v>
      </c>
      <c r="E296" s="97">
        <v>1390</v>
      </c>
      <c r="F296" s="7">
        <v>0</v>
      </c>
      <c r="G296" s="7">
        <f t="shared" si="29"/>
        <v>1390</v>
      </c>
      <c r="H296" s="98">
        <v>0</v>
      </c>
      <c r="I296" s="7">
        <v>0</v>
      </c>
      <c r="J296" s="7"/>
      <c r="K296" s="99">
        <f t="shared" si="34"/>
        <v>5125</v>
      </c>
      <c r="L296" s="7">
        <v>0</v>
      </c>
      <c r="M296" s="7">
        <v>0</v>
      </c>
      <c r="N296" s="7">
        <v>0</v>
      </c>
      <c r="O296" s="7">
        <v>0</v>
      </c>
      <c r="P296" s="7">
        <v>4316.7849218808569</v>
      </c>
      <c r="Q296" s="7">
        <v>2535.8877324491427</v>
      </c>
      <c r="R296" s="113">
        <f t="shared" si="30"/>
        <v>9.3708165997322623E-2</v>
      </c>
      <c r="S296" s="113">
        <f t="shared" si="31"/>
        <v>0</v>
      </c>
      <c r="T296" s="113">
        <f t="shared" si="32"/>
        <v>0</v>
      </c>
      <c r="U296" s="113">
        <f t="shared" si="33"/>
        <v>3.1236055332440876E-2</v>
      </c>
    </row>
    <row r="297" spans="1:21" x14ac:dyDescent="0.45">
      <c r="A297" s="95">
        <v>44857</v>
      </c>
      <c r="B297" s="96">
        <v>3735</v>
      </c>
      <c r="C297" s="7">
        <v>350</v>
      </c>
      <c r="D297" s="7">
        <f t="shared" si="28"/>
        <v>3385</v>
      </c>
      <c r="E297" s="97">
        <v>1390</v>
      </c>
      <c r="F297" s="7">
        <v>0</v>
      </c>
      <c r="G297" s="7">
        <f t="shared" si="29"/>
        <v>1390</v>
      </c>
      <c r="H297" s="98">
        <v>0</v>
      </c>
      <c r="I297" s="7">
        <v>0</v>
      </c>
      <c r="J297" s="7"/>
      <c r="K297" s="99">
        <f t="shared" si="34"/>
        <v>5125</v>
      </c>
      <c r="L297" s="7">
        <v>0</v>
      </c>
      <c r="M297" s="7">
        <v>0</v>
      </c>
      <c r="N297" s="7">
        <v>0</v>
      </c>
      <c r="O297" s="7">
        <v>0</v>
      </c>
      <c r="P297" s="7">
        <v>4316.7849218808569</v>
      </c>
      <c r="Q297" s="7">
        <v>2535.8877324491427</v>
      </c>
      <c r="R297" s="113">
        <f t="shared" si="30"/>
        <v>9.3708165997322623E-2</v>
      </c>
      <c r="S297" s="113">
        <f t="shared" si="31"/>
        <v>0</v>
      </c>
      <c r="T297" s="113">
        <f t="shared" si="32"/>
        <v>0</v>
      </c>
      <c r="U297" s="113">
        <f t="shared" si="33"/>
        <v>3.1236055332440876E-2</v>
      </c>
    </row>
    <row r="298" spans="1:21" x14ac:dyDescent="0.45">
      <c r="A298" s="95">
        <v>44858</v>
      </c>
      <c r="B298" s="96">
        <v>3735</v>
      </c>
      <c r="C298" s="7">
        <v>350</v>
      </c>
      <c r="D298" s="7">
        <f t="shared" si="28"/>
        <v>3385</v>
      </c>
      <c r="E298" s="97">
        <v>1390</v>
      </c>
      <c r="F298" s="7">
        <v>0</v>
      </c>
      <c r="G298" s="7">
        <f t="shared" si="29"/>
        <v>1390</v>
      </c>
      <c r="H298" s="98">
        <v>0</v>
      </c>
      <c r="I298" s="7">
        <v>0</v>
      </c>
      <c r="J298" s="7"/>
      <c r="K298" s="99">
        <f t="shared" si="34"/>
        <v>5125</v>
      </c>
      <c r="L298" s="7">
        <v>0</v>
      </c>
      <c r="M298" s="7">
        <v>0</v>
      </c>
      <c r="N298" s="7">
        <v>0</v>
      </c>
      <c r="O298" s="7">
        <v>0</v>
      </c>
      <c r="P298" s="7">
        <v>4316.7849218808569</v>
      </c>
      <c r="Q298" s="7">
        <v>3481.4310015791425</v>
      </c>
      <c r="R298" s="113">
        <f t="shared" si="30"/>
        <v>9.3708165997322623E-2</v>
      </c>
      <c r="S298" s="113">
        <f t="shared" si="31"/>
        <v>0</v>
      </c>
      <c r="T298" s="113">
        <f t="shared" si="32"/>
        <v>0</v>
      </c>
      <c r="U298" s="113">
        <f t="shared" si="33"/>
        <v>3.1236055332440876E-2</v>
      </c>
    </row>
    <row r="299" spans="1:21" x14ac:dyDescent="0.45">
      <c r="A299" s="95">
        <v>44859</v>
      </c>
      <c r="B299" s="96">
        <v>3735</v>
      </c>
      <c r="C299" s="7">
        <v>350</v>
      </c>
      <c r="D299" s="7">
        <f t="shared" si="28"/>
        <v>3385</v>
      </c>
      <c r="E299" s="97">
        <v>1390</v>
      </c>
      <c r="F299" s="7">
        <v>0</v>
      </c>
      <c r="G299" s="7">
        <f t="shared" si="29"/>
        <v>1390</v>
      </c>
      <c r="H299" s="98">
        <v>0</v>
      </c>
      <c r="I299" s="7">
        <v>0</v>
      </c>
      <c r="J299" s="7"/>
      <c r="K299" s="99">
        <f t="shared" si="34"/>
        <v>5125</v>
      </c>
      <c r="L299" s="7">
        <v>0</v>
      </c>
      <c r="M299" s="7">
        <v>0</v>
      </c>
      <c r="N299" s="7">
        <v>0</v>
      </c>
      <c r="O299" s="7">
        <v>0</v>
      </c>
      <c r="P299" s="7">
        <v>4316.7849218808569</v>
      </c>
      <c r="Q299" s="7">
        <v>3618.7620061591419</v>
      </c>
      <c r="R299" s="113">
        <f t="shared" si="30"/>
        <v>9.3708165997322623E-2</v>
      </c>
      <c r="S299" s="113">
        <f t="shared" si="31"/>
        <v>0</v>
      </c>
      <c r="T299" s="113">
        <f t="shared" si="32"/>
        <v>0</v>
      </c>
      <c r="U299" s="113">
        <f t="shared" si="33"/>
        <v>3.1236055332440876E-2</v>
      </c>
    </row>
    <row r="300" spans="1:21" x14ac:dyDescent="0.45">
      <c r="A300" s="95">
        <v>44860</v>
      </c>
      <c r="B300" s="96">
        <v>3735</v>
      </c>
      <c r="C300" s="7">
        <v>350</v>
      </c>
      <c r="D300" s="7">
        <f t="shared" si="28"/>
        <v>3385</v>
      </c>
      <c r="E300" s="97">
        <v>1390</v>
      </c>
      <c r="F300" s="7">
        <v>0</v>
      </c>
      <c r="G300" s="7">
        <f t="shared" si="29"/>
        <v>1390</v>
      </c>
      <c r="H300" s="98">
        <v>0</v>
      </c>
      <c r="I300" s="7">
        <v>0</v>
      </c>
      <c r="J300" s="7"/>
      <c r="K300" s="99">
        <f t="shared" si="34"/>
        <v>5125</v>
      </c>
      <c r="L300" s="7">
        <v>0</v>
      </c>
      <c r="M300" s="7">
        <v>0</v>
      </c>
      <c r="N300" s="7">
        <v>0</v>
      </c>
      <c r="O300" s="7">
        <v>0</v>
      </c>
      <c r="P300" s="7">
        <v>4316.7849218808569</v>
      </c>
      <c r="Q300" s="7">
        <v>4086.6584291991435</v>
      </c>
      <c r="R300" s="113">
        <f t="shared" si="30"/>
        <v>9.3708165997322623E-2</v>
      </c>
      <c r="S300" s="113">
        <f t="shared" si="31"/>
        <v>0</v>
      </c>
      <c r="T300" s="113">
        <f t="shared" si="32"/>
        <v>0</v>
      </c>
      <c r="U300" s="113">
        <f t="shared" si="33"/>
        <v>3.1236055332440876E-2</v>
      </c>
    </row>
    <row r="301" spans="1:21" x14ac:dyDescent="0.45">
      <c r="A301" s="95">
        <v>44861</v>
      </c>
      <c r="B301" s="96">
        <v>3735</v>
      </c>
      <c r="C301" s="7">
        <v>350</v>
      </c>
      <c r="D301" s="7">
        <f t="shared" si="28"/>
        <v>3385</v>
      </c>
      <c r="E301" s="97">
        <v>1510</v>
      </c>
      <c r="F301" s="7">
        <v>0</v>
      </c>
      <c r="G301" s="7">
        <f t="shared" si="29"/>
        <v>1510</v>
      </c>
      <c r="H301" s="98">
        <v>0</v>
      </c>
      <c r="I301" s="7">
        <v>0</v>
      </c>
      <c r="J301" s="7"/>
      <c r="K301" s="99">
        <f t="shared" si="34"/>
        <v>5245</v>
      </c>
      <c r="L301" s="7">
        <v>0</v>
      </c>
      <c r="M301" s="7">
        <v>0</v>
      </c>
      <c r="N301" s="7">
        <v>0</v>
      </c>
      <c r="O301" s="7">
        <v>0</v>
      </c>
      <c r="P301" s="7">
        <v>4316.7849218808569</v>
      </c>
      <c r="Q301" s="7">
        <v>3794.384390349142</v>
      </c>
      <c r="R301" s="113">
        <f t="shared" si="30"/>
        <v>9.3708165997322623E-2</v>
      </c>
      <c r="S301" s="113">
        <f t="shared" si="31"/>
        <v>0</v>
      </c>
      <c r="T301" s="113">
        <f t="shared" si="32"/>
        <v>0</v>
      </c>
      <c r="U301" s="113">
        <f t="shared" si="33"/>
        <v>3.1236055332440876E-2</v>
      </c>
    </row>
    <row r="302" spans="1:21" x14ac:dyDescent="0.45">
      <c r="A302" s="95">
        <v>44862</v>
      </c>
      <c r="B302" s="96">
        <v>3735</v>
      </c>
      <c r="C302" s="7">
        <v>350</v>
      </c>
      <c r="D302" s="7">
        <f t="shared" si="28"/>
        <v>3385</v>
      </c>
      <c r="E302" s="97">
        <v>1510</v>
      </c>
      <c r="F302" s="7">
        <v>0</v>
      </c>
      <c r="G302" s="7">
        <f t="shared" si="29"/>
        <v>1510</v>
      </c>
      <c r="H302" s="98">
        <v>0</v>
      </c>
      <c r="I302" s="7">
        <v>0</v>
      </c>
      <c r="J302" s="7"/>
      <c r="K302" s="99">
        <f t="shared" si="34"/>
        <v>5245</v>
      </c>
      <c r="L302" s="7">
        <v>0</v>
      </c>
      <c r="M302" s="7">
        <v>0</v>
      </c>
      <c r="N302" s="7">
        <v>0</v>
      </c>
      <c r="O302" s="7">
        <v>0</v>
      </c>
      <c r="P302" s="7">
        <v>4316.7849218808569</v>
      </c>
      <c r="Q302" s="7">
        <v>4126.3200042191429</v>
      </c>
      <c r="R302" s="113">
        <f t="shared" si="30"/>
        <v>9.3708165997322623E-2</v>
      </c>
      <c r="S302" s="113">
        <f t="shared" si="31"/>
        <v>0</v>
      </c>
      <c r="T302" s="113">
        <f t="shared" si="32"/>
        <v>0</v>
      </c>
      <c r="U302" s="113">
        <f t="shared" si="33"/>
        <v>3.1236055332440876E-2</v>
      </c>
    </row>
    <row r="303" spans="1:21" x14ac:dyDescent="0.45">
      <c r="A303" s="95">
        <v>44863</v>
      </c>
      <c r="B303" s="96">
        <v>3735</v>
      </c>
      <c r="C303" s="7">
        <v>350</v>
      </c>
      <c r="D303" s="7">
        <f t="shared" si="28"/>
        <v>3385</v>
      </c>
      <c r="E303" s="97">
        <v>1510</v>
      </c>
      <c r="F303" s="7">
        <v>0</v>
      </c>
      <c r="G303" s="7">
        <f t="shared" si="29"/>
        <v>1510</v>
      </c>
      <c r="H303" s="98">
        <v>0</v>
      </c>
      <c r="I303" s="7">
        <v>0</v>
      </c>
      <c r="J303" s="7"/>
      <c r="K303" s="99">
        <f t="shared" si="34"/>
        <v>5245</v>
      </c>
      <c r="L303" s="7">
        <v>0</v>
      </c>
      <c r="M303" s="7">
        <v>0</v>
      </c>
      <c r="N303" s="7">
        <v>0</v>
      </c>
      <c r="O303" s="7">
        <v>0</v>
      </c>
      <c r="P303" s="7">
        <v>4316.7849218808569</v>
      </c>
      <c r="Q303" s="7">
        <v>4126.3200042191429</v>
      </c>
      <c r="R303" s="113">
        <f t="shared" si="30"/>
        <v>9.3708165997322623E-2</v>
      </c>
      <c r="S303" s="113">
        <f t="shared" si="31"/>
        <v>0</v>
      </c>
      <c r="T303" s="113">
        <f t="shared" si="32"/>
        <v>0</v>
      </c>
      <c r="U303" s="113">
        <f t="shared" si="33"/>
        <v>3.1236055332440876E-2</v>
      </c>
    </row>
    <row r="304" spans="1:21" x14ac:dyDescent="0.45">
      <c r="A304" s="95">
        <v>44864</v>
      </c>
      <c r="B304" s="96">
        <v>3735</v>
      </c>
      <c r="C304" s="7">
        <v>350</v>
      </c>
      <c r="D304" s="7">
        <f t="shared" si="28"/>
        <v>3385</v>
      </c>
      <c r="E304" s="97">
        <v>1510</v>
      </c>
      <c r="F304" s="7">
        <v>0</v>
      </c>
      <c r="G304" s="7">
        <f t="shared" si="29"/>
        <v>1510</v>
      </c>
      <c r="H304" s="98">
        <v>0</v>
      </c>
      <c r="I304" s="7">
        <v>0</v>
      </c>
      <c r="J304" s="7"/>
      <c r="K304" s="99">
        <f t="shared" si="34"/>
        <v>5245</v>
      </c>
      <c r="L304" s="7">
        <v>0</v>
      </c>
      <c r="M304" s="7">
        <v>0</v>
      </c>
      <c r="N304" s="7">
        <v>0</v>
      </c>
      <c r="O304" s="7">
        <v>0</v>
      </c>
      <c r="P304" s="7">
        <v>4316.7849218808569</v>
      </c>
      <c r="Q304" s="7">
        <v>4126.3200042191429</v>
      </c>
      <c r="R304" s="113">
        <f t="shared" si="30"/>
        <v>9.3708165997322623E-2</v>
      </c>
      <c r="S304" s="113">
        <f t="shared" si="31"/>
        <v>0</v>
      </c>
      <c r="T304" s="113">
        <f t="shared" si="32"/>
        <v>0</v>
      </c>
      <c r="U304" s="113">
        <f t="shared" si="33"/>
        <v>3.1236055332440876E-2</v>
      </c>
    </row>
    <row r="305" spans="1:21" x14ac:dyDescent="0.45">
      <c r="A305" s="95">
        <v>44865</v>
      </c>
      <c r="B305" s="96">
        <v>3735</v>
      </c>
      <c r="C305" s="7">
        <v>350</v>
      </c>
      <c r="D305" s="7">
        <f t="shared" si="28"/>
        <v>3385</v>
      </c>
      <c r="E305" s="97">
        <v>1510</v>
      </c>
      <c r="F305" s="7">
        <v>0</v>
      </c>
      <c r="G305" s="7">
        <f t="shared" si="29"/>
        <v>1510</v>
      </c>
      <c r="H305" s="98">
        <v>0</v>
      </c>
      <c r="I305" s="7">
        <v>0</v>
      </c>
      <c r="J305" s="7"/>
      <c r="K305" s="99">
        <f t="shared" si="34"/>
        <v>5245</v>
      </c>
      <c r="L305" s="7">
        <v>0</v>
      </c>
      <c r="M305" s="7">
        <v>0</v>
      </c>
      <c r="N305" s="7">
        <v>0</v>
      </c>
      <c r="O305" s="7">
        <v>0</v>
      </c>
      <c r="P305" s="7">
        <v>4289.8474997557469</v>
      </c>
      <c r="Q305" s="7">
        <v>4204.6712757142523</v>
      </c>
      <c r="R305" s="113">
        <f t="shared" si="30"/>
        <v>9.3708165997322623E-2</v>
      </c>
      <c r="S305" s="113">
        <f t="shared" si="31"/>
        <v>0</v>
      </c>
      <c r="T305" s="113">
        <f t="shared" si="32"/>
        <v>0</v>
      </c>
      <c r="U305" s="113">
        <f t="shared" si="33"/>
        <v>3.1236055332440876E-2</v>
      </c>
    </row>
    <row r="306" spans="1:21" x14ac:dyDescent="0.45">
      <c r="A306" s="95">
        <v>44866</v>
      </c>
      <c r="B306" s="96">
        <v>3735</v>
      </c>
      <c r="C306" s="7">
        <v>350</v>
      </c>
      <c r="D306" s="7">
        <f t="shared" si="28"/>
        <v>3385</v>
      </c>
      <c r="E306" s="97">
        <v>1510</v>
      </c>
      <c r="F306" s="7">
        <v>0</v>
      </c>
      <c r="G306" s="7">
        <f t="shared" si="29"/>
        <v>1510</v>
      </c>
      <c r="H306" s="98">
        <v>0</v>
      </c>
      <c r="I306" s="7">
        <v>0</v>
      </c>
      <c r="J306" s="7"/>
      <c r="K306" s="99">
        <f t="shared" si="34"/>
        <v>5245</v>
      </c>
      <c r="L306" s="7">
        <v>0</v>
      </c>
      <c r="M306" s="7">
        <v>0</v>
      </c>
      <c r="N306" s="7">
        <v>0</v>
      </c>
      <c r="O306" s="7">
        <v>0</v>
      </c>
      <c r="P306" s="7">
        <v>4289.8474997557469</v>
      </c>
      <c r="Q306" s="7">
        <v>3969.1441261242526</v>
      </c>
      <c r="R306" s="113">
        <f t="shared" si="30"/>
        <v>9.3708165997322623E-2</v>
      </c>
      <c r="S306" s="113">
        <f t="shared" si="31"/>
        <v>0</v>
      </c>
      <c r="T306" s="113">
        <f t="shared" si="32"/>
        <v>0</v>
      </c>
      <c r="U306" s="113">
        <f t="shared" si="33"/>
        <v>3.1236055332440876E-2</v>
      </c>
    </row>
    <row r="307" spans="1:21" x14ac:dyDescent="0.45">
      <c r="A307" s="95">
        <v>44867</v>
      </c>
      <c r="B307" s="96">
        <v>3735</v>
      </c>
      <c r="C307" s="7">
        <v>350</v>
      </c>
      <c r="D307" s="7">
        <f t="shared" si="28"/>
        <v>3385</v>
      </c>
      <c r="E307" s="97">
        <v>1510</v>
      </c>
      <c r="F307" s="7">
        <v>0</v>
      </c>
      <c r="G307" s="7">
        <f t="shared" si="29"/>
        <v>1510</v>
      </c>
      <c r="H307" s="98">
        <v>0</v>
      </c>
      <c r="I307" s="7">
        <v>0</v>
      </c>
      <c r="J307" s="7"/>
      <c r="K307" s="99">
        <f t="shared" si="34"/>
        <v>5245</v>
      </c>
      <c r="L307" s="7">
        <v>0</v>
      </c>
      <c r="M307" s="7">
        <v>0</v>
      </c>
      <c r="N307" s="7">
        <v>0</v>
      </c>
      <c r="O307" s="7">
        <v>0</v>
      </c>
      <c r="P307" s="7">
        <v>4289.8474997557469</v>
      </c>
      <c r="Q307" s="7">
        <v>4422.7802231442529</v>
      </c>
      <c r="R307" s="113">
        <f t="shared" si="30"/>
        <v>9.3708165997322623E-2</v>
      </c>
      <c r="S307" s="113">
        <f t="shared" si="31"/>
        <v>0</v>
      </c>
      <c r="T307" s="113">
        <f t="shared" si="32"/>
        <v>0</v>
      </c>
      <c r="U307" s="113">
        <f t="shared" si="33"/>
        <v>3.1236055332440876E-2</v>
      </c>
    </row>
    <row r="308" spans="1:21" x14ac:dyDescent="0.45">
      <c r="A308" s="95">
        <v>44868</v>
      </c>
      <c r="B308" s="96">
        <v>3735</v>
      </c>
      <c r="C308" s="7">
        <v>350</v>
      </c>
      <c r="D308" s="7">
        <f t="shared" si="28"/>
        <v>3385</v>
      </c>
      <c r="E308" s="97">
        <v>1510</v>
      </c>
      <c r="F308" s="7">
        <v>0</v>
      </c>
      <c r="G308" s="7">
        <f t="shared" si="29"/>
        <v>1510</v>
      </c>
      <c r="H308" s="98">
        <v>0</v>
      </c>
      <c r="I308" s="7">
        <v>0</v>
      </c>
      <c r="J308" s="7"/>
      <c r="K308" s="99">
        <f t="shared" si="34"/>
        <v>5245</v>
      </c>
      <c r="L308" s="7">
        <v>0</v>
      </c>
      <c r="M308" s="7">
        <v>0</v>
      </c>
      <c r="N308" s="7">
        <v>0</v>
      </c>
      <c r="O308" s="7">
        <v>0</v>
      </c>
      <c r="P308" s="7">
        <v>4289.8474997557469</v>
      </c>
      <c r="Q308" s="7">
        <v>4471.5349209542528</v>
      </c>
      <c r="R308" s="113">
        <f t="shared" si="30"/>
        <v>9.3708165997322623E-2</v>
      </c>
      <c r="S308" s="113">
        <f t="shared" si="31"/>
        <v>0</v>
      </c>
      <c r="T308" s="113">
        <f t="shared" si="32"/>
        <v>0</v>
      </c>
      <c r="U308" s="113">
        <f t="shared" si="33"/>
        <v>3.1236055332440876E-2</v>
      </c>
    </row>
    <row r="309" spans="1:21" x14ac:dyDescent="0.45">
      <c r="A309" s="95">
        <v>44869</v>
      </c>
      <c r="B309" s="96">
        <v>3735</v>
      </c>
      <c r="C309" s="7">
        <v>350</v>
      </c>
      <c r="D309" s="7">
        <f t="shared" si="28"/>
        <v>3385</v>
      </c>
      <c r="E309" s="97">
        <v>1510</v>
      </c>
      <c r="F309" s="7">
        <v>0</v>
      </c>
      <c r="G309" s="7">
        <f t="shared" si="29"/>
        <v>1510</v>
      </c>
      <c r="H309" s="98">
        <v>0</v>
      </c>
      <c r="I309" s="7">
        <v>0</v>
      </c>
      <c r="J309" s="7"/>
      <c r="K309" s="99">
        <f t="shared" si="34"/>
        <v>5245</v>
      </c>
      <c r="L309" s="7">
        <v>0</v>
      </c>
      <c r="M309" s="7">
        <v>0</v>
      </c>
      <c r="N309" s="7">
        <v>0</v>
      </c>
      <c r="O309" s="7">
        <v>0</v>
      </c>
      <c r="P309" s="7">
        <v>4289.8474997557469</v>
      </c>
      <c r="Q309" s="7">
        <v>4568.6395803142523</v>
      </c>
      <c r="R309" s="113">
        <f t="shared" si="30"/>
        <v>9.3708165997322623E-2</v>
      </c>
      <c r="S309" s="113">
        <f t="shared" si="31"/>
        <v>0</v>
      </c>
      <c r="T309" s="113">
        <f t="shared" si="32"/>
        <v>0</v>
      </c>
      <c r="U309" s="113">
        <f t="shared" si="33"/>
        <v>3.1236055332440876E-2</v>
      </c>
    </row>
    <row r="310" spans="1:21" x14ac:dyDescent="0.45">
      <c r="A310" s="95">
        <v>44870</v>
      </c>
      <c r="B310" s="96">
        <v>3735</v>
      </c>
      <c r="C310" s="7">
        <v>350</v>
      </c>
      <c r="D310" s="7">
        <f t="shared" si="28"/>
        <v>3385</v>
      </c>
      <c r="E310" s="97">
        <v>1510</v>
      </c>
      <c r="F310" s="7">
        <v>0</v>
      </c>
      <c r="G310" s="7">
        <f t="shared" si="29"/>
        <v>1510</v>
      </c>
      <c r="H310" s="98">
        <v>0</v>
      </c>
      <c r="I310" s="7">
        <v>0</v>
      </c>
      <c r="J310" s="7"/>
      <c r="K310" s="99">
        <f t="shared" si="34"/>
        <v>5245</v>
      </c>
      <c r="L310" s="7">
        <v>0</v>
      </c>
      <c r="M310" s="7">
        <v>0</v>
      </c>
      <c r="N310" s="7">
        <v>0</v>
      </c>
      <c r="O310" s="7">
        <v>0</v>
      </c>
      <c r="P310" s="7">
        <v>4289.8474997557469</v>
      </c>
      <c r="Q310" s="7">
        <v>4568.6395803142523</v>
      </c>
      <c r="R310" s="113">
        <f t="shared" si="30"/>
        <v>9.3708165997322623E-2</v>
      </c>
      <c r="S310" s="113">
        <f t="shared" si="31"/>
        <v>0</v>
      </c>
      <c r="T310" s="113">
        <f t="shared" si="32"/>
        <v>0</v>
      </c>
      <c r="U310" s="113">
        <f t="shared" si="33"/>
        <v>3.1236055332440876E-2</v>
      </c>
    </row>
    <row r="311" spans="1:21" x14ac:dyDescent="0.45">
      <c r="A311" s="95">
        <v>44871</v>
      </c>
      <c r="B311" s="96">
        <v>3735</v>
      </c>
      <c r="C311" s="7">
        <v>350</v>
      </c>
      <c r="D311" s="7">
        <f t="shared" si="28"/>
        <v>3385</v>
      </c>
      <c r="E311" s="97">
        <v>1510</v>
      </c>
      <c r="F311" s="7">
        <v>0</v>
      </c>
      <c r="G311" s="7">
        <f t="shared" si="29"/>
        <v>1510</v>
      </c>
      <c r="H311" s="98">
        <v>0</v>
      </c>
      <c r="I311" s="7">
        <v>0</v>
      </c>
      <c r="J311" s="7"/>
      <c r="K311" s="99">
        <f t="shared" si="34"/>
        <v>5245</v>
      </c>
      <c r="L311" s="7">
        <v>0</v>
      </c>
      <c r="M311" s="7">
        <v>0</v>
      </c>
      <c r="N311" s="7">
        <v>0</v>
      </c>
      <c r="O311" s="7">
        <v>0</v>
      </c>
      <c r="P311" s="7">
        <v>4289.8474997557469</v>
      </c>
      <c r="Q311" s="7">
        <v>4568.6395803142523</v>
      </c>
      <c r="R311" s="113">
        <f t="shared" si="30"/>
        <v>9.3708165997322623E-2</v>
      </c>
      <c r="S311" s="113">
        <f t="shared" si="31"/>
        <v>0</v>
      </c>
      <c r="T311" s="113">
        <f t="shared" si="32"/>
        <v>0</v>
      </c>
      <c r="U311" s="113">
        <f t="shared" si="33"/>
        <v>3.1236055332440876E-2</v>
      </c>
    </row>
    <row r="312" spans="1:21" x14ac:dyDescent="0.45">
      <c r="A312" s="95">
        <v>44872</v>
      </c>
      <c r="B312" s="96">
        <v>3735</v>
      </c>
      <c r="C312" s="7">
        <v>350</v>
      </c>
      <c r="D312" s="7">
        <f t="shared" si="28"/>
        <v>3385</v>
      </c>
      <c r="E312" s="97">
        <v>1510</v>
      </c>
      <c r="F312" s="7">
        <v>0</v>
      </c>
      <c r="G312" s="7">
        <f t="shared" si="29"/>
        <v>1510</v>
      </c>
      <c r="H312" s="98">
        <v>0</v>
      </c>
      <c r="I312" s="7">
        <v>0</v>
      </c>
      <c r="J312" s="7"/>
      <c r="K312" s="99">
        <f t="shared" si="34"/>
        <v>5245</v>
      </c>
      <c r="L312" s="7">
        <v>0</v>
      </c>
      <c r="M312" s="7">
        <v>0</v>
      </c>
      <c r="N312" s="7">
        <v>0</v>
      </c>
      <c r="O312" s="7">
        <v>0</v>
      </c>
      <c r="P312" s="7">
        <v>4289.8474997557469</v>
      </c>
      <c r="Q312" s="7">
        <v>4890.2746308042533</v>
      </c>
      <c r="R312" s="113">
        <f t="shared" si="30"/>
        <v>9.3708165997322623E-2</v>
      </c>
      <c r="S312" s="113">
        <f t="shared" si="31"/>
        <v>0</v>
      </c>
      <c r="T312" s="113">
        <f t="shared" si="32"/>
        <v>0</v>
      </c>
      <c r="U312" s="113">
        <f t="shared" si="33"/>
        <v>3.1236055332440876E-2</v>
      </c>
    </row>
    <row r="313" spans="1:21" x14ac:dyDescent="0.45">
      <c r="A313" s="95">
        <v>44873</v>
      </c>
      <c r="B313" s="96">
        <v>3735</v>
      </c>
      <c r="C313" s="7">
        <v>350</v>
      </c>
      <c r="D313" s="7">
        <f t="shared" si="28"/>
        <v>3385</v>
      </c>
      <c r="E313" s="97">
        <v>1510</v>
      </c>
      <c r="F313" s="7">
        <v>0</v>
      </c>
      <c r="G313" s="7">
        <f t="shared" si="29"/>
        <v>1510</v>
      </c>
      <c r="H313" s="98">
        <v>0</v>
      </c>
      <c r="I313" s="7">
        <v>0</v>
      </c>
      <c r="J313" s="7"/>
      <c r="K313" s="99">
        <f t="shared" si="34"/>
        <v>5245</v>
      </c>
      <c r="L313" s="7">
        <v>0</v>
      </c>
      <c r="M313" s="7">
        <v>0</v>
      </c>
      <c r="N313" s="7">
        <v>0</v>
      </c>
      <c r="O313" s="7">
        <v>0</v>
      </c>
      <c r="P313" s="7">
        <v>4289.8474997557469</v>
      </c>
      <c r="Q313" s="7">
        <v>5820.240692104253</v>
      </c>
      <c r="R313" s="113">
        <f t="shared" si="30"/>
        <v>9.3708165997322623E-2</v>
      </c>
      <c r="S313" s="113">
        <f t="shared" si="31"/>
        <v>0</v>
      </c>
      <c r="T313" s="113">
        <f t="shared" si="32"/>
        <v>0</v>
      </c>
      <c r="U313" s="113">
        <f t="shared" si="33"/>
        <v>3.1236055332440876E-2</v>
      </c>
    </row>
    <row r="314" spans="1:21" x14ac:dyDescent="0.45">
      <c r="A314" s="95">
        <v>44874</v>
      </c>
      <c r="B314" s="96">
        <v>3635</v>
      </c>
      <c r="C314" s="7">
        <v>350</v>
      </c>
      <c r="D314" s="7">
        <f t="shared" si="28"/>
        <v>3285</v>
      </c>
      <c r="E314" s="97">
        <v>1510</v>
      </c>
      <c r="F314" s="7">
        <v>0</v>
      </c>
      <c r="G314" s="7">
        <f t="shared" si="29"/>
        <v>1510</v>
      </c>
      <c r="H314" s="98">
        <v>0</v>
      </c>
      <c r="I314" s="7">
        <v>0</v>
      </c>
      <c r="J314" s="7"/>
      <c r="K314" s="99">
        <f t="shared" si="34"/>
        <v>5145</v>
      </c>
      <c r="L314" s="7">
        <v>0</v>
      </c>
      <c r="M314" s="7">
        <v>0</v>
      </c>
      <c r="N314" s="7">
        <v>0</v>
      </c>
      <c r="O314" s="7">
        <v>0</v>
      </c>
      <c r="P314" s="7">
        <v>4289.8474997557469</v>
      </c>
      <c r="Q314" s="7">
        <v>5711.8368989042519</v>
      </c>
      <c r="R314" s="113">
        <f t="shared" si="30"/>
        <v>9.6286107290233833E-2</v>
      </c>
      <c r="S314" s="113">
        <f t="shared" si="31"/>
        <v>0</v>
      </c>
      <c r="T314" s="113">
        <f t="shared" si="32"/>
        <v>0</v>
      </c>
      <c r="U314" s="113">
        <f t="shared" si="33"/>
        <v>3.2095369096744611E-2</v>
      </c>
    </row>
    <row r="315" spans="1:21" x14ac:dyDescent="0.45">
      <c r="A315" s="95">
        <v>44875</v>
      </c>
      <c r="B315" s="96">
        <v>3635</v>
      </c>
      <c r="C315" s="7">
        <v>250</v>
      </c>
      <c r="D315" s="7">
        <f t="shared" si="28"/>
        <v>3385</v>
      </c>
      <c r="E315" s="97">
        <v>1510</v>
      </c>
      <c r="F315" s="7">
        <v>0</v>
      </c>
      <c r="G315" s="7">
        <f t="shared" si="29"/>
        <v>1510</v>
      </c>
      <c r="H315" s="98">
        <v>0</v>
      </c>
      <c r="I315" s="7">
        <v>0</v>
      </c>
      <c r="J315" s="7"/>
      <c r="K315" s="99">
        <f t="shared" si="34"/>
        <v>5145</v>
      </c>
      <c r="L315" s="7">
        <v>0</v>
      </c>
      <c r="M315" s="7">
        <v>0</v>
      </c>
      <c r="N315" s="7">
        <v>0</v>
      </c>
      <c r="O315" s="7">
        <v>0</v>
      </c>
      <c r="P315" s="7">
        <v>4289.8474997557469</v>
      </c>
      <c r="Q315" s="7">
        <v>5013.8663511842515</v>
      </c>
      <c r="R315" s="113">
        <f t="shared" si="30"/>
        <v>6.8775790921595595E-2</v>
      </c>
      <c r="S315" s="113">
        <f t="shared" si="31"/>
        <v>0</v>
      </c>
      <c r="T315" s="113">
        <f t="shared" si="32"/>
        <v>0</v>
      </c>
      <c r="U315" s="113">
        <f t="shared" si="33"/>
        <v>2.2925263640531865E-2</v>
      </c>
    </row>
    <row r="316" spans="1:21" x14ac:dyDescent="0.45">
      <c r="A316" s="95">
        <v>44876</v>
      </c>
      <c r="B316" s="96">
        <v>3635</v>
      </c>
      <c r="C316" s="7">
        <v>250</v>
      </c>
      <c r="D316" s="7">
        <f t="shared" si="28"/>
        <v>3385</v>
      </c>
      <c r="E316" s="97">
        <v>1510</v>
      </c>
      <c r="F316" s="7">
        <v>0</v>
      </c>
      <c r="G316" s="7">
        <f t="shared" si="29"/>
        <v>1510</v>
      </c>
      <c r="H316" s="98">
        <v>0</v>
      </c>
      <c r="I316" s="7">
        <v>0</v>
      </c>
      <c r="J316" s="7"/>
      <c r="K316" s="99">
        <f t="shared" si="34"/>
        <v>5145</v>
      </c>
      <c r="L316" s="7">
        <v>0</v>
      </c>
      <c r="M316" s="7">
        <v>0</v>
      </c>
      <c r="N316" s="7">
        <v>0</v>
      </c>
      <c r="O316" s="7">
        <v>0</v>
      </c>
      <c r="P316" s="7">
        <v>4289.8474997557469</v>
      </c>
      <c r="Q316" s="7">
        <v>4965.5560938742537</v>
      </c>
      <c r="R316" s="113">
        <f t="shared" si="30"/>
        <v>6.8775790921595595E-2</v>
      </c>
      <c r="S316" s="113">
        <f t="shared" si="31"/>
        <v>0</v>
      </c>
      <c r="T316" s="113">
        <f t="shared" si="32"/>
        <v>0</v>
      </c>
      <c r="U316" s="113">
        <f t="shared" si="33"/>
        <v>2.2925263640531865E-2</v>
      </c>
    </row>
    <row r="317" spans="1:21" x14ac:dyDescent="0.45">
      <c r="A317" s="95">
        <v>44877</v>
      </c>
      <c r="B317" s="96">
        <v>3635</v>
      </c>
      <c r="C317" s="7">
        <v>250</v>
      </c>
      <c r="D317" s="7">
        <f t="shared" si="28"/>
        <v>3385</v>
      </c>
      <c r="E317" s="97">
        <v>1510</v>
      </c>
      <c r="F317" s="7">
        <v>0</v>
      </c>
      <c r="G317" s="7">
        <f t="shared" si="29"/>
        <v>1510</v>
      </c>
      <c r="H317" s="98">
        <v>0</v>
      </c>
      <c r="I317" s="7">
        <v>0</v>
      </c>
      <c r="J317" s="7"/>
      <c r="K317" s="99">
        <f t="shared" si="34"/>
        <v>5145</v>
      </c>
      <c r="L317" s="7">
        <v>0</v>
      </c>
      <c r="M317" s="7">
        <v>0</v>
      </c>
      <c r="N317" s="7">
        <v>0</v>
      </c>
      <c r="O317" s="7">
        <v>0</v>
      </c>
      <c r="P317" s="7">
        <v>4289.8474997557469</v>
      </c>
      <c r="Q317" s="7">
        <v>4965.5560938742537</v>
      </c>
      <c r="R317" s="113">
        <f t="shared" si="30"/>
        <v>6.8775790921595595E-2</v>
      </c>
      <c r="S317" s="113">
        <f t="shared" si="31"/>
        <v>0</v>
      </c>
      <c r="T317" s="113">
        <f t="shared" si="32"/>
        <v>0</v>
      </c>
      <c r="U317" s="113">
        <f t="shared" si="33"/>
        <v>2.2925263640531865E-2</v>
      </c>
    </row>
    <row r="318" spans="1:21" x14ac:dyDescent="0.45">
      <c r="A318" s="95">
        <v>44878</v>
      </c>
      <c r="B318" s="96">
        <v>3635</v>
      </c>
      <c r="C318" s="7">
        <v>250</v>
      </c>
      <c r="D318" s="7">
        <f t="shared" si="28"/>
        <v>3385</v>
      </c>
      <c r="E318" s="97">
        <v>1510</v>
      </c>
      <c r="F318" s="7">
        <v>0</v>
      </c>
      <c r="G318" s="7">
        <f t="shared" si="29"/>
        <v>1510</v>
      </c>
      <c r="H318" s="98">
        <v>0</v>
      </c>
      <c r="I318" s="7">
        <v>0</v>
      </c>
      <c r="J318" s="7"/>
      <c r="K318" s="99">
        <f t="shared" si="34"/>
        <v>5145</v>
      </c>
      <c r="L318" s="7">
        <v>0</v>
      </c>
      <c r="M318" s="7">
        <v>0</v>
      </c>
      <c r="N318" s="7">
        <v>0</v>
      </c>
      <c r="O318" s="7">
        <v>0</v>
      </c>
      <c r="P318" s="7">
        <v>4289.8474997557469</v>
      </c>
      <c r="Q318" s="7">
        <v>4965.5560938742537</v>
      </c>
      <c r="R318" s="113">
        <f t="shared" si="30"/>
        <v>6.8775790921595595E-2</v>
      </c>
      <c r="S318" s="113">
        <f t="shared" si="31"/>
        <v>0</v>
      </c>
      <c r="T318" s="113">
        <f t="shared" si="32"/>
        <v>0</v>
      </c>
      <c r="U318" s="113">
        <f t="shared" si="33"/>
        <v>2.2925263640531865E-2</v>
      </c>
    </row>
    <row r="319" spans="1:21" x14ac:dyDescent="0.45">
      <c r="A319" s="95">
        <v>44879</v>
      </c>
      <c r="B319" s="96">
        <v>3635</v>
      </c>
      <c r="C319" s="7">
        <v>250</v>
      </c>
      <c r="D319" s="7">
        <f t="shared" si="28"/>
        <v>3385</v>
      </c>
      <c r="E319" s="97">
        <v>1510</v>
      </c>
      <c r="F319" s="7">
        <v>0</v>
      </c>
      <c r="G319" s="7">
        <f t="shared" si="29"/>
        <v>1510</v>
      </c>
      <c r="H319" s="98">
        <v>0</v>
      </c>
      <c r="I319" s="7">
        <v>0</v>
      </c>
      <c r="J319" s="7"/>
      <c r="K319" s="99">
        <f t="shared" si="34"/>
        <v>5145</v>
      </c>
      <c r="L319" s="7">
        <v>0</v>
      </c>
      <c r="M319" s="7">
        <v>0</v>
      </c>
      <c r="N319" s="7">
        <v>0</v>
      </c>
      <c r="O319" s="7">
        <v>0</v>
      </c>
      <c r="P319" s="7">
        <v>4289.8474997557469</v>
      </c>
      <c r="Q319" s="7">
        <v>5237.8050396542521</v>
      </c>
      <c r="R319" s="113">
        <f t="shared" si="30"/>
        <v>6.8775790921595595E-2</v>
      </c>
      <c r="S319" s="113">
        <f t="shared" si="31"/>
        <v>0</v>
      </c>
      <c r="T319" s="113">
        <f t="shared" si="32"/>
        <v>0</v>
      </c>
      <c r="U319" s="113">
        <f t="shared" si="33"/>
        <v>2.2925263640531865E-2</v>
      </c>
    </row>
    <row r="320" spans="1:21" x14ac:dyDescent="0.45">
      <c r="A320" s="95">
        <v>44880</v>
      </c>
      <c r="B320" s="96">
        <v>3635</v>
      </c>
      <c r="C320" s="7">
        <v>250</v>
      </c>
      <c r="D320" s="7">
        <f t="shared" si="28"/>
        <v>3385</v>
      </c>
      <c r="E320" s="97">
        <v>1510</v>
      </c>
      <c r="F320" s="7">
        <v>0</v>
      </c>
      <c r="G320" s="7">
        <f t="shared" si="29"/>
        <v>1510</v>
      </c>
      <c r="H320" s="98">
        <v>0</v>
      </c>
      <c r="I320" s="7">
        <v>0</v>
      </c>
      <c r="J320" s="7"/>
      <c r="K320" s="99">
        <f t="shared" si="34"/>
        <v>5145</v>
      </c>
      <c r="L320" s="7">
        <v>0</v>
      </c>
      <c r="M320" s="7">
        <v>0</v>
      </c>
      <c r="N320" s="7">
        <v>0</v>
      </c>
      <c r="O320" s="7">
        <v>0</v>
      </c>
      <c r="P320" s="7">
        <v>4289.8474997557469</v>
      </c>
      <c r="Q320" s="7">
        <v>5799.7491823942537</v>
      </c>
      <c r="R320" s="113">
        <f t="shared" si="30"/>
        <v>6.8775790921595595E-2</v>
      </c>
      <c r="S320" s="113">
        <f t="shared" si="31"/>
        <v>0</v>
      </c>
      <c r="T320" s="113">
        <f t="shared" si="32"/>
        <v>0</v>
      </c>
      <c r="U320" s="113">
        <f t="shared" si="33"/>
        <v>2.2925263640531865E-2</v>
      </c>
    </row>
    <row r="321" spans="1:21" x14ac:dyDescent="0.45">
      <c r="A321" s="95">
        <v>44881</v>
      </c>
      <c r="B321" s="96">
        <v>3735</v>
      </c>
      <c r="C321" s="7">
        <v>250</v>
      </c>
      <c r="D321" s="7">
        <f t="shared" si="28"/>
        <v>3485</v>
      </c>
      <c r="E321" s="97">
        <v>1510</v>
      </c>
      <c r="F321" s="7">
        <v>0</v>
      </c>
      <c r="G321" s="7">
        <f t="shared" si="29"/>
        <v>1510</v>
      </c>
      <c r="H321" s="98">
        <v>0</v>
      </c>
      <c r="I321" s="7">
        <v>0</v>
      </c>
      <c r="J321" s="7"/>
      <c r="K321" s="99">
        <f t="shared" si="34"/>
        <v>5245</v>
      </c>
      <c r="L321" s="7">
        <v>0</v>
      </c>
      <c r="M321" s="7">
        <v>0</v>
      </c>
      <c r="N321" s="7">
        <v>0</v>
      </c>
      <c r="O321" s="7">
        <v>0</v>
      </c>
      <c r="P321" s="7">
        <v>4289.8474997557469</v>
      </c>
      <c r="Q321" s="7">
        <v>6826.6567523842523</v>
      </c>
      <c r="R321" s="113">
        <f t="shared" si="30"/>
        <v>6.6934404283801874E-2</v>
      </c>
      <c r="S321" s="113">
        <f t="shared" si="31"/>
        <v>0</v>
      </c>
      <c r="T321" s="113">
        <f t="shared" si="32"/>
        <v>0</v>
      </c>
      <c r="U321" s="113">
        <f t="shared" si="33"/>
        <v>2.2311468094600623E-2</v>
      </c>
    </row>
    <row r="322" spans="1:21" x14ac:dyDescent="0.45">
      <c r="A322" s="95">
        <v>44882</v>
      </c>
      <c r="B322" s="96">
        <v>3735</v>
      </c>
      <c r="C322" s="7">
        <v>350</v>
      </c>
      <c r="D322" s="7">
        <f t="shared" ref="D322:D385" si="35">B322-C322</f>
        <v>3385</v>
      </c>
      <c r="E322" s="97">
        <v>1510</v>
      </c>
      <c r="F322" s="7">
        <v>0</v>
      </c>
      <c r="G322" s="7">
        <f t="shared" ref="G322:G385" si="36">E322-F322</f>
        <v>1510</v>
      </c>
      <c r="H322" s="98">
        <v>0</v>
      </c>
      <c r="I322" s="7">
        <v>0</v>
      </c>
      <c r="J322" s="7"/>
      <c r="K322" s="99">
        <f t="shared" si="34"/>
        <v>5245</v>
      </c>
      <c r="L322" s="7">
        <v>0</v>
      </c>
      <c r="M322" s="7">
        <v>0</v>
      </c>
      <c r="N322" s="7">
        <v>0</v>
      </c>
      <c r="O322" s="7">
        <v>0</v>
      </c>
      <c r="P322" s="7">
        <v>4289.8474997557469</v>
      </c>
      <c r="Q322" s="7">
        <v>6506.7565173642524</v>
      </c>
      <c r="R322" s="113">
        <f t="shared" si="30"/>
        <v>9.3708165997322623E-2</v>
      </c>
      <c r="S322" s="113">
        <f t="shared" si="31"/>
        <v>0</v>
      </c>
      <c r="T322" s="113">
        <f t="shared" si="32"/>
        <v>0</v>
      </c>
      <c r="U322" s="113">
        <f t="shared" si="33"/>
        <v>3.1236055332440876E-2</v>
      </c>
    </row>
    <row r="323" spans="1:21" x14ac:dyDescent="0.45">
      <c r="A323" s="95">
        <v>44883</v>
      </c>
      <c r="B323" s="96">
        <v>3735</v>
      </c>
      <c r="C323" s="7">
        <v>350</v>
      </c>
      <c r="D323" s="7">
        <f t="shared" si="35"/>
        <v>3385</v>
      </c>
      <c r="E323" s="97">
        <v>1510</v>
      </c>
      <c r="F323" s="7">
        <v>0</v>
      </c>
      <c r="G323" s="7">
        <f t="shared" si="36"/>
        <v>1510</v>
      </c>
      <c r="H323" s="98">
        <v>0</v>
      </c>
      <c r="I323" s="7">
        <v>0</v>
      </c>
      <c r="J323" s="7"/>
      <c r="K323" s="99">
        <f t="shared" si="34"/>
        <v>5245</v>
      </c>
      <c r="L323" s="7">
        <v>0</v>
      </c>
      <c r="M323" s="7">
        <v>0</v>
      </c>
      <c r="N323" s="7">
        <v>0</v>
      </c>
      <c r="O323" s="7">
        <v>0</v>
      </c>
      <c r="P323" s="7">
        <v>4289.8474997557469</v>
      </c>
      <c r="Q323" s="7">
        <v>6712.7980422142537</v>
      </c>
      <c r="R323" s="113">
        <f t="shared" ref="R323:R386" si="37">C323/B323</f>
        <v>9.3708165997322623E-2</v>
      </c>
      <c r="S323" s="113">
        <f t="shared" ref="S323:S386" si="38">F323/E323</f>
        <v>0</v>
      </c>
      <c r="T323" s="113">
        <f t="shared" ref="T323:T386" si="39">IF(H323=0,0,I323/H323)</f>
        <v>0</v>
      </c>
      <c r="U323" s="113">
        <f t="shared" ref="U323:U386" si="40">AVERAGE(R323:T323)</f>
        <v>3.1236055332440876E-2</v>
      </c>
    </row>
    <row r="324" spans="1:21" x14ac:dyDescent="0.45">
      <c r="A324" s="95">
        <v>44884</v>
      </c>
      <c r="B324" s="96">
        <v>3735</v>
      </c>
      <c r="C324" s="7">
        <v>350</v>
      </c>
      <c r="D324" s="7">
        <f t="shared" si="35"/>
        <v>3385</v>
      </c>
      <c r="E324" s="97">
        <v>1510</v>
      </c>
      <c r="F324" s="7">
        <v>0</v>
      </c>
      <c r="G324" s="7">
        <f t="shared" si="36"/>
        <v>1510</v>
      </c>
      <c r="H324" s="98">
        <v>0</v>
      </c>
      <c r="I324" s="7">
        <v>0</v>
      </c>
      <c r="J324" s="7"/>
      <c r="K324" s="99">
        <f t="shared" ref="K324:K387" si="41">B324+E324+H324</f>
        <v>5245</v>
      </c>
      <c r="L324" s="7">
        <v>0</v>
      </c>
      <c r="M324" s="7">
        <v>0</v>
      </c>
      <c r="N324" s="7">
        <v>0</v>
      </c>
      <c r="O324" s="7">
        <v>0</v>
      </c>
      <c r="P324" s="7">
        <v>4289.8474997557469</v>
      </c>
      <c r="Q324" s="7">
        <v>6712.7980422142537</v>
      </c>
      <c r="R324" s="113">
        <f t="shared" si="37"/>
        <v>9.3708165997322623E-2</v>
      </c>
      <c r="S324" s="113">
        <f t="shared" si="38"/>
        <v>0</v>
      </c>
      <c r="T324" s="113">
        <f t="shared" si="39"/>
        <v>0</v>
      </c>
      <c r="U324" s="113">
        <f t="shared" si="40"/>
        <v>3.1236055332440876E-2</v>
      </c>
    </row>
    <row r="325" spans="1:21" x14ac:dyDescent="0.45">
      <c r="A325" s="95">
        <v>44885</v>
      </c>
      <c r="B325" s="96">
        <v>3735</v>
      </c>
      <c r="C325" s="7">
        <v>350</v>
      </c>
      <c r="D325" s="7">
        <f t="shared" si="35"/>
        <v>3385</v>
      </c>
      <c r="E325" s="97">
        <v>1510</v>
      </c>
      <c r="F325" s="7">
        <v>0</v>
      </c>
      <c r="G325" s="7">
        <f t="shared" si="36"/>
        <v>1510</v>
      </c>
      <c r="H325" s="98">
        <v>0</v>
      </c>
      <c r="I325" s="7">
        <v>0</v>
      </c>
      <c r="J325" s="7"/>
      <c r="K325" s="99">
        <f t="shared" si="41"/>
        <v>5245</v>
      </c>
      <c r="L325" s="7">
        <v>0</v>
      </c>
      <c r="M325" s="7">
        <v>0</v>
      </c>
      <c r="N325" s="7">
        <v>0</v>
      </c>
      <c r="O325" s="7">
        <v>0</v>
      </c>
      <c r="P325" s="7">
        <v>4289.8474997557469</v>
      </c>
      <c r="Q325" s="7">
        <v>6712.7980422142537</v>
      </c>
      <c r="R325" s="113">
        <f t="shared" si="37"/>
        <v>9.3708165997322623E-2</v>
      </c>
      <c r="S325" s="113">
        <f t="shared" si="38"/>
        <v>0</v>
      </c>
      <c r="T325" s="113">
        <f t="shared" si="39"/>
        <v>0</v>
      </c>
      <c r="U325" s="113">
        <f t="shared" si="40"/>
        <v>3.1236055332440876E-2</v>
      </c>
    </row>
    <row r="326" spans="1:21" x14ac:dyDescent="0.45">
      <c r="A326" s="95">
        <v>44886</v>
      </c>
      <c r="B326" s="96">
        <v>3735</v>
      </c>
      <c r="C326" s="7">
        <v>350</v>
      </c>
      <c r="D326" s="7">
        <f t="shared" si="35"/>
        <v>3385</v>
      </c>
      <c r="E326" s="97">
        <v>1510</v>
      </c>
      <c r="F326" s="7">
        <v>0</v>
      </c>
      <c r="G326" s="7">
        <f t="shared" si="36"/>
        <v>1510</v>
      </c>
      <c r="H326" s="98">
        <v>0</v>
      </c>
      <c r="I326" s="7">
        <v>0</v>
      </c>
      <c r="J326" s="7"/>
      <c r="K326" s="99">
        <f t="shared" si="41"/>
        <v>5245</v>
      </c>
      <c r="L326" s="7">
        <v>0</v>
      </c>
      <c r="M326" s="7">
        <v>0</v>
      </c>
      <c r="N326" s="7">
        <v>0</v>
      </c>
      <c r="O326" s="7">
        <v>0</v>
      </c>
      <c r="P326" s="7">
        <v>4289.8474997557469</v>
      </c>
      <c r="Q326" s="7">
        <v>6638.5155649542521</v>
      </c>
      <c r="R326" s="113">
        <f t="shared" si="37"/>
        <v>9.3708165997322623E-2</v>
      </c>
      <c r="S326" s="113">
        <f t="shared" si="38"/>
        <v>0</v>
      </c>
      <c r="T326" s="113">
        <f t="shared" si="39"/>
        <v>0</v>
      </c>
      <c r="U326" s="113">
        <f t="shared" si="40"/>
        <v>3.1236055332440876E-2</v>
      </c>
    </row>
    <row r="327" spans="1:21" x14ac:dyDescent="0.45">
      <c r="A327" s="95">
        <v>44887</v>
      </c>
      <c r="B327" s="96">
        <v>3735</v>
      </c>
      <c r="C327" s="7">
        <v>350</v>
      </c>
      <c r="D327" s="7">
        <f t="shared" si="35"/>
        <v>3385</v>
      </c>
      <c r="E327" s="97">
        <v>1510</v>
      </c>
      <c r="F327" s="7">
        <v>0</v>
      </c>
      <c r="G327" s="7">
        <f t="shared" si="36"/>
        <v>1510</v>
      </c>
      <c r="H327" s="98">
        <v>0</v>
      </c>
      <c r="I327" s="7">
        <v>0</v>
      </c>
      <c r="J327" s="7"/>
      <c r="K327" s="99">
        <f t="shared" si="41"/>
        <v>5245</v>
      </c>
      <c r="L327" s="7">
        <v>0</v>
      </c>
      <c r="M327" s="7">
        <v>0</v>
      </c>
      <c r="N327" s="7">
        <v>0</v>
      </c>
      <c r="O327" s="7">
        <v>0</v>
      </c>
      <c r="P327" s="7">
        <v>4289.8474997557469</v>
      </c>
      <c r="Q327" s="7">
        <v>7494.2151470842518</v>
      </c>
      <c r="R327" s="113">
        <f t="shared" si="37"/>
        <v>9.3708165997322623E-2</v>
      </c>
      <c r="S327" s="113">
        <f t="shared" si="38"/>
        <v>0</v>
      </c>
      <c r="T327" s="113">
        <f t="shared" si="39"/>
        <v>0</v>
      </c>
      <c r="U327" s="113">
        <f t="shared" si="40"/>
        <v>3.1236055332440876E-2</v>
      </c>
    </row>
    <row r="328" spans="1:21" x14ac:dyDescent="0.45">
      <c r="A328" s="95">
        <v>44888</v>
      </c>
      <c r="B328" s="96">
        <v>3735</v>
      </c>
      <c r="C328" s="7">
        <v>350</v>
      </c>
      <c r="D328" s="7">
        <f t="shared" si="35"/>
        <v>3385</v>
      </c>
      <c r="E328" s="97">
        <v>1510</v>
      </c>
      <c r="F328" s="7">
        <v>0</v>
      </c>
      <c r="G328" s="7">
        <f t="shared" si="36"/>
        <v>1510</v>
      </c>
      <c r="H328" s="98">
        <v>0</v>
      </c>
      <c r="I328" s="7">
        <v>0</v>
      </c>
      <c r="J328" s="7"/>
      <c r="K328" s="99">
        <f t="shared" si="41"/>
        <v>5245</v>
      </c>
      <c r="L328" s="7">
        <v>0</v>
      </c>
      <c r="M328" s="7">
        <v>0</v>
      </c>
      <c r="N328" s="7">
        <v>0</v>
      </c>
      <c r="O328" s="7">
        <v>0</v>
      </c>
      <c r="P328" s="7">
        <v>4289.8474997557469</v>
      </c>
      <c r="Q328" s="7">
        <v>7040.1463333142519</v>
      </c>
      <c r="R328" s="113">
        <f t="shared" si="37"/>
        <v>9.3708165997322623E-2</v>
      </c>
      <c r="S328" s="113">
        <f t="shared" si="38"/>
        <v>0</v>
      </c>
      <c r="T328" s="113">
        <f t="shared" si="39"/>
        <v>0</v>
      </c>
      <c r="U328" s="113">
        <f t="shared" si="40"/>
        <v>3.1236055332440876E-2</v>
      </c>
    </row>
    <row r="329" spans="1:21" x14ac:dyDescent="0.45">
      <c r="A329" s="95">
        <v>44889</v>
      </c>
      <c r="B329" s="96">
        <v>3735</v>
      </c>
      <c r="C329" s="7">
        <v>350</v>
      </c>
      <c r="D329" s="7">
        <f t="shared" si="35"/>
        <v>3385</v>
      </c>
      <c r="E329" s="97">
        <v>1510</v>
      </c>
      <c r="F329" s="7">
        <v>0</v>
      </c>
      <c r="G329" s="7">
        <f t="shared" si="36"/>
        <v>1510</v>
      </c>
      <c r="H329" s="98">
        <v>0</v>
      </c>
      <c r="I329" s="7">
        <v>0</v>
      </c>
      <c r="J329" s="7"/>
      <c r="K329" s="99">
        <f t="shared" si="41"/>
        <v>5245</v>
      </c>
      <c r="L329" s="7">
        <v>0</v>
      </c>
      <c r="M329" s="7">
        <v>0</v>
      </c>
      <c r="N329" s="7">
        <v>0</v>
      </c>
      <c r="O329" s="7">
        <v>0</v>
      </c>
      <c r="P329" s="7">
        <v>4289.8474997557469</v>
      </c>
      <c r="Q329" s="7">
        <v>7060.291902994255</v>
      </c>
      <c r="R329" s="113">
        <f t="shared" si="37"/>
        <v>9.3708165997322623E-2</v>
      </c>
      <c r="S329" s="113">
        <f t="shared" si="38"/>
        <v>0</v>
      </c>
      <c r="T329" s="113">
        <f t="shared" si="39"/>
        <v>0</v>
      </c>
      <c r="U329" s="113">
        <f t="shared" si="40"/>
        <v>3.1236055332440876E-2</v>
      </c>
    </row>
    <row r="330" spans="1:21" x14ac:dyDescent="0.45">
      <c r="A330" s="95">
        <v>44890</v>
      </c>
      <c r="B330" s="96">
        <v>3735</v>
      </c>
      <c r="C330" s="7">
        <v>350</v>
      </c>
      <c r="D330" s="7">
        <f t="shared" si="35"/>
        <v>3385</v>
      </c>
      <c r="E330" s="97">
        <v>1510</v>
      </c>
      <c r="F330" s="7">
        <v>0</v>
      </c>
      <c r="G330" s="7">
        <f t="shared" si="36"/>
        <v>1510</v>
      </c>
      <c r="H330" s="98">
        <v>0</v>
      </c>
      <c r="I330" s="7">
        <v>0</v>
      </c>
      <c r="J330" s="7"/>
      <c r="K330" s="99">
        <f t="shared" si="41"/>
        <v>5245</v>
      </c>
      <c r="L330" s="7">
        <v>0</v>
      </c>
      <c r="M330" s="7">
        <v>0</v>
      </c>
      <c r="N330" s="7">
        <v>0</v>
      </c>
      <c r="O330" s="7">
        <v>0</v>
      </c>
      <c r="P330" s="7">
        <v>4289.8474997557469</v>
      </c>
      <c r="Q330" s="7">
        <v>7085.4168784742524</v>
      </c>
      <c r="R330" s="113">
        <f t="shared" si="37"/>
        <v>9.3708165997322623E-2</v>
      </c>
      <c r="S330" s="113">
        <f t="shared" si="38"/>
        <v>0</v>
      </c>
      <c r="T330" s="113">
        <f t="shared" si="39"/>
        <v>0</v>
      </c>
      <c r="U330" s="113">
        <f t="shared" si="40"/>
        <v>3.1236055332440876E-2</v>
      </c>
    </row>
    <row r="331" spans="1:21" x14ac:dyDescent="0.45">
      <c r="A331" s="95">
        <v>44891</v>
      </c>
      <c r="B331" s="96">
        <v>3735</v>
      </c>
      <c r="C331" s="7">
        <v>350</v>
      </c>
      <c r="D331" s="7">
        <f t="shared" si="35"/>
        <v>3385</v>
      </c>
      <c r="E331" s="97">
        <v>1510</v>
      </c>
      <c r="F331" s="7">
        <v>0</v>
      </c>
      <c r="G331" s="7">
        <f t="shared" si="36"/>
        <v>1510</v>
      </c>
      <c r="H331" s="98">
        <v>0</v>
      </c>
      <c r="I331" s="7">
        <v>0</v>
      </c>
      <c r="J331" s="7"/>
      <c r="K331" s="99">
        <f t="shared" si="41"/>
        <v>5245</v>
      </c>
      <c r="L331" s="7">
        <v>0</v>
      </c>
      <c r="M331" s="7">
        <v>0</v>
      </c>
      <c r="N331" s="7">
        <v>0</v>
      </c>
      <c r="O331" s="7">
        <v>0</v>
      </c>
      <c r="P331" s="7">
        <v>4289.8474997557469</v>
      </c>
      <c r="Q331" s="7">
        <v>7085.4168784742524</v>
      </c>
      <c r="R331" s="113">
        <f t="shared" si="37"/>
        <v>9.3708165997322623E-2</v>
      </c>
      <c r="S331" s="113">
        <f t="shared" si="38"/>
        <v>0</v>
      </c>
      <c r="T331" s="113">
        <f t="shared" si="39"/>
        <v>0</v>
      </c>
      <c r="U331" s="113">
        <f t="shared" si="40"/>
        <v>3.1236055332440876E-2</v>
      </c>
    </row>
    <row r="332" spans="1:21" x14ac:dyDescent="0.45">
      <c r="A332" s="95">
        <v>44892</v>
      </c>
      <c r="B332" s="96">
        <v>3735</v>
      </c>
      <c r="C332" s="7">
        <v>350</v>
      </c>
      <c r="D332" s="7">
        <f t="shared" si="35"/>
        <v>3385</v>
      </c>
      <c r="E332" s="97">
        <v>1510</v>
      </c>
      <c r="F332" s="7">
        <v>0</v>
      </c>
      <c r="G332" s="7">
        <f t="shared" si="36"/>
        <v>1510</v>
      </c>
      <c r="H332" s="98">
        <v>0</v>
      </c>
      <c r="I332" s="7">
        <v>0</v>
      </c>
      <c r="J332" s="7"/>
      <c r="K332" s="99">
        <f t="shared" si="41"/>
        <v>5245</v>
      </c>
      <c r="L332" s="7">
        <v>0</v>
      </c>
      <c r="M332" s="7">
        <v>0</v>
      </c>
      <c r="N332" s="7">
        <v>0</v>
      </c>
      <c r="O332" s="7">
        <v>0</v>
      </c>
      <c r="P332" s="7">
        <v>4289.8474997557469</v>
      </c>
      <c r="Q332" s="7">
        <v>7085.4168784742524</v>
      </c>
      <c r="R332" s="113">
        <f t="shared" si="37"/>
        <v>9.3708165997322623E-2</v>
      </c>
      <c r="S332" s="113">
        <f t="shared" si="38"/>
        <v>0</v>
      </c>
      <c r="T332" s="113">
        <f t="shared" si="39"/>
        <v>0</v>
      </c>
      <c r="U332" s="113">
        <f t="shared" si="40"/>
        <v>3.1236055332440876E-2</v>
      </c>
    </row>
    <row r="333" spans="1:21" x14ac:dyDescent="0.45">
      <c r="A333" s="95">
        <v>44893</v>
      </c>
      <c r="B333" s="96">
        <v>3735</v>
      </c>
      <c r="C333" s="7">
        <v>350</v>
      </c>
      <c r="D333" s="7">
        <f t="shared" si="35"/>
        <v>3385</v>
      </c>
      <c r="E333" s="97">
        <v>1510</v>
      </c>
      <c r="F333" s="7">
        <v>0</v>
      </c>
      <c r="G333" s="7">
        <f t="shared" si="36"/>
        <v>1510</v>
      </c>
      <c r="H333" s="98">
        <v>0</v>
      </c>
      <c r="I333" s="7">
        <v>0</v>
      </c>
      <c r="J333" s="7"/>
      <c r="K333" s="99">
        <f t="shared" si="41"/>
        <v>5245</v>
      </c>
      <c r="L333" s="7">
        <v>0</v>
      </c>
      <c r="M333" s="7">
        <v>0</v>
      </c>
      <c r="N333" s="7">
        <v>0</v>
      </c>
      <c r="O333" s="7">
        <v>0</v>
      </c>
      <c r="P333" s="7">
        <v>4391.6376002729121</v>
      </c>
      <c r="Q333" s="7">
        <v>6983.6267779570881</v>
      </c>
      <c r="R333" s="113">
        <f t="shared" si="37"/>
        <v>9.3708165997322623E-2</v>
      </c>
      <c r="S333" s="113">
        <f t="shared" si="38"/>
        <v>0</v>
      </c>
      <c r="T333" s="113">
        <f t="shared" si="39"/>
        <v>0</v>
      </c>
      <c r="U333" s="113">
        <f t="shared" si="40"/>
        <v>3.1236055332440876E-2</v>
      </c>
    </row>
    <row r="334" spans="1:21" x14ac:dyDescent="0.45">
      <c r="A334" s="95">
        <v>44894</v>
      </c>
      <c r="B334" s="96">
        <v>3735</v>
      </c>
      <c r="C334" s="7">
        <v>350</v>
      </c>
      <c r="D334" s="7">
        <f t="shared" si="35"/>
        <v>3385</v>
      </c>
      <c r="E334" s="97">
        <v>1510</v>
      </c>
      <c r="F334" s="7">
        <v>0</v>
      </c>
      <c r="G334" s="7">
        <f t="shared" si="36"/>
        <v>1510</v>
      </c>
      <c r="H334" s="98">
        <v>0</v>
      </c>
      <c r="I334" s="7">
        <v>0</v>
      </c>
      <c r="J334" s="7"/>
      <c r="K334" s="99">
        <f t="shared" si="41"/>
        <v>5245</v>
      </c>
      <c r="L334" s="7">
        <v>0</v>
      </c>
      <c r="M334" s="7">
        <v>0</v>
      </c>
      <c r="N334" s="7">
        <v>0</v>
      </c>
      <c r="O334" s="7">
        <v>0</v>
      </c>
      <c r="P334" s="7">
        <v>4391.6376002729121</v>
      </c>
      <c r="Q334" s="7">
        <v>5631.3517801570888</v>
      </c>
      <c r="R334" s="113">
        <f t="shared" si="37"/>
        <v>9.3708165997322623E-2</v>
      </c>
      <c r="S334" s="113">
        <f t="shared" si="38"/>
        <v>0</v>
      </c>
      <c r="T334" s="113">
        <f t="shared" si="39"/>
        <v>0</v>
      </c>
      <c r="U334" s="113">
        <f t="shared" si="40"/>
        <v>3.1236055332440876E-2</v>
      </c>
    </row>
    <row r="335" spans="1:21" x14ac:dyDescent="0.45">
      <c r="A335" s="95">
        <v>44895</v>
      </c>
      <c r="B335" s="96">
        <v>3735</v>
      </c>
      <c r="C335" s="7">
        <v>350</v>
      </c>
      <c r="D335" s="7">
        <f t="shared" si="35"/>
        <v>3385</v>
      </c>
      <c r="E335" s="97">
        <v>1510</v>
      </c>
      <c r="F335" s="7">
        <v>0</v>
      </c>
      <c r="G335" s="7">
        <f t="shared" si="36"/>
        <v>1510</v>
      </c>
      <c r="H335" s="98">
        <v>0</v>
      </c>
      <c r="I335" s="7">
        <v>0</v>
      </c>
      <c r="J335" s="7"/>
      <c r="K335" s="99">
        <f t="shared" si="41"/>
        <v>5245</v>
      </c>
      <c r="L335" s="7">
        <v>0</v>
      </c>
      <c r="M335" s="7">
        <v>0</v>
      </c>
      <c r="N335" s="7">
        <v>0</v>
      </c>
      <c r="O335" s="7">
        <v>0</v>
      </c>
      <c r="P335" s="7">
        <v>4391.6376002729121</v>
      </c>
      <c r="Q335" s="7">
        <v>5844.6967193170876</v>
      </c>
      <c r="R335" s="113">
        <f t="shared" si="37"/>
        <v>9.3708165997322623E-2</v>
      </c>
      <c r="S335" s="113">
        <f t="shared" si="38"/>
        <v>0</v>
      </c>
      <c r="T335" s="113">
        <f t="shared" si="39"/>
        <v>0</v>
      </c>
      <c r="U335" s="113">
        <f t="shared" si="40"/>
        <v>3.1236055332440876E-2</v>
      </c>
    </row>
    <row r="336" spans="1:21" x14ac:dyDescent="0.45">
      <c r="A336" s="95">
        <v>44896</v>
      </c>
      <c r="B336" s="96">
        <v>3735</v>
      </c>
      <c r="C336" s="7">
        <v>350</v>
      </c>
      <c r="D336" s="7">
        <f t="shared" si="35"/>
        <v>3385</v>
      </c>
      <c r="E336" s="97">
        <v>1510</v>
      </c>
      <c r="F336" s="7">
        <v>0</v>
      </c>
      <c r="G336" s="7">
        <f t="shared" si="36"/>
        <v>1510</v>
      </c>
      <c r="H336" s="98">
        <v>0</v>
      </c>
      <c r="I336" s="7">
        <v>0</v>
      </c>
      <c r="J336" s="7"/>
      <c r="K336" s="99">
        <f t="shared" si="41"/>
        <v>5245</v>
      </c>
      <c r="L336" s="7">
        <v>0</v>
      </c>
      <c r="M336" s="7">
        <v>0</v>
      </c>
      <c r="N336" s="7">
        <v>0</v>
      </c>
      <c r="O336" s="7">
        <v>0</v>
      </c>
      <c r="P336" s="7">
        <v>4391.6376002729121</v>
      </c>
      <c r="Q336" s="7">
        <v>6025.2518014870884</v>
      </c>
      <c r="R336" s="113">
        <f t="shared" si="37"/>
        <v>9.3708165997322623E-2</v>
      </c>
      <c r="S336" s="113">
        <f t="shared" si="38"/>
        <v>0</v>
      </c>
      <c r="T336" s="113">
        <f t="shared" si="39"/>
        <v>0</v>
      </c>
      <c r="U336" s="113">
        <f t="shared" si="40"/>
        <v>3.1236055332440876E-2</v>
      </c>
    </row>
    <row r="337" spans="1:21" x14ac:dyDescent="0.45">
      <c r="A337" s="95">
        <v>44897</v>
      </c>
      <c r="B337" s="96">
        <v>3735</v>
      </c>
      <c r="C337" s="7">
        <v>350</v>
      </c>
      <c r="D337" s="7">
        <f t="shared" si="35"/>
        <v>3385</v>
      </c>
      <c r="E337" s="97">
        <v>1510</v>
      </c>
      <c r="F337" s="7">
        <v>0</v>
      </c>
      <c r="G337" s="7">
        <f t="shared" si="36"/>
        <v>1510</v>
      </c>
      <c r="H337" s="98">
        <v>0</v>
      </c>
      <c r="I337" s="7">
        <v>0</v>
      </c>
      <c r="J337" s="7"/>
      <c r="K337" s="99">
        <f t="shared" si="41"/>
        <v>5245</v>
      </c>
      <c r="L337" s="7">
        <v>0</v>
      </c>
      <c r="M337" s="7">
        <v>0</v>
      </c>
      <c r="N337" s="7">
        <v>0</v>
      </c>
      <c r="O337" s="7">
        <v>0</v>
      </c>
      <c r="P337" s="7">
        <v>4391.6376002729121</v>
      </c>
      <c r="Q337" s="7">
        <v>5859.8066569370894</v>
      </c>
      <c r="R337" s="113">
        <f t="shared" si="37"/>
        <v>9.3708165997322623E-2</v>
      </c>
      <c r="S337" s="113">
        <f t="shared" si="38"/>
        <v>0</v>
      </c>
      <c r="T337" s="113">
        <f t="shared" si="39"/>
        <v>0</v>
      </c>
      <c r="U337" s="113">
        <f t="shared" si="40"/>
        <v>3.1236055332440876E-2</v>
      </c>
    </row>
    <row r="338" spans="1:21" x14ac:dyDescent="0.45">
      <c r="A338" s="95">
        <v>44898</v>
      </c>
      <c r="B338" s="96">
        <v>3735</v>
      </c>
      <c r="C338" s="7">
        <v>350</v>
      </c>
      <c r="D338" s="7">
        <f t="shared" si="35"/>
        <v>3385</v>
      </c>
      <c r="E338" s="97">
        <v>1510</v>
      </c>
      <c r="F338" s="7">
        <v>0</v>
      </c>
      <c r="G338" s="7">
        <f t="shared" si="36"/>
        <v>1510</v>
      </c>
      <c r="H338" s="98">
        <v>0</v>
      </c>
      <c r="I338" s="7">
        <v>0</v>
      </c>
      <c r="J338" s="7"/>
      <c r="K338" s="99">
        <f t="shared" si="41"/>
        <v>5245</v>
      </c>
      <c r="L338" s="7">
        <v>0</v>
      </c>
      <c r="M338" s="7">
        <v>0</v>
      </c>
      <c r="N338" s="7">
        <v>0</v>
      </c>
      <c r="O338" s="7">
        <v>0</v>
      </c>
      <c r="P338" s="7">
        <v>4391.6376002729121</v>
      </c>
      <c r="Q338" s="7">
        <v>5859.8066569370894</v>
      </c>
      <c r="R338" s="113">
        <f t="shared" si="37"/>
        <v>9.3708165997322623E-2</v>
      </c>
      <c r="S338" s="113">
        <f t="shared" si="38"/>
        <v>0</v>
      </c>
      <c r="T338" s="113">
        <f t="shared" si="39"/>
        <v>0</v>
      </c>
      <c r="U338" s="113">
        <f t="shared" si="40"/>
        <v>3.1236055332440876E-2</v>
      </c>
    </row>
    <row r="339" spans="1:21" x14ac:dyDescent="0.45">
      <c r="A339" s="95">
        <v>44899</v>
      </c>
      <c r="B339" s="96">
        <v>3735</v>
      </c>
      <c r="C339" s="7">
        <v>350</v>
      </c>
      <c r="D339" s="7">
        <f t="shared" si="35"/>
        <v>3385</v>
      </c>
      <c r="E339" s="97">
        <v>1510</v>
      </c>
      <c r="F339" s="7">
        <v>0</v>
      </c>
      <c r="G339" s="7">
        <f t="shared" si="36"/>
        <v>1510</v>
      </c>
      <c r="H339" s="98">
        <v>0</v>
      </c>
      <c r="I339" s="7">
        <v>0</v>
      </c>
      <c r="J339" s="7"/>
      <c r="K339" s="99">
        <f t="shared" si="41"/>
        <v>5245</v>
      </c>
      <c r="L339" s="7">
        <v>0</v>
      </c>
      <c r="M339" s="7">
        <v>0</v>
      </c>
      <c r="N339" s="7">
        <v>0</v>
      </c>
      <c r="O339" s="7">
        <v>0</v>
      </c>
      <c r="P339" s="7">
        <v>4391.6376002729121</v>
      </c>
      <c r="Q339" s="7">
        <v>5859.8066569370894</v>
      </c>
      <c r="R339" s="113">
        <f t="shared" si="37"/>
        <v>9.3708165997322623E-2</v>
      </c>
      <c r="S339" s="113">
        <f t="shared" si="38"/>
        <v>0</v>
      </c>
      <c r="T339" s="113">
        <f t="shared" si="39"/>
        <v>0</v>
      </c>
      <c r="U339" s="113">
        <f t="shared" si="40"/>
        <v>3.1236055332440876E-2</v>
      </c>
    </row>
    <row r="340" spans="1:21" x14ac:dyDescent="0.45">
      <c r="A340" s="95">
        <v>44900</v>
      </c>
      <c r="B340" s="96">
        <v>3735</v>
      </c>
      <c r="C340" s="7">
        <v>350</v>
      </c>
      <c r="D340" s="7">
        <f t="shared" si="35"/>
        <v>3385</v>
      </c>
      <c r="E340" s="97">
        <v>1510</v>
      </c>
      <c r="F340" s="7">
        <v>0</v>
      </c>
      <c r="G340" s="7">
        <f t="shared" si="36"/>
        <v>1510</v>
      </c>
      <c r="H340" s="98">
        <v>0</v>
      </c>
      <c r="I340" s="7">
        <v>0</v>
      </c>
      <c r="J340" s="7"/>
      <c r="K340" s="99">
        <f t="shared" si="41"/>
        <v>5245</v>
      </c>
      <c r="L340" s="7">
        <v>0</v>
      </c>
      <c r="M340" s="7">
        <v>0</v>
      </c>
      <c r="N340" s="7">
        <v>0</v>
      </c>
      <c r="O340" s="7">
        <v>0</v>
      </c>
      <c r="P340" s="7">
        <v>4391.6376002729121</v>
      </c>
      <c r="Q340" s="7">
        <v>6262.5186038370884</v>
      </c>
      <c r="R340" s="113">
        <f t="shared" si="37"/>
        <v>9.3708165997322623E-2</v>
      </c>
      <c r="S340" s="113">
        <f t="shared" si="38"/>
        <v>0</v>
      </c>
      <c r="T340" s="113">
        <f t="shared" si="39"/>
        <v>0</v>
      </c>
      <c r="U340" s="113">
        <f t="shared" si="40"/>
        <v>3.1236055332440876E-2</v>
      </c>
    </row>
    <row r="341" spans="1:21" x14ac:dyDescent="0.45">
      <c r="A341" s="95">
        <v>44901</v>
      </c>
      <c r="B341" s="96">
        <v>3735</v>
      </c>
      <c r="C341" s="7">
        <v>350</v>
      </c>
      <c r="D341" s="7">
        <f t="shared" si="35"/>
        <v>3385</v>
      </c>
      <c r="E341" s="97">
        <v>1510</v>
      </c>
      <c r="F341" s="7">
        <v>0</v>
      </c>
      <c r="G341" s="7">
        <f t="shared" si="36"/>
        <v>1510</v>
      </c>
      <c r="H341" s="98">
        <v>0</v>
      </c>
      <c r="I341" s="7">
        <v>0</v>
      </c>
      <c r="J341" s="7"/>
      <c r="K341" s="99">
        <f t="shared" si="41"/>
        <v>5245</v>
      </c>
      <c r="L341" s="7">
        <v>0</v>
      </c>
      <c r="M341" s="7">
        <v>0</v>
      </c>
      <c r="N341" s="7">
        <v>0</v>
      </c>
      <c r="O341" s="7">
        <v>0</v>
      </c>
      <c r="P341" s="7">
        <v>4391.6376002729121</v>
      </c>
      <c r="Q341" s="7">
        <v>6701.9506621570899</v>
      </c>
      <c r="R341" s="113">
        <f t="shared" si="37"/>
        <v>9.3708165997322623E-2</v>
      </c>
      <c r="S341" s="113">
        <f t="shared" si="38"/>
        <v>0</v>
      </c>
      <c r="T341" s="113">
        <f t="shared" si="39"/>
        <v>0</v>
      </c>
      <c r="U341" s="113">
        <f t="shared" si="40"/>
        <v>3.1236055332440876E-2</v>
      </c>
    </row>
    <row r="342" spans="1:21" x14ac:dyDescent="0.45">
      <c r="A342" s="95">
        <v>44902</v>
      </c>
      <c r="B342" s="96">
        <v>3834</v>
      </c>
      <c r="C342" s="7">
        <v>350</v>
      </c>
      <c r="D342" s="7">
        <f t="shared" si="35"/>
        <v>3484</v>
      </c>
      <c r="E342" s="97">
        <v>1510</v>
      </c>
      <c r="F342" s="7">
        <v>0</v>
      </c>
      <c r="G342" s="7">
        <f t="shared" si="36"/>
        <v>1510</v>
      </c>
      <c r="H342" s="98">
        <v>0</v>
      </c>
      <c r="I342" s="7">
        <v>0</v>
      </c>
      <c r="J342" s="7"/>
      <c r="K342" s="99">
        <f t="shared" si="41"/>
        <v>5344</v>
      </c>
      <c r="L342" s="7">
        <v>0</v>
      </c>
      <c r="M342" s="7">
        <v>0</v>
      </c>
      <c r="N342" s="7">
        <v>0</v>
      </c>
      <c r="O342" s="7">
        <v>0</v>
      </c>
      <c r="P342" s="7">
        <v>4391.6376002729121</v>
      </c>
      <c r="Q342" s="7">
        <v>6670.3404074870896</v>
      </c>
      <c r="R342" s="113">
        <f t="shared" si="37"/>
        <v>9.1288471570161706E-2</v>
      </c>
      <c r="S342" s="113">
        <f t="shared" si="38"/>
        <v>0</v>
      </c>
      <c r="T342" s="113">
        <f t="shared" si="39"/>
        <v>0</v>
      </c>
      <c r="U342" s="113">
        <f t="shared" si="40"/>
        <v>3.0429490523387236E-2</v>
      </c>
    </row>
    <row r="343" spans="1:21" x14ac:dyDescent="0.45">
      <c r="A343" s="95">
        <v>44903</v>
      </c>
      <c r="B343" s="96">
        <v>3834</v>
      </c>
      <c r="C343" s="7">
        <v>430</v>
      </c>
      <c r="D343" s="7">
        <f t="shared" si="35"/>
        <v>3404</v>
      </c>
      <c r="E343" s="97">
        <v>1510</v>
      </c>
      <c r="F343" s="7">
        <v>0</v>
      </c>
      <c r="G343" s="7">
        <f t="shared" si="36"/>
        <v>1510</v>
      </c>
      <c r="H343" s="98">
        <v>0</v>
      </c>
      <c r="I343" s="7">
        <v>0</v>
      </c>
      <c r="J343" s="7"/>
      <c r="K343" s="99">
        <f t="shared" si="41"/>
        <v>5344</v>
      </c>
      <c r="L343" s="7">
        <v>0</v>
      </c>
      <c r="M343" s="7">
        <v>0</v>
      </c>
      <c r="N343" s="7">
        <v>0</v>
      </c>
      <c r="O343" s="7">
        <v>0</v>
      </c>
      <c r="P343" s="7">
        <v>4391.6376002729121</v>
      </c>
      <c r="Q343" s="7">
        <v>6089.3578076470876</v>
      </c>
      <c r="R343" s="113">
        <f t="shared" si="37"/>
        <v>0.11215440792905582</v>
      </c>
      <c r="S343" s="113">
        <f t="shared" si="38"/>
        <v>0</v>
      </c>
      <c r="T343" s="113">
        <f t="shared" si="39"/>
        <v>0</v>
      </c>
      <c r="U343" s="113">
        <f t="shared" si="40"/>
        <v>3.7384802643018605E-2</v>
      </c>
    </row>
    <row r="344" spans="1:21" x14ac:dyDescent="0.45">
      <c r="A344" s="95">
        <v>44904</v>
      </c>
      <c r="B344" s="96">
        <v>3834</v>
      </c>
      <c r="C344" s="7">
        <v>430</v>
      </c>
      <c r="D344" s="7">
        <f t="shared" si="35"/>
        <v>3404</v>
      </c>
      <c r="E344" s="97">
        <v>1510</v>
      </c>
      <c r="F344" s="7">
        <v>0</v>
      </c>
      <c r="G344" s="7">
        <f t="shared" si="36"/>
        <v>1510</v>
      </c>
      <c r="H344" s="98">
        <v>0</v>
      </c>
      <c r="I344" s="7">
        <v>0</v>
      </c>
      <c r="J344" s="7"/>
      <c r="K344" s="99">
        <f t="shared" si="41"/>
        <v>5344</v>
      </c>
      <c r="L344" s="7">
        <v>300</v>
      </c>
      <c r="M344" s="7">
        <v>0</v>
      </c>
      <c r="N344" s="7">
        <v>0</v>
      </c>
      <c r="O344" s="7">
        <v>0</v>
      </c>
      <c r="P344" s="7">
        <v>4391.6376002729121</v>
      </c>
      <c r="Q344" s="7">
        <v>6500.6015736370882</v>
      </c>
      <c r="R344" s="113">
        <f t="shared" si="37"/>
        <v>0.11215440792905582</v>
      </c>
      <c r="S344" s="113">
        <f t="shared" si="38"/>
        <v>0</v>
      </c>
      <c r="T344" s="113">
        <f t="shared" si="39"/>
        <v>0</v>
      </c>
      <c r="U344" s="113">
        <f t="shared" si="40"/>
        <v>3.7384802643018605E-2</v>
      </c>
    </row>
    <row r="345" spans="1:21" x14ac:dyDescent="0.45">
      <c r="A345" s="95">
        <v>44905</v>
      </c>
      <c r="B345" s="96">
        <v>3834</v>
      </c>
      <c r="C345" s="7">
        <v>430</v>
      </c>
      <c r="D345" s="7">
        <f t="shared" si="35"/>
        <v>3404</v>
      </c>
      <c r="E345" s="97">
        <v>1510</v>
      </c>
      <c r="F345" s="7">
        <v>0</v>
      </c>
      <c r="G345" s="7">
        <f t="shared" si="36"/>
        <v>1510</v>
      </c>
      <c r="H345" s="98">
        <v>0</v>
      </c>
      <c r="I345" s="7">
        <v>0</v>
      </c>
      <c r="J345" s="7"/>
      <c r="K345" s="99">
        <f t="shared" si="41"/>
        <v>5344</v>
      </c>
      <c r="L345" s="7">
        <v>300</v>
      </c>
      <c r="M345" s="7">
        <v>0</v>
      </c>
      <c r="N345" s="7">
        <v>0</v>
      </c>
      <c r="O345" s="7">
        <v>0</v>
      </c>
      <c r="P345" s="7">
        <v>4391.6376002729121</v>
      </c>
      <c r="Q345" s="7">
        <v>6500.6015736370882</v>
      </c>
      <c r="R345" s="113">
        <f t="shared" si="37"/>
        <v>0.11215440792905582</v>
      </c>
      <c r="S345" s="113">
        <f t="shared" si="38"/>
        <v>0</v>
      </c>
      <c r="T345" s="113">
        <f t="shared" si="39"/>
        <v>0</v>
      </c>
      <c r="U345" s="113">
        <f t="shared" si="40"/>
        <v>3.7384802643018605E-2</v>
      </c>
    </row>
    <row r="346" spans="1:21" x14ac:dyDescent="0.45">
      <c r="A346" s="95">
        <v>44906</v>
      </c>
      <c r="B346" s="96">
        <v>3834</v>
      </c>
      <c r="C346" s="7">
        <v>430</v>
      </c>
      <c r="D346" s="7">
        <f t="shared" si="35"/>
        <v>3404</v>
      </c>
      <c r="E346" s="97">
        <v>1510</v>
      </c>
      <c r="F346" s="7">
        <v>0</v>
      </c>
      <c r="G346" s="7">
        <f t="shared" si="36"/>
        <v>1510</v>
      </c>
      <c r="H346" s="98">
        <v>0</v>
      </c>
      <c r="I346" s="7">
        <v>0</v>
      </c>
      <c r="J346" s="7"/>
      <c r="K346" s="99">
        <f t="shared" si="41"/>
        <v>5344</v>
      </c>
      <c r="L346" s="7">
        <v>300</v>
      </c>
      <c r="M346" s="7">
        <v>0</v>
      </c>
      <c r="N346" s="7">
        <v>0</v>
      </c>
      <c r="O346" s="7">
        <v>0</v>
      </c>
      <c r="P346" s="7">
        <v>4391.6376002729121</v>
      </c>
      <c r="Q346" s="7">
        <v>6500.6015736370882</v>
      </c>
      <c r="R346" s="113">
        <f t="shared" si="37"/>
        <v>0.11215440792905582</v>
      </c>
      <c r="S346" s="113">
        <f t="shared" si="38"/>
        <v>0</v>
      </c>
      <c r="T346" s="113">
        <f t="shared" si="39"/>
        <v>0</v>
      </c>
      <c r="U346" s="113">
        <f t="shared" si="40"/>
        <v>3.7384802643018605E-2</v>
      </c>
    </row>
    <row r="347" spans="1:21" x14ac:dyDescent="0.45">
      <c r="A347" s="95">
        <v>44907</v>
      </c>
      <c r="B347" s="96">
        <v>3834</v>
      </c>
      <c r="C347" s="7">
        <v>430</v>
      </c>
      <c r="D347" s="7">
        <f t="shared" si="35"/>
        <v>3404</v>
      </c>
      <c r="E347" s="97">
        <v>1510</v>
      </c>
      <c r="F347" s="7">
        <v>0</v>
      </c>
      <c r="G347" s="7">
        <f t="shared" si="36"/>
        <v>1510</v>
      </c>
      <c r="H347" s="98">
        <v>0</v>
      </c>
      <c r="I347" s="7">
        <v>0</v>
      </c>
      <c r="J347" s="7"/>
      <c r="K347" s="99">
        <f t="shared" si="41"/>
        <v>5344</v>
      </c>
      <c r="L347" s="7">
        <v>300</v>
      </c>
      <c r="M347" s="7">
        <v>0</v>
      </c>
      <c r="N347" s="7">
        <v>0</v>
      </c>
      <c r="O347" s="7">
        <v>0</v>
      </c>
      <c r="P347" s="7">
        <v>4391.6376002729121</v>
      </c>
      <c r="Q347" s="7">
        <v>5810.3645845970877</v>
      </c>
      <c r="R347" s="113">
        <f t="shared" si="37"/>
        <v>0.11215440792905582</v>
      </c>
      <c r="S347" s="113">
        <f t="shared" si="38"/>
        <v>0</v>
      </c>
      <c r="T347" s="113">
        <f t="shared" si="39"/>
        <v>0</v>
      </c>
      <c r="U347" s="113">
        <f t="shared" si="40"/>
        <v>3.7384802643018605E-2</v>
      </c>
    </row>
    <row r="348" spans="1:21" x14ac:dyDescent="0.45">
      <c r="A348" s="95">
        <v>44908</v>
      </c>
      <c r="B348" s="96">
        <v>3834</v>
      </c>
      <c r="C348" s="7">
        <v>430</v>
      </c>
      <c r="D348" s="7">
        <f t="shared" si="35"/>
        <v>3404</v>
      </c>
      <c r="E348" s="97">
        <v>1510</v>
      </c>
      <c r="F348" s="7">
        <v>0</v>
      </c>
      <c r="G348" s="7">
        <f t="shared" si="36"/>
        <v>1510</v>
      </c>
      <c r="H348" s="98">
        <v>0</v>
      </c>
      <c r="I348" s="7">
        <v>0</v>
      </c>
      <c r="J348" s="7"/>
      <c r="K348" s="99">
        <f t="shared" si="41"/>
        <v>5344</v>
      </c>
      <c r="L348" s="7">
        <v>300</v>
      </c>
      <c r="M348" s="7">
        <v>0</v>
      </c>
      <c r="N348" s="7">
        <v>0</v>
      </c>
      <c r="O348" s="7">
        <v>0</v>
      </c>
      <c r="P348" s="7">
        <v>4391.6376002729121</v>
      </c>
      <c r="Q348" s="7">
        <v>5876.1232901470885</v>
      </c>
      <c r="R348" s="113">
        <f t="shared" si="37"/>
        <v>0.11215440792905582</v>
      </c>
      <c r="S348" s="113">
        <f t="shared" si="38"/>
        <v>0</v>
      </c>
      <c r="T348" s="113">
        <f t="shared" si="39"/>
        <v>0</v>
      </c>
      <c r="U348" s="113">
        <f t="shared" si="40"/>
        <v>3.7384802643018605E-2</v>
      </c>
    </row>
    <row r="349" spans="1:21" x14ac:dyDescent="0.45">
      <c r="A349" s="95">
        <v>44909</v>
      </c>
      <c r="B349" s="96">
        <v>3834</v>
      </c>
      <c r="C349" s="7">
        <v>430</v>
      </c>
      <c r="D349" s="7">
        <f t="shared" si="35"/>
        <v>3404</v>
      </c>
      <c r="E349" s="97">
        <v>1510</v>
      </c>
      <c r="F349" s="7">
        <v>0</v>
      </c>
      <c r="G349" s="7">
        <f t="shared" si="36"/>
        <v>1510</v>
      </c>
      <c r="H349" s="98">
        <v>0</v>
      </c>
      <c r="I349" s="7">
        <v>0</v>
      </c>
      <c r="J349" s="7"/>
      <c r="K349" s="99">
        <f t="shared" si="41"/>
        <v>5344</v>
      </c>
      <c r="L349" s="7">
        <v>300</v>
      </c>
      <c r="M349" s="7">
        <v>0</v>
      </c>
      <c r="N349" s="7">
        <v>0</v>
      </c>
      <c r="O349" s="7">
        <v>0</v>
      </c>
      <c r="P349" s="7">
        <v>4391.6376002729121</v>
      </c>
      <c r="Q349" s="7">
        <v>5546.4863878470896</v>
      </c>
      <c r="R349" s="113">
        <f t="shared" si="37"/>
        <v>0.11215440792905582</v>
      </c>
      <c r="S349" s="113">
        <f t="shared" si="38"/>
        <v>0</v>
      </c>
      <c r="T349" s="113">
        <f t="shared" si="39"/>
        <v>0</v>
      </c>
      <c r="U349" s="113">
        <f t="shared" si="40"/>
        <v>3.7384802643018605E-2</v>
      </c>
    </row>
    <row r="350" spans="1:21" x14ac:dyDescent="0.45">
      <c r="A350" s="95">
        <v>44910</v>
      </c>
      <c r="B350" s="96">
        <v>3834</v>
      </c>
      <c r="C350" s="7">
        <v>430</v>
      </c>
      <c r="D350" s="7">
        <f t="shared" si="35"/>
        <v>3404</v>
      </c>
      <c r="E350" s="97">
        <v>1510</v>
      </c>
      <c r="F350" s="7">
        <v>0</v>
      </c>
      <c r="G350" s="7">
        <f t="shared" si="36"/>
        <v>1510</v>
      </c>
      <c r="H350" s="98">
        <v>0</v>
      </c>
      <c r="I350" s="7">
        <v>0</v>
      </c>
      <c r="J350" s="7"/>
      <c r="K350" s="99">
        <f t="shared" si="41"/>
        <v>5344</v>
      </c>
      <c r="L350" s="7">
        <v>300</v>
      </c>
      <c r="M350" s="7">
        <v>0</v>
      </c>
      <c r="N350" s="7">
        <v>0</v>
      </c>
      <c r="O350" s="7">
        <v>0</v>
      </c>
      <c r="P350" s="7">
        <v>4391.6376002729121</v>
      </c>
      <c r="Q350" s="7">
        <v>5870.795559667089</v>
      </c>
      <c r="R350" s="113">
        <f t="shared" si="37"/>
        <v>0.11215440792905582</v>
      </c>
      <c r="S350" s="113">
        <f t="shared" si="38"/>
        <v>0</v>
      </c>
      <c r="T350" s="113">
        <f t="shared" si="39"/>
        <v>0</v>
      </c>
      <c r="U350" s="113">
        <f t="shared" si="40"/>
        <v>3.7384802643018605E-2</v>
      </c>
    </row>
    <row r="351" spans="1:21" x14ac:dyDescent="0.45">
      <c r="A351" s="95">
        <v>44911</v>
      </c>
      <c r="B351" s="96">
        <v>3834</v>
      </c>
      <c r="C351" s="7">
        <v>430</v>
      </c>
      <c r="D351" s="7">
        <f t="shared" si="35"/>
        <v>3404</v>
      </c>
      <c r="E351" s="97">
        <v>1510</v>
      </c>
      <c r="F351" s="7">
        <v>0</v>
      </c>
      <c r="G351" s="7">
        <f t="shared" si="36"/>
        <v>1510</v>
      </c>
      <c r="H351" s="98">
        <v>0</v>
      </c>
      <c r="I351" s="7">
        <v>0</v>
      </c>
      <c r="J351" s="7"/>
      <c r="K351" s="99">
        <f t="shared" si="41"/>
        <v>5344</v>
      </c>
      <c r="L351" s="7">
        <v>300</v>
      </c>
      <c r="M351" s="7">
        <v>0</v>
      </c>
      <c r="N351" s="7">
        <v>0</v>
      </c>
      <c r="O351" s="7">
        <v>0</v>
      </c>
      <c r="P351" s="7">
        <v>4391.6376002729121</v>
      </c>
      <c r="Q351" s="7">
        <v>6262.5186038370884</v>
      </c>
      <c r="R351" s="113">
        <f t="shared" si="37"/>
        <v>0.11215440792905582</v>
      </c>
      <c r="S351" s="113">
        <f t="shared" si="38"/>
        <v>0</v>
      </c>
      <c r="T351" s="113">
        <f t="shared" si="39"/>
        <v>0</v>
      </c>
      <c r="U351" s="113">
        <f t="shared" si="40"/>
        <v>3.7384802643018605E-2</v>
      </c>
    </row>
    <row r="352" spans="1:21" x14ac:dyDescent="0.45">
      <c r="A352" s="95">
        <v>44912</v>
      </c>
      <c r="B352" s="96">
        <v>3834</v>
      </c>
      <c r="C352" s="7">
        <v>430</v>
      </c>
      <c r="D352" s="7">
        <f t="shared" si="35"/>
        <v>3404</v>
      </c>
      <c r="E352" s="97">
        <v>1510</v>
      </c>
      <c r="F352" s="7">
        <v>0</v>
      </c>
      <c r="G352" s="7">
        <f t="shared" si="36"/>
        <v>1510</v>
      </c>
      <c r="H352" s="98">
        <v>0</v>
      </c>
      <c r="I352" s="7">
        <v>0</v>
      </c>
      <c r="J352" s="7"/>
      <c r="K352" s="99">
        <f t="shared" si="41"/>
        <v>5344</v>
      </c>
      <c r="L352" s="7">
        <v>300</v>
      </c>
      <c r="M352" s="7">
        <v>0</v>
      </c>
      <c r="N352" s="7">
        <v>0</v>
      </c>
      <c r="O352" s="7">
        <v>0</v>
      </c>
      <c r="P352" s="7">
        <v>4391.6376002729121</v>
      </c>
      <c r="Q352" s="7">
        <v>6262.5186038370884</v>
      </c>
      <c r="R352" s="113">
        <f t="shared" si="37"/>
        <v>0.11215440792905582</v>
      </c>
      <c r="S352" s="113">
        <f t="shared" si="38"/>
        <v>0</v>
      </c>
      <c r="T352" s="113">
        <f t="shared" si="39"/>
        <v>0</v>
      </c>
      <c r="U352" s="113">
        <f t="shared" si="40"/>
        <v>3.7384802643018605E-2</v>
      </c>
    </row>
    <row r="353" spans="1:21" x14ac:dyDescent="0.45">
      <c r="A353" s="95">
        <v>44913</v>
      </c>
      <c r="B353" s="96">
        <v>3834</v>
      </c>
      <c r="C353" s="7">
        <v>430</v>
      </c>
      <c r="D353" s="7">
        <f t="shared" si="35"/>
        <v>3404</v>
      </c>
      <c r="E353" s="97">
        <v>1510</v>
      </c>
      <c r="F353" s="7">
        <v>0</v>
      </c>
      <c r="G353" s="7">
        <f t="shared" si="36"/>
        <v>1510</v>
      </c>
      <c r="H353" s="98">
        <v>0</v>
      </c>
      <c r="I353" s="7">
        <v>0</v>
      </c>
      <c r="J353" s="7"/>
      <c r="K353" s="99">
        <f t="shared" si="41"/>
        <v>5344</v>
      </c>
      <c r="L353" s="7">
        <v>300</v>
      </c>
      <c r="M353" s="7">
        <v>0</v>
      </c>
      <c r="N353" s="7">
        <v>0</v>
      </c>
      <c r="O353" s="7">
        <v>0</v>
      </c>
      <c r="P353" s="7">
        <v>4391.6376002729121</v>
      </c>
      <c r="Q353" s="7">
        <v>6262.5186038370884</v>
      </c>
      <c r="R353" s="113">
        <f t="shared" si="37"/>
        <v>0.11215440792905582</v>
      </c>
      <c r="S353" s="113">
        <f t="shared" si="38"/>
        <v>0</v>
      </c>
      <c r="T353" s="113">
        <f t="shared" si="39"/>
        <v>0</v>
      </c>
      <c r="U353" s="113">
        <f t="shared" si="40"/>
        <v>3.7384802643018605E-2</v>
      </c>
    </row>
    <row r="354" spans="1:21" x14ac:dyDescent="0.45">
      <c r="A354" s="95">
        <v>44914</v>
      </c>
      <c r="B354" s="96">
        <v>3834</v>
      </c>
      <c r="C354" s="7">
        <v>430</v>
      </c>
      <c r="D354" s="7">
        <f t="shared" si="35"/>
        <v>3404</v>
      </c>
      <c r="E354" s="97">
        <v>1510</v>
      </c>
      <c r="F354" s="7">
        <v>0</v>
      </c>
      <c r="G354" s="7">
        <f t="shared" si="36"/>
        <v>1510</v>
      </c>
      <c r="H354" s="98">
        <v>0</v>
      </c>
      <c r="I354" s="7">
        <v>0</v>
      </c>
      <c r="J354" s="7"/>
      <c r="K354" s="99">
        <f t="shared" si="41"/>
        <v>5344</v>
      </c>
      <c r="L354" s="7">
        <v>300</v>
      </c>
      <c r="M354" s="7">
        <v>0</v>
      </c>
      <c r="N354" s="7">
        <v>0</v>
      </c>
      <c r="O354" s="7">
        <v>0</v>
      </c>
      <c r="P354" s="7">
        <v>4391.6376002729121</v>
      </c>
      <c r="Q354" s="7">
        <v>5149.4958558470889</v>
      </c>
      <c r="R354" s="113">
        <f t="shared" si="37"/>
        <v>0.11215440792905582</v>
      </c>
      <c r="S354" s="113">
        <f t="shared" si="38"/>
        <v>0</v>
      </c>
      <c r="T354" s="113">
        <f t="shared" si="39"/>
        <v>0</v>
      </c>
      <c r="U354" s="113">
        <f t="shared" si="40"/>
        <v>3.7384802643018605E-2</v>
      </c>
    </row>
    <row r="355" spans="1:21" x14ac:dyDescent="0.45">
      <c r="A355" s="95">
        <v>44915</v>
      </c>
      <c r="B355" s="96">
        <v>3834</v>
      </c>
      <c r="C355" s="7">
        <v>430</v>
      </c>
      <c r="D355" s="7">
        <f t="shared" si="35"/>
        <v>3404</v>
      </c>
      <c r="E355" s="97">
        <v>1510</v>
      </c>
      <c r="F355" s="7">
        <v>0</v>
      </c>
      <c r="G355" s="7">
        <f t="shared" si="36"/>
        <v>1510</v>
      </c>
      <c r="H355" s="98">
        <v>0</v>
      </c>
      <c r="I355" s="7">
        <v>0</v>
      </c>
      <c r="J355" s="7"/>
      <c r="K355" s="99">
        <f t="shared" si="41"/>
        <v>5344</v>
      </c>
      <c r="L355" s="7">
        <v>300</v>
      </c>
      <c r="M355" s="7">
        <v>0</v>
      </c>
      <c r="N355" s="7">
        <v>0</v>
      </c>
      <c r="O355" s="7">
        <v>0</v>
      </c>
      <c r="P355" s="7">
        <v>4391.6376002729121</v>
      </c>
      <c r="Q355" s="7">
        <v>5525.5077193970874</v>
      </c>
      <c r="R355" s="113">
        <f t="shared" si="37"/>
        <v>0.11215440792905582</v>
      </c>
      <c r="S355" s="113">
        <f t="shared" si="38"/>
        <v>0</v>
      </c>
      <c r="T355" s="113">
        <f t="shared" si="39"/>
        <v>0</v>
      </c>
      <c r="U355" s="113">
        <f t="shared" si="40"/>
        <v>3.7384802643018605E-2</v>
      </c>
    </row>
    <row r="356" spans="1:21" x14ac:dyDescent="0.45">
      <c r="A356" s="95">
        <v>44916</v>
      </c>
      <c r="B356" s="96">
        <v>3834</v>
      </c>
      <c r="C356" s="7">
        <v>430</v>
      </c>
      <c r="D356" s="7">
        <f t="shared" si="35"/>
        <v>3404</v>
      </c>
      <c r="E356" s="97">
        <v>1510</v>
      </c>
      <c r="F356" s="7">
        <v>0</v>
      </c>
      <c r="G356" s="7">
        <f t="shared" si="36"/>
        <v>1510</v>
      </c>
      <c r="H356" s="98">
        <v>0</v>
      </c>
      <c r="I356" s="7">
        <v>0</v>
      </c>
      <c r="J356" s="7"/>
      <c r="K356" s="99">
        <f t="shared" si="41"/>
        <v>5344</v>
      </c>
      <c r="L356" s="7">
        <v>300</v>
      </c>
      <c r="M356" s="7">
        <v>0</v>
      </c>
      <c r="N356" s="7">
        <v>0</v>
      </c>
      <c r="O356" s="7">
        <v>0</v>
      </c>
      <c r="P356" s="7">
        <v>4391.6376002729121</v>
      </c>
      <c r="Q356" s="7">
        <v>5999.7671529470899</v>
      </c>
      <c r="R356" s="113">
        <f t="shared" si="37"/>
        <v>0.11215440792905582</v>
      </c>
      <c r="S356" s="113">
        <f t="shared" si="38"/>
        <v>0</v>
      </c>
      <c r="T356" s="113">
        <f t="shared" si="39"/>
        <v>0</v>
      </c>
      <c r="U356" s="113">
        <f t="shared" si="40"/>
        <v>3.7384802643018605E-2</v>
      </c>
    </row>
    <row r="357" spans="1:21" x14ac:dyDescent="0.45">
      <c r="A357" s="95">
        <v>44917</v>
      </c>
      <c r="B357" s="96">
        <v>3834</v>
      </c>
      <c r="C357" s="7">
        <v>430</v>
      </c>
      <c r="D357" s="7">
        <f t="shared" si="35"/>
        <v>3404</v>
      </c>
      <c r="E357" s="97">
        <v>1510</v>
      </c>
      <c r="F357" s="7">
        <v>0</v>
      </c>
      <c r="G357" s="7">
        <f t="shared" si="36"/>
        <v>1510</v>
      </c>
      <c r="H357" s="98">
        <v>0</v>
      </c>
      <c r="I357" s="7">
        <v>0</v>
      </c>
      <c r="J357" s="7"/>
      <c r="K357" s="99">
        <f t="shared" si="41"/>
        <v>5344</v>
      </c>
      <c r="L357" s="7">
        <v>300</v>
      </c>
      <c r="M357" s="7">
        <v>0</v>
      </c>
      <c r="N357" s="7">
        <v>0</v>
      </c>
      <c r="O357" s="7">
        <v>0</v>
      </c>
      <c r="P357" s="7">
        <v>4391.6376002729121</v>
      </c>
      <c r="Q357" s="7">
        <v>5851.9330168970873</v>
      </c>
      <c r="R357" s="113">
        <f t="shared" si="37"/>
        <v>0.11215440792905582</v>
      </c>
      <c r="S357" s="113">
        <f t="shared" si="38"/>
        <v>0</v>
      </c>
      <c r="T357" s="113">
        <f t="shared" si="39"/>
        <v>0</v>
      </c>
      <c r="U357" s="113">
        <f t="shared" si="40"/>
        <v>3.7384802643018605E-2</v>
      </c>
    </row>
    <row r="358" spans="1:21" x14ac:dyDescent="0.45">
      <c r="A358" s="95">
        <v>44918</v>
      </c>
      <c r="B358" s="96">
        <v>3834</v>
      </c>
      <c r="C358" s="7">
        <v>430</v>
      </c>
      <c r="D358" s="7">
        <f t="shared" si="35"/>
        <v>3404</v>
      </c>
      <c r="E358" s="97">
        <v>1510</v>
      </c>
      <c r="F358" s="7">
        <v>0</v>
      </c>
      <c r="G358" s="7">
        <f t="shared" si="36"/>
        <v>1510</v>
      </c>
      <c r="H358" s="98">
        <v>0</v>
      </c>
      <c r="I358" s="7">
        <v>0</v>
      </c>
      <c r="J358" s="7"/>
      <c r="K358" s="99">
        <f t="shared" si="41"/>
        <v>5344</v>
      </c>
      <c r="L358" s="7">
        <v>300</v>
      </c>
      <c r="M358" s="7">
        <v>0</v>
      </c>
      <c r="N358" s="7">
        <v>0</v>
      </c>
      <c r="O358" s="7">
        <v>0</v>
      </c>
      <c r="P358" s="7">
        <v>4391.6376002729121</v>
      </c>
      <c r="Q358" s="7">
        <v>7132.9456216670887</v>
      </c>
      <c r="R358" s="113">
        <f t="shared" si="37"/>
        <v>0.11215440792905582</v>
      </c>
      <c r="S358" s="113">
        <f t="shared" si="38"/>
        <v>0</v>
      </c>
      <c r="T358" s="113">
        <f t="shared" si="39"/>
        <v>0</v>
      </c>
      <c r="U358" s="113">
        <f t="shared" si="40"/>
        <v>3.7384802643018605E-2</v>
      </c>
    </row>
    <row r="359" spans="1:21" x14ac:dyDescent="0.45">
      <c r="A359" s="95">
        <v>44919</v>
      </c>
      <c r="B359" s="96">
        <v>3834</v>
      </c>
      <c r="C359" s="7">
        <v>430</v>
      </c>
      <c r="D359" s="7">
        <f t="shared" si="35"/>
        <v>3404</v>
      </c>
      <c r="E359" s="97">
        <v>1510</v>
      </c>
      <c r="F359" s="7">
        <v>0</v>
      </c>
      <c r="G359" s="7">
        <f t="shared" si="36"/>
        <v>1510</v>
      </c>
      <c r="H359" s="98">
        <v>0</v>
      </c>
      <c r="I359" s="7">
        <v>0</v>
      </c>
      <c r="J359" s="7"/>
      <c r="K359" s="99">
        <f t="shared" si="41"/>
        <v>5344</v>
      </c>
      <c r="L359" s="7">
        <v>300</v>
      </c>
      <c r="M359" s="7">
        <v>0</v>
      </c>
      <c r="N359" s="7">
        <v>0</v>
      </c>
      <c r="O359" s="7">
        <v>0</v>
      </c>
      <c r="P359" s="7">
        <v>4391.6376002729121</v>
      </c>
      <c r="Q359" s="7">
        <v>7132.9456216670887</v>
      </c>
      <c r="R359" s="113">
        <f t="shared" si="37"/>
        <v>0.11215440792905582</v>
      </c>
      <c r="S359" s="113">
        <f t="shared" si="38"/>
        <v>0</v>
      </c>
      <c r="T359" s="113">
        <f t="shared" si="39"/>
        <v>0</v>
      </c>
      <c r="U359" s="113">
        <f t="shared" si="40"/>
        <v>3.7384802643018605E-2</v>
      </c>
    </row>
    <row r="360" spans="1:21" x14ac:dyDescent="0.45">
      <c r="A360" s="95">
        <v>44920</v>
      </c>
      <c r="B360" s="96">
        <v>3834</v>
      </c>
      <c r="C360" s="7">
        <v>430</v>
      </c>
      <c r="D360" s="7">
        <f t="shared" si="35"/>
        <v>3404</v>
      </c>
      <c r="E360" s="97">
        <v>1510</v>
      </c>
      <c r="F360" s="7">
        <v>0</v>
      </c>
      <c r="G360" s="7">
        <f t="shared" si="36"/>
        <v>1510</v>
      </c>
      <c r="H360" s="98">
        <v>0</v>
      </c>
      <c r="I360" s="7">
        <v>0</v>
      </c>
      <c r="J360" s="7"/>
      <c r="K360" s="99">
        <f t="shared" si="41"/>
        <v>5344</v>
      </c>
      <c r="L360" s="7">
        <v>300</v>
      </c>
      <c r="M360" s="7">
        <v>0</v>
      </c>
      <c r="N360" s="7">
        <v>0</v>
      </c>
      <c r="O360" s="7">
        <v>0</v>
      </c>
      <c r="P360" s="7">
        <v>4391.6376002729121</v>
      </c>
      <c r="Q360" s="7">
        <v>7132.9456216670887</v>
      </c>
      <c r="R360" s="113">
        <f t="shared" si="37"/>
        <v>0.11215440792905582</v>
      </c>
      <c r="S360" s="113">
        <f t="shared" si="38"/>
        <v>0</v>
      </c>
      <c r="T360" s="113">
        <f t="shared" si="39"/>
        <v>0</v>
      </c>
      <c r="U360" s="113">
        <f t="shared" si="40"/>
        <v>3.7384802643018605E-2</v>
      </c>
    </row>
    <row r="361" spans="1:21" x14ac:dyDescent="0.45">
      <c r="A361" s="95">
        <v>44921</v>
      </c>
      <c r="B361" s="96">
        <v>3834</v>
      </c>
      <c r="C361" s="7">
        <v>430</v>
      </c>
      <c r="D361" s="7">
        <f t="shared" si="35"/>
        <v>3404</v>
      </c>
      <c r="E361" s="97">
        <v>1510</v>
      </c>
      <c r="F361" s="7">
        <v>0</v>
      </c>
      <c r="G361" s="7">
        <f t="shared" si="36"/>
        <v>1510</v>
      </c>
      <c r="H361" s="98">
        <v>0</v>
      </c>
      <c r="I361" s="7">
        <v>0</v>
      </c>
      <c r="J361" s="7"/>
      <c r="K361" s="99">
        <f t="shared" si="41"/>
        <v>5344</v>
      </c>
      <c r="L361" s="7">
        <v>300</v>
      </c>
      <c r="M361" s="7">
        <v>0</v>
      </c>
      <c r="N361" s="7">
        <v>0</v>
      </c>
      <c r="O361" s="7">
        <v>0</v>
      </c>
      <c r="P361" s="7">
        <v>4501.066488096707</v>
      </c>
      <c r="Q361" s="7">
        <v>7075.3154655632925</v>
      </c>
      <c r="R361" s="113">
        <f t="shared" si="37"/>
        <v>0.11215440792905582</v>
      </c>
      <c r="S361" s="113">
        <f t="shared" si="38"/>
        <v>0</v>
      </c>
      <c r="T361" s="113">
        <f t="shared" si="39"/>
        <v>0</v>
      </c>
      <c r="U361" s="113">
        <f t="shared" si="40"/>
        <v>3.7384802643018605E-2</v>
      </c>
    </row>
    <row r="362" spans="1:21" x14ac:dyDescent="0.45">
      <c r="A362" s="95">
        <v>44922</v>
      </c>
      <c r="B362" s="96">
        <v>3834</v>
      </c>
      <c r="C362" s="7">
        <v>430</v>
      </c>
      <c r="D362" s="7">
        <f t="shared" si="35"/>
        <v>3404</v>
      </c>
      <c r="E362" s="97">
        <v>1170</v>
      </c>
      <c r="F362" s="7">
        <v>0</v>
      </c>
      <c r="G362" s="7">
        <f t="shared" si="36"/>
        <v>1170</v>
      </c>
      <c r="H362" s="98">
        <v>0</v>
      </c>
      <c r="I362" s="7">
        <v>0</v>
      </c>
      <c r="J362" s="7"/>
      <c r="K362" s="99">
        <f t="shared" si="41"/>
        <v>5004</v>
      </c>
      <c r="L362" s="7">
        <v>300</v>
      </c>
      <c r="M362" s="7">
        <v>0</v>
      </c>
      <c r="N362" s="7">
        <v>0</v>
      </c>
      <c r="O362" s="7">
        <v>0</v>
      </c>
      <c r="P362" s="7">
        <v>4501.066488096707</v>
      </c>
      <c r="Q362" s="7">
        <v>7470.0007822432935</v>
      </c>
      <c r="R362" s="113">
        <f t="shared" si="37"/>
        <v>0.11215440792905582</v>
      </c>
      <c r="S362" s="113">
        <f t="shared" si="38"/>
        <v>0</v>
      </c>
      <c r="T362" s="113">
        <f t="shared" si="39"/>
        <v>0</v>
      </c>
      <c r="U362" s="113">
        <f t="shared" si="40"/>
        <v>3.7384802643018605E-2</v>
      </c>
    </row>
    <row r="363" spans="1:21" x14ac:dyDescent="0.45">
      <c r="A363" s="95">
        <v>44923</v>
      </c>
      <c r="B363" s="96">
        <v>3734</v>
      </c>
      <c r="C363" s="7">
        <v>430</v>
      </c>
      <c r="D363" s="7">
        <f t="shared" si="35"/>
        <v>3304</v>
      </c>
      <c r="E363" s="97">
        <v>1170</v>
      </c>
      <c r="F363" s="7">
        <v>300</v>
      </c>
      <c r="G363" s="7">
        <f t="shared" si="36"/>
        <v>870</v>
      </c>
      <c r="H363" s="98">
        <v>0</v>
      </c>
      <c r="I363" s="7">
        <v>0</v>
      </c>
      <c r="J363" s="7"/>
      <c r="K363" s="99">
        <f t="shared" si="41"/>
        <v>4904</v>
      </c>
      <c r="L363" s="7">
        <v>300</v>
      </c>
      <c r="M363" s="7">
        <v>0</v>
      </c>
      <c r="N363" s="7">
        <v>0</v>
      </c>
      <c r="O363" s="7">
        <v>0</v>
      </c>
      <c r="P363" s="7">
        <v>4501.066488096707</v>
      </c>
      <c r="Q363" s="7">
        <v>7778.9153540832931</v>
      </c>
      <c r="R363" s="113">
        <f t="shared" si="37"/>
        <v>0.11515800749866095</v>
      </c>
      <c r="S363" s="113">
        <f t="shared" si="38"/>
        <v>0.25641025641025639</v>
      </c>
      <c r="T363" s="113">
        <f t="shared" si="39"/>
        <v>0</v>
      </c>
      <c r="U363" s="113">
        <f t="shared" si="40"/>
        <v>0.12385608796963911</v>
      </c>
    </row>
    <row r="364" spans="1:21" x14ac:dyDescent="0.45">
      <c r="A364" s="95">
        <v>44924</v>
      </c>
      <c r="B364" s="96">
        <v>3734</v>
      </c>
      <c r="C364" s="7">
        <v>330</v>
      </c>
      <c r="D364" s="7">
        <f t="shared" si="35"/>
        <v>3404</v>
      </c>
      <c r="E364" s="97">
        <v>2030</v>
      </c>
      <c r="F364" s="7">
        <v>300</v>
      </c>
      <c r="G364" s="7">
        <f t="shared" si="36"/>
        <v>1730</v>
      </c>
      <c r="H364" s="98">
        <v>0</v>
      </c>
      <c r="I364" s="7">
        <v>0</v>
      </c>
      <c r="J364" s="7"/>
      <c r="K364" s="99">
        <f t="shared" si="41"/>
        <v>5764</v>
      </c>
      <c r="L364" s="7">
        <v>300</v>
      </c>
      <c r="M364" s="7">
        <v>0</v>
      </c>
      <c r="N364" s="7">
        <v>0</v>
      </c>
      <c r="O364" s="7">
        <v>0</v>
      </c>
      <c r="P364" s="7">
        <v>4501.066488096707</v>
      </c>
      <c r="Q364" s="7">
        <v>7413.0254863932932</v>
      </c>
      <c r="R364" s="113">
        <f t="shared" si="37"/>
        <v>8.8377075522228177E-2</v>
      </c>
      <c r="S364" s="113">
        <f t="shared" si="38"/>
        <v>0.14778325123152711</v>
      </c>
      <c r="T364" s="113">
        <f t="shared" si="39"/>
        <v>0</v>
      </c>
      <c r="U364" s="113">
        <f t="shared" si="40"/>
        <v>7.8720108917918433E-2</v>
      </c>
    </row>
    <row r="365" spans="1:21" x14ac:dyDescent="0.45">
      <c r="A365" s="95">
        <v>44925</v>
      </c>
      <c r="B365" s="96">
        <v>3734</v>
      </c>
      <c r="C365" s="7">
        <v>330</v>
      </c>
      <c r="D365" s="7">
        <f t="shared" si="35"/>
        <v>3404</v>
      </c>
      <c r="E365" s="97">
        <v>2030</v>
      </c>
      <c r="F365" s="7">
        <v>300</v>
      </c>
      <c r="G365" s="7">
        <f t="shared" si="36"/>
        <v>1730</v>
      </c>
      <c r="H365" s="98">
        <v>0</v>
      </c>
      <c r="I365" s="7">
        <v>0</v>
      </c>
      <c r="J365" s="7"/>
      <c r="K365" s="99">
        <f t="shared" si="41"/>
        <v>5764</v>
      </c>
      <c r="L365" s="7">
        <v>300</v>
      </c>
      <c r="M365" s="7">
        <v>0</v>
      </c>
      <c r="N365" s="7">
        <v>0</v>
      </c>
      <c r="O365" s="7">
        <v>0</v>
      </c>
      <c r="P365" s="7">
        <v>4501.066488096707</v>
      </c>
      <c r="Q365" s="7">
        <v>7977.7025721532927</v>
      </c>
      <c r="R365" s="113">
        <f t="shared" si="37"/>
        <v>8.8377075522228177E-2</v>
      </c>
      <c r="S365" s="113">
        <f t="shared" si="38"/>
        <v>0.14778325123152711</v>
      </c>
      <c r="T365" s="113">
        <f t="shared" si="39"/>
        <v>0</v>
      </c>
      <c r="U365" s="113">
        <f t="shared" si="40"/>
        <v>7.8720108917918433E-2</v>
      </c>
    </row>
    <row r="366" spans="1:21" x14ac:dyDescent="0.45">
      <c r="A366" s="95">
        <v>44926</v>
      </c>
      <c r="B366" s="96">
        <v>3734</v>
      </c>
      <c r="C366" s="7">
        <v>330</v>
      </c>
      <c r="D366" s="7">
        <f t="shared" si="35"/>
        <v>3404</v>
      </c>
      <c r="E366" s="97">
        <v>2030</v>
      </c>
      <c r="F366" s="7">
        <v>300</v>
      </c>
      <c r="G366" s="7">
        <f t="shared" si="36"/>
        <v>1730</v>
      </c>
      <c r="H366" s="98">
        <v>0</v>
      </c>
      <c r="I366" s="7">
        <v>0</v>
      </c>
      <c r="J366" s="7"/>
      <c r="K366" s="99">
        <f t="shared" si="41"/>
        <v>5764</v>
      </c>
      <c r="L366" s="7">
        <v>300</v>
      </c>
      <c r="M366" s="7">
        <v>0</v>
      </c>
      <c r="N366" s="7">
        <v>0</v>
      </c>
      <c r="O366" s="7">
        <v>0</v>
      </c>
      <c r="P366" s="7">
        <v>4501.066488096707</v>
      </c>
      <c r="Q366" s="7">
        <v>7977.7025721532927</v>
      </c>
      <c r="R366" s="113">
        <f t="shared" si="37"/>
        <v>8.8377075522228177E-2</v>
      </c>
      <c r="S366" s="113">
        <f t="shared" si="38"/>
        <v>0.14778325123152711</v>
      </c>
      <c r="T366" s="113">
        <f t="shared" si="39"/>
        <v>0</v>
      </c>
      <c r="U366" s="113">
        <f t="shared" si="40"/>
        <v>7.8720108917918433E-2</v>
      </c>
    </row>
    <row r="367" spans="1:21" x14ac:dyDescent="0.45">
      <c r="A367" s="95">
        <v>44927</v>
      </c>
      <c r="B367" s="96">
        <v>3734</v>
      </c>
      <c r="C367" s="7">
        <v>330</v>
      </c>
      <c r="D367" s="7">
        <f t="shared" si="35"/>
        <v>3404</v>
      </c>
      <c r="E367" s="97">
        <v>2030</v>
      </c>
      <c r="F367" s="7">
        <v>300</v>
      </c>
      <c r="G367" s="7">
        <f t="shared" si="36"/>
        <v>1730</v>
      </c>
      <c r="H367" s="98">
        <v>0</v>
      </c>
      <c r="I367" s="7">
        <v>0</v>
      </c>
      <c r="J367" s="7"/>
      <c r="K367" s="99">
        <f t="shared" si="41"/>
        <v>5764</v>
      </c>
      <c r="L367" s="7">
        <v>300</v>
      </c>
      <c r="M367" s="7">
        <v>0</v>
      </c>
      <c r="N367" s="7">
        <v>0</v>
      </c>
      <c r="O367" s="7">
        <v>0</v>
      </c>
      <c r="P367" s="7">
        <v>4501.066488096707</v>
      </c>
      <c r="Q367" s="7">
        <v>7977.7025721532927</v>
      </c>
      <c r="R367" s="113">
        <f t="shared" si="37"/>
        <v>8.8377075522228177E-2</v>
      </c>
      <c r="S367" s="113">
        <f t="shared" si="38"/>
        <v>0.14778325123152711</v>
      </c>
      <c r="T367" s="113">
        <f t="shared" si="39"/>
        <v>0</v>
      </c>
      <c r="U367" s="113">
        <f t="shared" si="40"/>
        <v>7.8720108917918433E-2</v>
      </c>
    </row>
    <row r="368" spans="1:21" x14ac:dyDescent="0.45">
      <c r="A368" s="95">
        <v>44928</v>
      </c>
      <c r="B368" s="96">
        <v>3734</v>
      </c>
      <c r="C368" s="7">
        <v>330</v>
      </c>
      <c r="D368" s="7">
        <f t="shared" si="35"/>
        <v>3404</v>
      </c>
      <c r="E368" s="97">
        <v>2030</v>
      </c>
      <c r="F368" s="7">
        <v>300</v>
      </c>
      <c r="G368" s="7">
        <f t="shared" si="36"/>
        <v>1730</v>
      </c>
      <c r="H368" s="98">
        <v>0</v>
      </c>
      <c r="I368" s="7">
        <v>0</v>
      </c>
      <c r="J368" s="7"/>
      <c r="K368" s="99">
        <f t="shared" si="41"/>
        <v>5764</v>
      </c>
      <c r="L368" s="7">
        <v>300</v>
      </c>
      <c r="M368" s="7">
        <v>0</v>
      </c>
      <c r="N368" s="7">
        <v>0</v>
      </c>
      <c r="O368" s="7">
        <v>0</v>
      </c>
      <c r="P368" s="7">
        <v>4501.066488096707</v>
      </c>
      <c r="Q368" s="7">
        <v>7730.8283132532924</v>
      </c>
      <c r="R368" s="113">
        <f t="shared" si="37"/>
        <v>8.8377075522228177E-2</v>
      </c>
      <c r="S368" s="113">
        <f t="shared" si="38"/>
        <v>0.14778325123152711</v>
      </c>
      <c r="T368" s="113">
        <f t="shared" si="39"/>
        <v>0</v>
      </c>
      <c r="U368" s="113">
        <f t="shared" si="40"/>
        <v>7.8720108917918433E-2</v>
      </c>
    </row>
    <row r="369" spans="1:21" x14ac:dyDescent="0.45">
      <c r="A369" s="95">
        <v>44929</v>
      </c>
      <c r="B369" s="96">
        <v>3734</v>
      </c>
      <c r="C369" s="7">
        <v>330</v>
      </c>
      <c r="D369" s="7">
        <f t="shared" si="35"/>
        <v>3404</v>
      </c>
      <c r="E369" s="97">
        <v>2030</v>
      </c>
      <c r="F369" s="7">
        <v>300</v>
      </c>
      <c r="G369" s="7">
        <f t="shared" si="36"/>
        <v>1730</v>
      </c>
      <c r="H369" s="98">
        <v>0</v>
      </c>
      <c r="I369" s="7">
        <v>0</v>
      </c>
      <c r="J369" s="7"/>
      <c r="K369" s="99">
        <f t="shared" si="41"/>
        <v>5764</v>
      </c>
      <c r="L369" s="7">
        <v>300</v>
      </c>
      <c r="M369" s="7">
        <v>0</v>
      </c>
      <c r="N369" s="7">
        <v>0</v>
      </c>
      <c r="O369" s="7">
        <v>0</v>
      </c>
      <c r="P369" s="7">
        <v>4501.066488096707</v>
      </c>
      <c r="Q369" s="7">
        <v>7361.2377760332911</v>
      </c>
      <c r="R369" s="113">
        <f t="shared" si="37"/>
        <v>8.8377075522228177E-2</v>
      </c>
      <c r="S369" s="113">
        <f t="shared" si="38"/>
        <v>0.14778325123152711</v>
      </c>
      <c r="T369" s="113">
        <f t="shared" si="39"/>
        <v>0</v>
      </c>
      <c r="U369" s="113">
        <f t="shared" si="40"/>
        <v>7.8720108917918433E-2</v>
      </c>
    </row>
    <row r="370" spans="1:21" x14ac:dyDescent="0.45">
      <c r="A370" s="95">
        <v>44930</v>
      </c>
      <c r="B370" s="96">
        <v>3854</v>
      </c>
      <c r="C370" s="7">
        <v>330</v>
      </c>
      <c r="D370" s="7">
        <f t="shared" si="35"/>
        <v>3524</v>
      </c>
      <c r="E370" s="97">
        <v>2030</v>
      </c>
      <c r="F370" s="7">
        <v>300</v>
      </c>
      <c r="G370" s="7">
        <f t="shared" si="36"/>
        <v>1730</v>
      </c>
      <c r="H370" s="98">
        <v>0</v>
      </c>
      <c r="I370" s="7">
        <v>0</v>
      </c>
      <c r="J370" s="7"/>
      <c r="K370" s="99">
        <f t="shared" si="41"/>
        <v>5884</v>
      </c>
      <c r="L370" s="7">
        <v>300</v>
      </c>
      <c r="M370" s="7">
        <v>0</v>
      </c>
      <c r="N370" s="7">
        <v>0</v>
      </c>
      <c r="O370" s="7">
        <v>0</v>
      </c>
      <c r="P370" s="7">
        <v>4501.066488096707</v>
      </c>
      <c r="Q370" s="7">
        <v>6873.5102592932926</v>
      </c>
      <c r="R370" s="113">
        <f t="shared" si="37"/>
        <v>8.5625324338349768E-2</v>
      </c>
      <c r="S370" s="113">
        <f t="shared" si="38"/>
        <v>0.14778325123152711</v>
      </c>
      <c r="T370" s="113">
        <f t="shared" si="39"/>
        <v>0</v>
      </c>
      <c r="U370" s="113">
        <f t="shared" si="40"/>
        <v>7.7802858523292287E-2</v>
      </c>
    </row>
    <row r="371" spans="1:21" x14ac:dyDescent="0.45">
      <c r="A371" s="95">
        <v>44931</v>
      </c>
      <c r="B371" s="96">
        <v>3854</v>
      </c>
      <c r="C371" s="7">
        <v>450</v>
      </c>
      <c r="D371" s="7">
        <f t="shared" si="35"/>
        <v>3404</v>
      </c>
      <c r="E371" s="97">
        <v>2030</v>
      </c>
      <c r="F371" s="7">
        <v>300</v>
      </c>
      <c r="G371" s="7">
        <f t="shared" si="36"/>
        <v>1730</v>
      </c>
      <c r="H371" s="98">
        <v>0</v>
      </c>
      <c r="I371" s="7">
        <v>0</v>
      </c>
      <c r="J371" s="7"/>
      <c r="K371" s="99">
        <f t="shared" si="41"/>
        <v>5884</v>
      </c>
      <c r="L371" s="7">
        <v>500</v>
      </c>
      <c r="M371" s="7">
        <v>0</v>
      </c>
      <c r="N371" s="7">
        <v>0</v>
      </c>
      <c r="O371" s="7">
        <v>0</v>
      </c>
      <c r="P371" s="7">
        <v>4501.066488096707</v>
      </c>
      <c r="Q371" s="7">
        <v>5594.5875167932927</v>
      </c>
      <c r="R371" s="113">
        <f t="shared" si="37"/>
        <v>0.11676180591593149</v>
      </c>
      <c r="S371" s="113">
        <f t="shared" si="38"/>
        <v>0.14778325123152711</v>
      </c>
      <c r="T371" s="113">
        <f t="shared" si="39"/>
        <v>0</v>
      </c>
      <c r="U371" s="113">
        <f t="shared" si="40"/>
        <v>8.8181685715819524E-2</v>
      </c>
    </row>
    <row r="372" spans="1:21" x14ac:dyDescent="0.45">
      <c r="A372" s="95">
        <v>44932</v>
      </c>
      <c r="B372" s="96">
        <v>3854</v>
      </c>
      <c r="C372" s="7">
        <v>450</v>
      </c>
      <c r="D372" s="7">
        <f t="shared" si="35"/>
        <v>3404</v>
      </c>
      <c r="E372" s="97">
        <v>2030</v>
      </c>
      <c r="F372" s="7">
        <v>300</v>
      </c>
      <c r="G372" s="7">
        <f t="shared" si="36"/>
        <v>1730</v>
      </c>
      <c r="H372" s="98">
        <v>0</v>
      </c>
      <c r="I372" s="7">
        <v>0</v>
      </c>
      <c r="J372" s="7"/>
      <c r="K372" s="99">
        <f t="shared" si="41"/>
        <v>5884</v>
      </c>
      <c r="L372" s="7">
        <v>500</v>
      </c>
      <c r="M372" s="7">
        <v>0</v>
      </c>
      <c r="N372" s="7">
        <v>0</v>
      </c>
      <c r="O372" s="7">
        <v>0</v>
      </c>
      <c r="P372" s="7">
        <v>4501.066488096707</v>
      </c>
      <c r="Q372" s="7">
        <v>6579.5162841132924</v>
      </c>
      <c r="R372" s="113">
        <f t="shared" si="37"/>
        <v>0.11676180591593149</v>
      </c>
      <c r="S372" s="113">
        <f t="shared" si="38"/>
        <v>0.14778325123152711</v>
      </c>
      <c r="T372" s="113">
        <f t="shared" si="39"/>
        <v>0</v>
      </c>
      <c r="U372" s="113">
        <f t="shared" si="40"/>
        <v>8.8181685715819524E-2</v>
      </c>
    </row>
    <row r="373" spans="1:21" x14ac:dyDescent="0.45">
      <c r="A373" s="95">
        <v>44933</v>
      </c>
      <c r="B373" s="96">
        <v>3854</v>
      </c>
      <c r="C373" s="7">
        <v>450</v>
      </c>
      <c r="D373" s="7">
        <f t="shared" si="35"/>
        <v>3404</v>
      </c>
      <c r="E373" s="97">
        <v>2030</v>
      </c>
      <c r="F373" s="7">
        <v>300</v>
      </c>
      <c r="G373" s="7">
        <f t="shared" si="36"/>
        <v>1730</v>
      </c>
      <c r="H373" s="98">
        <v>0</v>
      </c>
      <c r="I373" s="7">
        <v>0</v>
      </c>
      <c r="J373" s="7"/>
      <c r="K373" s="99">
        <f t="shared" si="41"/>
        <v>5884</v>
      </c>
      <c r="L373" s="7">
        <v>500</v>
      </c>
      <c r="M373" s="7">
        <v>0</v>
      </c>
      <c r="N373" s="7">
        <v>0</v>
      </c>
      <c r="O373" s="7">
        <v>0</v>
      </c>
      <c r="P373" s="7">
        <v>4501.066488096707</v>
      </c>
      <c r="Q373" s="7">
        <v>6579.5162841132924</v>
      </c>
      <c r="R373" s="113">
        <f t="shared" si="37"/>
        <v>0.11676180591593149</v>
      </c>
      <c r="S373" s="113">
        <f t="shared" si="38"/>
        <v>0.14778325123152711</v>
      </c>
      <c r="T373" s="113">
        <f t="shared" si="39"/>
        <v>0</v>
      </c>
      <c r="U373" s="113">
        <f t="shared" si="40"/>
        <v>8.8181685715819524E-2</v>
      </c>
    </row>
    <row r="374" spans="1:21" x14ac:dyDescent="0.45">
      <c r="A374" s="95">
        <v>44934</v>
      </c>
      <c r="B374" s="96">
        <v>3854</v>
      </c>
      <c r="C374" s="7">
        <v>450</v>
      </c>
      <c r="D374" s="7">
        <f t="shared" si="35"/>
        <v>3404</v>
      </c>
      <c r="E374" s="97">
        <v>2030</v>
      </c>
      <c r="F374" s="7">
        <v>300</v>
      </c>
      <c r="G374" s="7">
        <f t="shared" si="36"/>
        <v>1730</v>
      </c>
      <c r="H374" s="98">
        <v>0</v>
      </c>
      <c r="I374" s="7">
        <v>0</v>
      </c>
      <c r="J374" s="7"/>
      <c r="K374" s="99">
        <f t="shared" si="41"/>
        <v>5884</v>
      </c>
      <c r="L374" s="7">
        <v>500</v>
      </c>
      <c r="M374" s="7">
        <v>0</v>
      </c>
      <c r="N374" s="7">
        <v>0</v>
      </c>
      <c r="O374" s="7">
        <v>0</v>
      </c>
      <c r="P374" s="7">
        <v>4501.066488096707</v>
      </c>
      <c r="Q374" s="7">
        <v>6579.5162841132924</v>
      </c>
      <c r="R374" s="113">
        <f t="shared" si="37"/>
        <v>0.11676180591593149</v>
      </c>
      <c r="S374" s="113">
        <f t="shared" si="38"/>
        <v>0.14778325123152711</v>
      </c>
      <c r="T374" s="113">
        <f t="shared" si="39"/>
        <v>0</v>
      </c>
      <c r="U374" s="113">
        <f t="shared" si="40"/>
        <v>8.8181685715819524E-2</v>
      </c>
    </row>
    <row r="375" spans="1:21" x14ac:dyDescent="0.45">
      <c r="A375" s="95">
        <v>44935</v>
      </c>
      <c r="B375" s="96">
        <v>3854</v>
      </c>
      <c r="C375" s="7">
        <v>450</v>
      </c>
      <c r="D375" s="7">
        <f t="shared" si="35"/>
        <v>3404</v>
      </c>
      <c r="E375" s="97">
        <v>2030</v>
      </c>
      <c r="F375" s="7">
        <v>300</v>
      </c>
      <c r="G375" s="7">
        <f t="shared" si="36"/>
        <v>1730</v>
      </c>
      <c r="H375" s="98">
        <v>0</v>
      </c>
      <c r="I375" s="7">
        <v>0</v>
      </c>
      <c r="J375" s="7"/>
      <c r="K375" s="99">
        <f t="shared" si="41"/>
        <v>5884</v>
      </c>
      <c r="L375" s="7">
        <v>500</v>
      </c>
      <c r="M375" s="7">
        <v>0</v>
      </c>
      <c r="N375" s="7">
        <v>0</v>
      </c>
      <c r="O375" s="7">
        <v>0</v>
      </c>
      <c r="P375" s="7">
        <v>4501.066488096707</v>
      </c>
      <c r="Q375" s="7">
        <v>6167.2771538332909</v>
      </c>
      <c r="R375" s="113">
        <f t="shared" si="37"/>
        <v>0.11676180591593149</v>
      </c>
      <c r="S375" s="113">
        <f t="shared" si="38"/>
        <v>0.14778325123152711</v>
      </c>
      <c r="T375" s="113">
        <f t="shared" si="39"/>
        <v>0</v>
      </c>
      <c r="U375" s="113">
        <f t="shared" si="40"/>
        <v>8.8181685715819524E-2</v>
      </c>
    </row>
    <row r="376" spans="1:21" x14ac:dyDescent="0.45">
      <c r="A376" s="95">
        <v>44936</v>
      </c>
      <c r="B376" s="96">
        <v>3854</v>
      </c>
      <c r="C376" s="7">
        <v>450</v>
      </c>
      <c r="D376" s="7">
        <f t="shared" si="35"/>
        <v>3404</v>
      </c>
      <c r="E376" s="97">
        <v>2030</v>
      </c>
      <c r="F376" s="7">
        <v>300</v>
      </c>
      <c r="G376" s="7">
        <f t="shared" si="36"/>
        <v>1730</v>
      </c>
      <c r="H376" s="98">
        <v>0</v>
      </c>
      <c r="I376" s="7">
        <v>0</v>
      </c>
      <c r="J376" s="7"/>
      <c r="K376" s="99">
        <f t="shared" si="41"/>
        <v>5884</v>
      </c>
      <c r="L376" s="7">
        <v>500</v>
      </c>
      <c r="M376" s="7">
        <v>0</v>
      </c>
      <c r="N376" s="7">
        <v>0</v>
      </c>
      <c r="O376" s="7">
        <v>0</v>
      </c>
      <c r="P376" s="7">
        <v>4501.066488096707</v>
      </c>
      <c r="Q376" s="7">
        <v>6134.3821458232933</v>
      </c>
      <c r="R376" s="113">
        <f t="shared" si="37"/>
        <v>0.11676180591593149</v>
      </c>
      <c r="S376" s="113">
        <f t="shared" si="38"/>
        <v>0.14778325123152711</v>
      </c>
      <c r="T376" s="113">
        <f t="shared" si="39"/>
        <v>0</v>
      </c>
      <c r="U376" s="113">
        <f t="shared" si="40"/>
        <v>8.8181685715819524E-2</v>
      </c>
    </row>
    <row r="377" spans="1:21" x14ac:dyDescent="0.45">
      <c r="A377" s="95">
        <v>44937</v>
      </c>
      <c r="B377" s="96">
        <v>3879</v>
      </c>
      <c r="C377" s="7">
        <v>450</v>
      </c>
      <c r="D377" s="7">
        <f t="shared" si="35"/>
        <v>3429</v>
      </c>
      <c r="E377" s="97">
        <v>2030</v>
      </c>
      <c r="F377" s="7">
        <v>300</v>
      </c>
      <c r="G377" s="7">
        <f t="shared" si="36"/>
        <v>1730</v>
      </c>
      <c r="H377" s="98">
        <v>0</v>
      </c>
      <c r="I377" s="7">
        <v>0</v>
      </c>
      <c r="J377" s="7"/>
      <c r="K377" s="99">
        <f t="shared" si="41"/>
        <v>5909</v>
      </c>
      <c r="L377" s="7">
        <v>500</v>
      </c>
      <c r="M377" s="7">
        <v>0</v>
      </c>
      <c r="N377" s="7">
        <v>0</v>
      </c>
      <c r="O377" s="7">
        <v>0</v>
      </c>
      <c r="P377" s="7">
        <v>4501.066488096707</v>
      </c>
      <c r="Q377" s="7">
        <v>5891.9435498532912</v>
      </c>
      <c r="R377" s="113">
        <f t="shared" si="37"/>
        <v>0.11600928074245939</v>
      </c>
      <c r="S377" s="113">
        <f t="shared" si="38"/>
        <v>0.14778325123152711</v>
      </c>
      <c r="T377" s="113">
        <f t="shared" si="39"/>
        <v>0</v>
      </c>
      <c r="U377" s="113">
        <f t="shared" si="40"/>
        <v>8.7930843991328833E-2</v>
      </c>
    </row>
    <row r="378" spans="1:21" x14ac:dyDescent="0.45">
      <c r="A378" s="95">
        <v>44938</v>
      </c>
      <c r="B378" s="96">
        <v>3879</v>
      </c>
      <c r="C378" s="7">
        <v>450</v>
      </c>
      <c r="D378" s="7">
        <f t="shared" si="35"/>
        <v>3429</v>
      </c>
      <c r="E378" s="97">
        <v>2030</v>
      </c>
      <c r="F378" s="7">
        <v>300</v>
      </c>
      <c r="G378" s="7">
        <f t="shared" si="36"/>
        <v>1730</v>
      </c>
      <c r="H378" s="98">
        <v>0</v>
      </c>
      <c r="I378" s="7">
        <v>0</v>
      </c>
      <c r="J378" s="7"/>
      <c r="K378" s="99">
        <f t="shared" si="41"/>
        <v>5909</v>
      </c>
      <c r="L378" s="7">
        <v>600</v>
      </c>
      <c r="M378" s="7">
        <v>0</v>
      </c>
      <c r="N378" s="7">
        <v>0</v>
      </c>
      <c r="O378" s="7">
        <v>0</v>
      </c>
      <c r="P378" s="7">
        <v>4501.066488096707</v>
      </c>
      <c r="Q378" s="7">
        <v>5681.5242398132923</v>
      </c>
      <c r="R378" s="113">
        <f t="shared" si="37"/>
        <v>0.11600928074245939</v>
      </c>
      <c r="S378" s="113">
        <f t="shared" si="38"/>
        <v>0.14778325123152711</v>
      </c>
      <c r="T378" s="113">
        <f t="shared" si="39"/>
        <v>0</v>
      </c>
      <c r="U378" s="113">
        <f t="shared" si="40"/>
        <v>8.7930843991328833E-2</v>
      </c>
    </row>
    <row r="379" spans="1:21" x14ac:dyDescent="0.45">
      <c r="A379" s="95">
        <v>44939</v>
      </c>
      <c r="B379" s="96">
        <v>3879</v>
      </c>
      <c r="C379" s="7">
        <v>450</v>
      </c>
      <c r="D379" s="7">
        <f t="shared" si="35"/>
        <v>3429</v>
      </c>
      <c r="E379" s="97">
        <v>2030</v>
      </c>
      <c r="F379" s="7">
        <v>300</v>
      </c>
      <c r="G379" s="7">
        <f t="shared" si="36"/>
        <v>1730</v>
      </c>
      <c r="H379" s="98">
        <v>0</v>
      </c>
      <c r="I379" s="7">
        <v>0</v>
      </c>
      <c r="J379" s="7"/>
      <c r="K379" s="99">
        <f t="shared" si="41"/>
        <v>5909</v>
      </c>
      <c r="L379" s="7">
        <v>600</v>
      </c>
      <c r="M379" s="7">
        <v>0</v>
      </c>
      <c r="N379" s="7">
        <v>0</v>
      </c>
      <c r="O379" s="7">
        <v>0</v>
      </c>
      <c r="P379" s="7">
        <v>4501.066488096707</v>
      </c>
      <c r="Q379" s="7">
        <v>5439.3367231232933</v>
      </c>
      <c r="R379" s="113">
        <f t="shared" si="37"/>
        <v>0.11600928074245939</v>
      </c>
      <c r="S379" s="113">
        <f t="shared" si="38"/>
        <v>0.14778325123152711</v>
      </c>
      <c r="T379" s="113">
        <f t="shared" si="39"/>
        <v>0</v>
      </c>
      <c r="U379" s="113">
        <f t="shared" si="40"/>
        <v>8.7930843991328833E-2</v>
      </c>
    </row>
    <row r="380" spans="1:21" x14ac:dyDescent="0.45">
      <c r="A380" s="95">
        <v>44940</v>
      </c>
      <c r="B380" s="96">
        <v>3879</v>
      </c>
      <c r="C380" s="7">
        <v>450</v>
      </c>
      <c r="D380" s="7">
        <f t="shared" si="35"/>
        <v>3429</v>
      </c>
      <c r="E380" s="97">
        <v>2030</v>
      </c>
      <c r="F380" s="7">
        <v>300</v>
      </c>
      <c r="G380" s="7">
        <f t="shared" si="36"/>
        <v>1730</v>
      </c>
      <c r="H380" s="98">
        <v>0</v>
      </c>
      <c r="I380" s="7">
        <v>0</v>
      </c>
      <c r="J380" s="7"/>
      <c r="K380" s="99">
        <f t="shared" si="41"/>
        <v>5909</v>
      </c>
      <c r="L380" s="7">
        <v>600</v>
      </c>
      <c r="M380" s="7">
        <v>0</v>
      </c>
      <c r="N380" s="7">
        <v>0</v>
      </c>
      <c r="O380" s="7">
        <v>0</v>
      </c>
      <c r="P380" s="7">
        <v>4501.066488096707</v>
      </c>
      <c r="Q380" s="7">
        <v>5439.3367231232933</v>
      </c>
      <c r="R380" s="113">
        <f t="shared" si="37"/>
        <v>0.11600928074245939</v>
      </c>
      <c r="S380" s="113">
        <f t="shared" si="38"/>
        <v>0.14778325123152711</v>
      </c>
      <c r="T380" s="113">
        <f t="shared" si="39"/>
        <v>0</v>
      </c>
      <c r="U380" s="113">
        <f t="shared" si="40"/>
        <v>8.7930843991328833E-2</v>
      </c>
    </row>
    <row r="381" spans="1:21" x14ac:dyDescent="0.45">
      <c r="A381" s="95">
        <v>44941</v>
      </c>
      <c r="B381" s="96">
        <v>3879</v>
      </c>
      <c r="C381" s="7">
        <v>450</v>
      </c>
      <c r="D381" s="7">
        <f t="shared" si="35"/>
        <v>3429</v>
      </c>
      <c r="E381" s="97">
        <v>2030</v>
      </c>
      <c r="F381" s="7">
        <v>300</v>
      </c>
      <c r="G381" s="7">
        <f t="shared" si="36"/>
        <v>1730</v>
      </c>
      <c r="H381" s="98">
        <v>0</v>
      </c>
      <c r="I381" s="7">
        <v>0</v>
      </c>
      <c r="J381" s="7"/>
      <c r="K381" s="99">
        <f t="shared" si="41"/>
        <v>5909</v>
      </c>
      <c r="L381" s="7">
        <v>600</v>
      </c>
      <c r="M381" s="7">
        <v>0</v>
      </c>
      <c r="N381" s="7">
        <v>0</v>
      </c>
      <c r="O381" s="7">
        <v>0</v>
      </c>
      <c r="P381" s="7">
        <v>4501.066488096707</v>
      </c>
      <c r="Q381" s="7">
        <v>5439.3367231232933</v>
      </c>
      <c r="R381" s="113">
        <f t="shared" si="37"/>
        <v>0.11600928074245939</v>
      </c>
      <c r="S381" s="113">
        <f t="shared" si="38"/>
        <v>0.14778325123152711</v>
      </c>
      <c r="T381" s="113">
        <f t="shared" si="39"/>
        <v>0</v>
      </c>
      <c r="U381" s="113">
        <f t="shared" si="40"/>
        <v>8.7930843991328833E-2</v>
      </c>
    </row>
    <row r="382" spans="1:21" x14ac:dyDescent="0.45">
      <c r="A382" s="95">
        <v>44942</v>
      </c>
      <c r="B382" s="96">
        <v>3879</v>
      </c>
      <c r="C382" s="7">
        <v>450</v>
      </c>
      <c r="D382" s="7">
        <f t="shared" si="35"/>
        <v>3429</v>
      </c>
      <c r="E382" s="97">
        <v>2030</v>
      </c>
      <c r="F382" s="7">
        <v>300</v>
      </c>
      <c r="G382" s="7">
        <f t="shared" si="36"/>
        <v>1730</v>
      </c>
      <c r="H382" s="98">
        <v>0</v>
      </c>
      <c r="I382" s="7">
        <v>0</v>
      </c>
      <c r="J382" s="7"/>
      <c r="K382" s="99">
        <f t="shared" si="41"/>
        <v>5909</v>
      </c>
      <c r="L382" s="7">
        <v>600</v>
      </c>
      <c r="M382" s="7">
        <v>0</v>
      </c>
      <c r="N382" s="7">
        <v>0</v>
      </c>
      <c r="O382" s="7">
        <v>0</v>
      </c>
      <c r="P382" s="7">
        <v>4501.066488096707</v>
      </c>
      <c r="Q382" s="7">
        <v>5682.8515100632931</v>
      </c>
      <c r="R382" s="113">
        <f t="shared" si="37"/>
        <v>0.11600928074245939</v>
      </c>
      <c r="S382" s="113">
        <f t="shared" si="38"/>
        <v>0.14778325123152711</v>
      </c>
      <c r="T382" s="113">
        <f t="shared" si="39"/>
        <v>0</v>
      </c>
      <c r="U382" s="113">
        <f t="shared" si="40"/>
        <v>8.7930843991328833E-2</v>
      </c>
    </row>
    <row r="383" spans="1:21" x14ac:dyDescent="0.45">
      <c r="A383" s="95">
        <v>44943</v>
      </c>
      <c r="B383" s="96">
        <v>3879</v>
      </c>
      <c r="C383" s="7">
        <v>450</v>
      </c>
      <c r="D383" s="7">
        <f t="shared" si="35"/>
        <v>3429</v>
      </c>
      <c r="E383" s="97">
        <v>2030</v>
      </c>
      <c r="F383" s="7">
        <v>300</v>
      </c>
      <c r="G383" s="7">
        <f t="shared" si="36"/>
        <v>1730</v>
      </c>
      <c r="H383" s="98">
        <v>0</v>
      </c>
      <c r="I383" s="7">
        <v>0</v>
      </c>
      <c r="J383" s="7"/>
      <c r="K383" s="99">
        <f t="shared" si="41"/>
        <v>5909</v>
      </c>
      <c r="L383" s="7">
        <v>600</v>
      </c>
      <c r="M383" s="7">
        <v>0</v>
      </c>
      <c r="N383" s="7">
        <v>0</v>
      </c>
      <c r="O383" s="7">
        <v>0</v>
      </c>
      <c r="P383" s="7">
        <v>4501.066488096707</v>
      </c>
      <c r="Q383" s="7">
        <v>5848.6632605232926</v>
      </c>
      <c r="R383" s="113">
        <f t="shared" si="37"/>
        <v>0.11600928074245939</v>
      </c>
      <c r="S383" s="113">
        <f t="shared" si="38"/>
        <v>0.14778325123152711</v>
      </c>
      <c r="T383" s="113">
        <f t="shared" si="39"/>
        <v>0</v>
      </c>
      <c r="U383" s="113">
        <f t="shared" si="40"/>
        <v>8.7930843991328833E-2</v>
      </c>
    </row>
    <row r="384" spans="1:21" x14ac:dyDescent="0.45">
      <c r="A384" s="95">
        <v>44944</v>
      </c>
      <c r="B384" s="96">
        <v>3879</v>
      </c>
      <c r="C384" s="7">
        <v>450</v>
      </c>
      <c r="D384" s="7">
        <f t="shared" si="35"/>
        <v>3429</v>
      </c>
      <c r="E384" s="97">
        <v>2030</v>
      </c>
      <c r="F384" s="7">
        <v>300</v>
      </c>
      <c r="G384" s="7">
        <f t="shared" si="36"/>
        <v>1730</v>
      </c>
      <c r="H384" s="98">
        <v>0</v>
      </c>
      <c r="I384" s="7">
        <v>0</v>
      </c>
      <c r="J384" s="7"/>
      <c r="K384" s="99">
        <f t="shared" si="41"/>
        <v>5909</v>
      </c>
      <c r="L384" s="7">
        <v>300</v>
      </c>
      <c r="M384" s="7">
        <v>0</v>
      </c>
      <c r="N384" s="7">
        <v>0</v>
      </c>
      <c r="O384" s="7">
        <v>0</v>
      </c>
      <c r="P384" s="7">
        <v>4501.066488096707</v>
      </c>
      <c r="Q384" s="7">
        <v>4619.1671084232939</v>
      </c>
      <c r="R384" s="113">
        <f t="shared" si="37"/>
        <v>0.11600928074245939</v>
      </c>
      <c r="S384" s="113">
        <f t="shared" si="38"/>
        <v>0.14778325123152711</v>
      </c>
      <c r="T384" s="113">
        <f t="shared" si="39"/>
        <v>0</v>
      </c>
      <c r="U384" s="113">
        <f t="shared" si="40"/>
        <v>8.7930843991328833E-2</v>
      </c>
    </row>
    <row r="385" spans="1:21" x14ac:dyDescent="0.45">
      <c r="A385" s="95">
        <v>44945</v>
      </c>
      <c r="B385" s="96">
        <v>3879</v>
      </c>
      <c r="C385" s="7">
        <v>450</v>
      </c>
      <c r="D385" s="7">
        <f t="shared" si="35"/>
        <v>3429</v>
      </c>
      <c r="E385" s="97">
        <v>2030</v>
      </c>
      <c r="F385" s="7">
        <v>300</v>
      </c>
      <c r="G385" s="7">
        <f t="shared" si="36"/>
        <v>1730</v>
      </c>
      <c r="H385" s="98">
        <v>0</v>
      </c>
      <c r="I385" s="7">
        <v>0</v>
      </c>
      <c r="J385" s="7"/>
      <c r="K385" s="99">
        <f t="shared" si="41"/>
        <v>5909</v>
      </c>
      <c r="L385" s="7">
        <v>300</v>
      </c>
      <c r="M385" s="7">
        <v>0</v>
      </c>
      <c r="N385" s="7">
        <v>0</v>
      </c>
      <c r="O385" s="7">
        <v>0</v>
      </c>
      <c r="P385" s="7">
        <v>4501.066488096707</v>
      </c>
      <c r="Q385" s="7">
        <v>4640.5359397332932</v>
      </c>
      <c r="R385" s="113">
        <f t="shared" si="37"/>
        <v>0.11600928074245939</v>
      </c>
      <c r="S385" s="113">
        <f t="shared" si="38"/>
        <v>0.14778325123152711</v>
      </c>
      <c r="T385" s="113">
        <f t="shared" si="39"/>
        <v>0</v>
      </c>
      <c r="U385" s="113">
        <f t="shared" si="40"/>
        <v>8.7930843991328833E-2</v>
      </c>
    </row>
    <row r="386" spans="1:21" x14ac:dyDescent="0.45">
      <c r="A386" s="95">
        <v>44946</v>
      </c>
      <c r="B386" s="96">
        <v>3879</v>
      </c>
      <c r="C386" s="7">
        <v>450</v>
      </c>
      <c r="D386" s="7">
        <f t="shared" ref="D386:D449" si="42">B386-C386</f>
        <v>3429</v>
      </c>
      <c r="E386" s="97">
        <v>2030</v>
      </c>
      <c r="F386" s="7">
        <v>300</v>
      </c>
      <c r="G386" s="7">
        <f t="shared" ref="G386:G449" si="43">E386-F386</f>
        <v>1730</v>
      </c>
      <c r="H386" s="98">
        <v>0</v>
      </c>
      <c r="I386" s="7">
        <v>0</v>
      </c>
      <c r="J386" s="7"/>
      <c r="K386" s="99">
        <f t="shared" si="41"/>
        <v>5909</v>
      </c>
      <c r="L386" s="7">
        <v>300</v>
      </c>
      <c r="M386" s="7">
        <v>0</v>
      </c>
      <c r="N386" s="7">
        <v>0</v>
      </c>
      <c r="O386" s="7">
        <v>0</v>
      </c>
      <c r="P386" s="7">
        <v>4501.066488096707</v>
      </c>
      <c r="Q386" s="7">
        <v>4748.4811673732938</v>
      </c>
      <c r="R386" s="113">
        <f t="shared" si="37"/>
        <v>0.11600928074245939</v>
      </c>
      <c r="S386" s="113">
        <f t="shared" si="38"/>
        <v>0.14778325123152711</v>
      </c>
      <c r="T386" s="113">
        <f t="shared" si="39"/>
        <v>0</v>
      </c>
      <c r="U386" s="113">
        <f t="shared" si="40"/>
        <v>8.7930843991328833E-2</v>
      </c>
    </row>
    <row r="387" spans="1:21" x14ac:dyDescent="0.45">
      <c r="A387" s="95">
        <v>44947</v>
      </c>
      <c r="B387" s="96">
        <v>3879</v>
      </c>
      <c r="C387" s="7">
        <v>450</v>
      </c>
      <c r="D387" s="7">
        <f t="shared" si="42"/>
        <v>3429</v>
      </c>
      <c r="E387" s="97">
        <v>2030</v>
      </c>
      <c r="F387" s="7">
        <v>300</v>
      </c>
      <c r="G387" s="7">
        <f t="shared" si="43"/>
        <v>1730</v>
      </c>
      <c r="H387" s="98">
        <v>0</v>
      </c>
      <c r="I387" s="7">
        <v>0</v>
      </c>
      <c r="J387" s="7"/>
      <c r="K387" s="99">
        <f t="shared" si="41"/>
        <v>5909</v>
      </c>
      <c r="L387" s="7">
        <v>300</v>
      </c>
      <c r="M387" s="7">
        <v>0</v>
      </c>
      <c r="N387" s="7">
        <v>0</v>
      </c>
      <c r="O387" s="7">
        <v>0</v>
      </c>
      <c r="P387" s="7">
        <v>4501.066488096707</v>
      </c>
      <c r="Q387" s="7">
        <v>4748.4811673732938</v>
      </c>
      <c r="R387" s="113">
        <f t="shared" ref="R387:R450" si="44">C387/B387</f>
        <v>0.11600928074245939</v>
      </c>
      <c r="S387" s="113">
        <f t="shared" ref="S387:S450" si="45">F387/E387</f>
        <v>0.14778325123152711</v>
      </c>
      <c r="T387" s="113">
        <f t="shared" ref="T387:T450" si="46">IF(H387=0,0,I387/H387)</f>
        <v>0</v>
      </c>
      <c r="U387" s="113">
        <f t="shared" ref="U387:U450" si="47">AVERAGE(R387:T387)</f>
        <v>8.7930843991328833E-2</v>
      </c>
    </row>
    <row r="388" spans="1:21" x14ac:dyDescent="0.45">
      <c r="A388" s="95">
        <v>44948</v>
      </c>
      <c r="B388" s="96">
        <v>3879</v>
      </c>
      <c r="C388" s="7">
        <v>450</v>
      </c>
      <c r="D388" s="7">
        <f t="shared" si="42"/>
        <v>3429</v>
      </c>
      <c r="E388" s="97">
        <v>2030</v>
      </c>
      <c r="F388" s="7">
        <v>300</v>
      </c>
      <c r="G388" s="7">
        <f t="shared" si="43"/>
        <v>1730</v>
      </c>
      <c r="H388" s="98">
        <v>0</v>
      </c>
      <c r="I388" s="7">
        <v>0</v>
      </c>
      <c r="J388" s="7"/>
      <c r="K388" s="99">
        <f t="shared" ref="K388:K451" si="48">B388+E388+H388</f>
        <v>5909</v>
      </c>
      <c r="L388" s="7">
        <v>300</v>
      </c>
      <c r="M388" s="7">
        <v>0</v>
      </c>
      <c r="N388" s="7">
        <v>0</v>
      </c>
      <c r="O388" s="7">
        <v>0</v>
      </c>
      <c r="P388" s="7">
        <v>4501.066488096707</v>
      </c>
      <c r="Q388" s="7">
        <v>4748.4811673732938</v>
      </c>
      <c r="R388" s="113">
        <f t="shared" si="44"/>
        <v>0.11600928074245939</v>
      </c>
      <c r="S388" s="113">
        <f t="shared" si="45"/>
        <v>0.14778325123152711</v>
      </c>
      <c r="T388" s="113">
        <f t="shared" si="46"/>
        <v>0</v>
      </c>
      <c r="U388" s="113">
        <f t="shared" si="47"/>
        <v>8.7930843991328833E-2</v>
      </c>
    </row>
    <row r="389" spans="1:21" x14ac:dyDescent="0.45">
      <c r="A389" s="95">
        <v>44949</v>
      </c>
      <c r="B389" s="96">
        <v>3879</v>
      </c>
      <c r="C389" s="7">
        <v>450</v>
      </c>
      <c r="D389" s="7">
        <f t="shared" si="42"/>
        <v>3429</v>
      </c>
      <c r="E389" s="97">
        <v>2030</v>
      </c>
      <c r="F389" s="7">
        <v>300</v>
      </c>
      <c r="G389" s="7">
        <f t="shared" si="43"/>
        <v>1730</v>
      </c>
      <c r="H389" s="98">
        <v>0</v>
      </c>
      <c r="I389" s="7">
        <v>0</v>
      </c>
      <c r="J389" s="7"/>
      <c r="K389" s="99">
        <f t="shared" si="48"/>
        <v>5909</v>
      </c>
      <c r="L389" s="7">
        <v>300</v>
      </c>
      <c r="M389" s="7">
        <v>0</v>
      </c>
      <c r="N389" s="7">
        <v>0</v>
      </c>
      <c r="O389" s="7">
        <v>0</v>
      </c>
      <c r="P389" s="7">
        <v>4731.8898983707877</v>
      </c>
      <c r="Q389" s="7">
        <v>5595.5595307792119</v>
      </c>
      <c r="R389" s="113">
        <f t="shared" si="44"/>
        <v>0.11600928074245939</v>
      </c>
      <c r="S389" s="113">
        <f t="shared" si="45"/>
        <v>0.14778325123152711</v>
      </c>
      <c r="T389" s="113">
        <f t="shared" si="46"/>
        <v>0</v>
      </c>
      <c r="U389" s="113">
        <f t="shared" si="47"/>
        <v>8.7930843991328833E-2</v>
      </c>
    </row>
    <row r="390" spans="1:21" x14ac:dyDescent="0.45">
      <c r="A390" s="95">
        <v>44950</v>
      </c>
      <c r="B390" s="96">
        <v>3879</v>
      </c>
      <c r="C390" s="7">
        <v>450</v>
      </c>
      <c r="D390" s="7">
        <f t="shared" si="42"/>
        <v>3429</v>
      </c>
      <c r="E390" s="97">
        <v>1730</v>
      </c>
      <c r="F390" s="7">
        <v>300</v>
      </c>
      <c r="G390" s="7">
        <f t="shared" si="43"/>
        <v>1430</v>
      </c>
      <c r="H390" s="98">
        <v>0</v>
      </c>
      <c r="I390" s="7">
        <v>0</v>
      </c>
      <c r="J390" s="7"/>
      <c r="K390" s="99">
        <f t="shared" si="48"/>
        <v>5609</v>
      </c>
      <c r="L390" s="7">
        <v>300</v>
      </c>
      <c r="M390" s="7">
        <v>0</v>
      </c>
      <c r="N390" s="7">
        <v>0</v>
      </c>
      <c r="O390" s="7">
        <v>0</v>
      </c>
      <c r="P390" s="7">
        <v>4731.8898983707877</v>
      </c>
      <c r="Q390" s="7">
        <v>5537.583785259214</v>
      </c>
      <c r="R390" s="113">
        <f t="shared" si="44"/>
        <v>0.11600928074245939</v>
      </c>
      <c r="S390" s="113">
        <f t="shared" si="45"/>
        <v>0.17341040462427745</v>
      </c>
      <c r="T390" s="113">
        <f t="shared" si="46"/>
        <v>0</v>
      </c>
      <c r="U390" s="113">
        <f t="shared" si="47"/>
        <v>9.6473228455578944E-2</v>
      </c>
    </row>
    <row r="391" spans="1:21" x14ac:dyDescent="0.45">
      <c r="A391" s="95">
        <v>44951</v>
      </c>
      <c r="B391" s="96">
        <v>3779</v>
      </c>
      <c r="C391" s="7">
        <v>450</v>
      </c>
      <c r="D391" s="7">
        <f t="shared" si="42"/>
        <v>3329</v>
      </c>
      <c r="E391" s="97">
        <v>1730</v>
      </c>
      <c r="F391" s="7">
        <v>300</v>
      </c>
      <c r="G391" s="7">
        <f t="shared" si="43"/>
        <v>1430</v>
      </c>
      <c r="H391" s="98">
        <v>0</v>
      </c>
      <c r="I391" s="7">
        <v>0</v>
      </c>
      <c r="J391" s="7"/>
      <c r="K391" s="99">
        <f t="shared" si="48"/>
        <v>5509</v>
      </c>
      <c r="L391" s="7">
        <v>300</v>
      </c>
      <c r="M391" s="7">
        <v>0</v>
      </c>
      <c r="N391" s="7">
        <v>0</v>
      </c>
      <c r="O391" s="7">
        <v>0</v>
      </c>
      <c r="P391" s="7">
        <v>4731.8898983707877</v>
      </c>
      <c r="Q391" s="7">
        <v>5415.5890340292117</v>
      </c>
      <c r="R391" s="113">
        <f t="shared" si="44"/>
        <v>0.11907912146070389</v>
      </c>
      <c r="S391" s="113">
        <f t="shared" si="45"/>
        <v>0.17341040462427745</v>
      </c>
      <c r="T391" s="113">
        <f t="shared" si="46"/>
        <v>0</v>
      </c>
      <c r="U391" s="113">
        <f t="shared" si="47"/>
        <v>9.749650869499378E-2</v>
      </c>
    </row>
    <row r="392" spans="1:21" x14ac:dyDescent="0.45">
      <c r="A392" s="95">
        <v>44952</v>
      </c>
      <c r="B392" s="96">
        <v>3779</v>
      </c>
      <c r="C392" s="7">
        <v>350</v>
      </c>
      <c r="D392" s="7">
        <f t="shared" si="42"/>
        <v>3429</v>
      </c>
      <c r="E392" s="97">
        <v>1730</v>
      </c>
      <c r="F392" s="7">
        <v>300</v>
      </c>
      <c r="G392" s="7">
        <f t="shared" si="43"/>
        <v>1430</v>
      </c>
      <c r="H392" s="98">
        <v>0</v>
      </c>
      <c r="I392" s="7">
        <v>0</v>
      </c>
      <c r="J392" s="7"/>
      <c r="K392" s="99">
        <f t="shared" si="48"/>
        <v>5509</v>
      </c>
      <c r="L392" s="7">
        <v>500</v>
      </c>
      <c r="M392" s="7">
        <v>0</v>
      </c>
      <c r="N392" s="7">
        <v>0</v>
      </c>
      <c r="O392" s="7">
        <v>0</v>
      </c>
      <c r="P392" s="7">
        <v>4731.8898983707877</v>
      </c>
      <c r="Q392" s="7">
        <v>5327.2832113292134</v>
      </c>
      <c r="R392" s="113">
        <f t="shared" si="44"/>
        <v>9.2617094469436362E-2</v>
      </c>
      <c r="S392" s="113">
        <f t="shared" si="45"/>
        <v>0.17341040462427745</v>
      </c>
      <c r="T392" s="113">
        <f t="shared" si="46"/>
        <v>0</v>
      </c>
      <c r="U392" s="113">
        <f t="shared" si="47"/>
        <v>8.8675833031237938E-2</v>
      </c>
    </row>
    <row r="393" spans="1:21" x14ac:dyDescent="0.45">
      <c r="A393" s="95">
        <v>44953</v>
      </c>
      <c r="B393" s="96">
        <v>3779</v>
      </c>
      <c r="C393" s="7">
        <v>350</v>
      </c>
      <c r="D393" s="7">
        <f t="shared" si="42"/>
        <v>3429</v>
      </c>
      <c r="E393" s="97">
        <v>1730</v>
      </c>
      <c r="F393" s="7">
        <v>300</v>
      </c>
      <c r="G393" s="7">
        <f t="shared" si="43"/>
        <v>1430</v>
      </c>
      <c r="H393" s="98">
        <v>0</v>
      </c>
      <c r="I393" s="7">
        <v>0</v>
      </c>
      <c r="J393" s="7"/>
      <c r="K393" s="99">
        <f t="shared" si="48"/>
        <v>5509</v>
      </c>
      <c r="L393" s="7">
        <v>500</v>
      </c>
      <c r="M393" s="7">
        <v>0</v>
      </c>
      <c r="N393" s="7">
        <v>0</v>
      </c>
      <c r="O393" s="7">
        <v>0</v>
      </c>
      <c r="P393" s="7">
        <v>4731.8898983707877</v>
      </c>
      <c r="Q393" s="7">
        <v>5424.550633009213</v>
      </c>
      <c r="R393" s="113">
        <f t="shared" si="44"/>
        <v>9.2617094469436362E-2</v>
      </c>
      <c r="S393" s="113">
        <f t="shared" si="45"/>
        <v>0.17341040462427745</v>
      </c>
      <c r="T393" s="113">
        <f t="shared" si="46"/>
        <v>0</v>
      </c>
      <c r="U393" s="113">
        <f t="shared" si="47"/>
        <v>8.8675833031237938E-2</v>
      </c>
    </row>
    <row r="394" spans="1:21" x14ac:dyDescent="0.45">
      <c r="A394" s="95">
        <v>44954</v>
      </c>
      <c r="B394" s="96">
        <v>3779</v>
      </c>
      <c r="C394" s="7">
        <v>350</v>
      </c>
      <c r="D394" s="7">
        <f t="shared" si="42"/>
        <v>3429</v>
      </c>
      <c r="E394" s="97">
        <v>1730</v>
      </c>
      <c r="F394" s="7">
        <v>300</v>
      </c>
      <c r="G394" s="7">
        <f t="shared" si="43"/>
        <v>1430</v>
      </c>
      <c r="H394" s="98">
        <v>0</v>
      </c>
      <c r="I394" s="7">
        <v>0</v>
      </c>
      <c r="J394" s="7"/>
      <c r="K394" s="99">
        <f t="shared" si="48"/>
        <v>5509</v>
      </c>
      <c r="L394" s="7">
        <v>500</v>
      </c>
      <c r="M394" s="7">
        <v>0</v>
      </c>
      <c r="N394" s="7">
        <v>0</v>
      </c>
      <c r="O394" s="7">
        <v>0</v>
      </c>
      <c r="P394" s="7">
        <v>4731.8898983707877</v>
      </c>
      <c r="Q394" s="7">
        <v>5424.550633009213</v>
      </c>
      <c r="R394" s="113">
        <f t="shared" si="44"/>
        <v>9.2617094469436362E-2</v>
      </c>
      <c r="S394" s="113">
        <f t="shared" si="45"/>
        <v>0.17341040462427745</v>
      </c>
      <c r="T394" s="113">
        <f t="shared" si="46"/>
        <v>0</v>
      </c>
      <c r="U394" s="113">
        <f t="shared" si="47"/>
        <v>8.8675833031237938E-2</v>
      </c>
    </row>
    <row r="395" spans="1:21" x14ac:dyDescent="0.45">
      <c r="A395" s="95">
        <v>44955</v>
      </c>
      <c r="B395" s="96">
        <v>3779</v>
      </c>
      <c r="C395" s="7">
        <v>350</v>
      </c>
      <c r="D395" s="7">
        <f t="shared" si="42"/>
        <v>3429</v>
      </c>
      <c r="E395" s="97">
        <v>1730</v>
      </c>
      <c r="F395" s="7">
        <v>300</v>
      </c>
      <c r="G395" s="7">
        <f t="shared" si="43"/>
        <v>1430</v>
      </c>
      <c r="H395" s="98">
        <v>0</v>
      </c>
      <c r="I395" s="7">
        <v>0</v>
      </c>
      <c r="J395" s="7"/>
      <c r="K395" s="99">
        <f t="shared" si="48"/>
        <v>5509</v>
      </c>
      <c r="L395" s="7">
        <v>500</v>
      </c>
      <c r="M395" s="7">
        <v>0</v>
      </c>
      <c r="N395" s="7">
        <v>0</v>
      </c>
      <c r="O395" s="7">
        <v>0</v>
      </c>
      <c r="P395" s="7">
        <v>4731.8898983707877</v>
      </c>
      <c r="Q395" s="7">
        <v>5424.550633009213</v>
      </c>
      <c r="R395" s="113">
        <f t="shared" si="44"/>
        <v>9.2617094469436362E-2</v>
      </c>
      <c r="S395" s="113">
        <f t="shared" si="45"/>
        <v>0.17341040462427745</v>
      </c>
      <c r="T395" s="113">
        <f t="shared" si="46"/>
        <v>0</v>
      </c>
      <c r="U395" s="113">
        <f t="shared" si="47"/>
        <v>8.8675833031237938E-2</v>
      </c>
    </row>
    <row r="396" spans="1:21" x14ac:dyDescent="0.45">
      <c r="A396" s="95">
        <v>44956</v>
      </c>
      <c r="B396" s="96">
        <v>3779</v>
      </c>
      <c r="C396" s="7">
        <v>350</v>
      </c>
      <c r="D396" s="7">
        <f t="shared" si="42"/>
        <v>3429</v>
      </c>
      <c r="E396" s="97">
        <v>1730</v>
      </c>
      <c r="F396" s="7">
        <v>300</v>
      </c>
      <c r="G396" s="7">
        <f t="shared" si="43"/>
        <v>1430</v>
      </c>
      <c r="H396" s="98">
        <v>0</v>
      </c>
      <c r="I396" s="7">
        <v>0</v>
      </c>
      <c r="J396" s="7"/>
      <c r="K396" s="99">
        <f t="shared" si="48"/>
        <v>5509</v>
      </c>
      <c r="L396" s="7">
        <v>500</v>
      </c>
      <c r="M396" s="7">
        <v>0</v>
      </c>
      <c r="N396" s="7">
        <v>0</v>
      </c>
      <c r="O396" s="7">
        <v>0</v>
      </c>
      <c r="P396" s="7">
        <v>4731.8898983707877</v>
      </c>
      <c r="Q396" s="7">
        <v>5051.6636905592122</v>
      </c>
      <c r="R396" s="113">
        <f t="shared" si="44"/>
        <v>9.2617094469436362E-2</v>
      </c>
      <c r="S396" s="113">
        <f t="shared" si="45"/>
        <v>0.17341040462427745</v>
      </c>
      <c r="T396" s="113">
        <f t="shared" si="46"/>
        <v>0</v>
      </c>
      <c r="U396" s="113">
        <f t="shared" si="47"/>
        <v>8.8675833031237938E-2</v>
      </c>
    </row>
    <row r="397" spans="1:21" x14ac:dyDescent="0.45">
      <c r="A397" s="95">
        <v>44957</v>
      </c>
      <c r="B397" s="96">
        <v>3779</v>
      </c>
      <c r="C397" s="7">
        <v>350</v>
      </c>
      <c r="D397" s="7">
        <f t="shared" si="42"/>
        <v>3429</v>
      </c>
      <c r="E397" s="97">
        <v>1730</v>
      </c>
      <c r="F397" s="7">
        <v>300</v>
      </c>
      <c r="G397" s="7">
        <f t="shared" si="43"/>
        <v>1430</v>
      </c>
      <c r="H397" s="98">
        <v>0</v>
      </c>
      <c r="I397" s="7">
        <v>0</v>
      </c>
      <c r="J397" s="7"/>
      <c r="K397" s="99">
        <f t="shared" si="48"/>
        <v>5509</v>
      </c>
      <c r="L397" s="7">
        <v>500</v>
      </c>
      <c r="M397" s="7">
        <v>0</v>
      </c>
      <c r="N397" s="7">
        <v>0</v>
      </c>
      <c r="O397" s="7">
        <v>0</v>
      </c>
      <c r="P397" s="7">
        <v>4731.8898983707877</v>
      </c>
      <c r="Q397" s="7">
        <v>5024.9238854392133</v>
      </c>
      <c r="R397" s="113">
        <f t="shared" si="44"/>
        <v>9.2617094469436362E-2</v>
      </c>
      <c r="S397" s="113">
        <f t="shared" si="45"/>
        <v>0.17341040462427745</v>
      </c>
      <c r="T397" s="113">
        <f t="shared" si="46"/>
        <v>0</v>
      </c>
      <c r="U397" s="113">
        <f t="shared" si="47"/>
        <v>8.8675833031237938E-2</v>
      </c>
    </row>
    <row r="398" spans="1:21" x14ac:dyDescent="0.45">
      <c r="A398" s="95">
        <v>44958</v>
      </c>
      <c r="B398" s="96">
        <v>3319</v>
      </c>
      <c r="C398" s="7">
        <v>350</v>
      </c>
      <c r="D398" s="7">
        <f t="shared" si="42"/>
        <v>2969</v>
      </c>
      <c r="E398" s="97">
        <v>1730</v>
      </c>
      <c r="F398" s="7">
        <v>300</v>
      </c>
      <c r="G398" s="7">
        <f t="shared" si="43"/>
        <v>1430</v>
      </c>
      <c r="H398" s="98">
        <v>0</v>
      </c>
      <c r="I398" s="7">
        <v>0</v>
      </c>
      <c r="J398" s="7"/>
      <c r="K398" s="99">
        <f t="shared" si="48"/>
        <v>5049</v>
      </c>
      <c r="L398" s="7">
        <v>500</v>
      </c>
      <c r="M398" s="7">
        <v>0</v>
      </c>
      <c r="N398" s="7">
        <v>0</v>
      </c>
      <c r="O398" s="7">
        <v>0</v>
      </c>
      <c r="P398" s="7">
        <v>4731.8898983707877</v>
      </c>
      <c r="Q398" s="7">
        <v>4875.3383576192109</v>
      </c>
      <c r="R398" s="113">
        <f t="shared" si="44"/>
        <v>0.10545344983428744</v>
      </c>
      <c r="S398" s="113">
        <f t="shared" si="45"/>
        <v>0.17341040462427745</v>
      </c>
      <c r="T398" s="113">
        <f t="shared" si="46"/>
        <v>0</v>
      </c>
      <c r="U398" s="113">
        <f t="shared" si="47"/>
        <v>9.2954618152854954E-2</v>
      </c>
    </row>
    <row r="399" spans="1:21" x14ac:dyDescent="0.45">
      <c r="A399" s="95">
        <v>44959</v>
      </c>
      <c r="B399" s="96">
        <v>3319</v>
      </c>
      <c r="C399" s="7">
        <v>350</v>
      </c>
      <c r="D399" s="7">
        <f t="shared" si="42"/>
        <v>2969</v>
      </c>
      <c r="E399" s="97">
        <v>1730</v>
      </c>
      <c r="F399" s="7">
        <v>300</v>
      </c>
      <c r="G399" s="7">
        <f t="shared" si="43"/>
        <v>1430</v>
      </c>
      <c r="H399" s="98">
        <v>0</v>
      </c>
      <c r="I399" s="7">
        <v>0</v>
      </c>
      <c r="J399" s="7"/>
      <c r="K399" s="99">
        <f t="shared" si="48"/>
        <v>5049</v>
      </c>
      <c r="L399" s="7">
        <v>400</v>
      </c>
      <c r="M399" s="7">
        <v>0</v>
      </c>
      <c r="N399" s="7">
        <v>0</v>
      </c>
      <c r="O399" s="7">
        <v>0</v>
      </c>
      <c r="P399" s="7">
        <v>4731.8898983707877</v>
      </c>
      <c r="Q399" s="7">
        <v>5245.2383924092119</v>
      </c>
      <c r="R399" s="113">
        <f t="shared" si="44"/>
        <v>0.10545344983428744</v>
      </c>
      <c r="S399" s="113">
        <f t="shared" si="45"/>
        <v>0.17341040462427745</v>
      </c>
      <c r="T399" s="113">
        <f t="shared" si="46"/>
        <v>0</v>
      </c>
      <c r="U399" s="113">
        <f t="shared" si="47"/>
        <v>9.2954618152854954E-2</v>
      </c>
    </row>
    <row r="400" spans="1:21" x14ac:dyDescent="0.45">
      <c r="A400" s="95">
        <v>44960</v>
      </c>
      <c r="B400" s="96">
        <v>3319</v>
      </c>
      <c r="C400" s="7">
        <v>150</v>
      </c>
      <c r="D400" s="7">
        <f t="shared" si="42"/>
        <v>3169</v>
      </c>
      <c r="E400" s="97">
        <v>1730</v>
      </c>
      <c r="F400" s="7">
        <v>300</v>
      </c>
      <c r="G400" s="7">
        <f t="shared" si="43"/>
        <v>1430</v>
      </c>
      <c r="H400" s="98">
        <v>0</v>
      </c>
      <c r="I400" s="7">
        <v>0</v>
      </c>
      <c r="J400" s="7"/>
      <c r="K400" s="99">
        <f t="shared" si="48"/>
        <v>5049</v>
      </c>
      <c r="L400" s="7">
        <v>400</v>
      </c>
      <c r="M400" s="7">
        <v>0</v>
      </c>
      <c r="N400" s="7">
        <v>0</v>
      </c>
      <c r="O400" s="7">
        <v>0</v>
      </c>
      <c r="P400" s="7">
        <v>4731.8898983707877</v>
      </c>
      <c r="Q400" s="7">
        <v>5106.6968366892115</v>
      </c>
      <c r="R400" s="113">
        <f t="shared" si="44"/>
        <v>4.5194335643266047E-2</v>
      </c>
      <c r="S400" s="113">
        <f t="shared" si="45"/>
        <v>0.17341040462427745</v>
      </c>
      <c r="T400" s="113">
        <f t="shared" si="46"/>
        <v>0</v>
      </c>
      <c r="U400" s="113">
        <f t="shared" si="47"/>
        <v>7.286824675584784E-2</v>
      </c>
    </row>
    <row r="401" spans="1:21" x14ac:dyDescent="0.45">
      <c r="A401" s="95">
        <v>44961</v>
      </c>
      <c r="B401" s="96">
        <v>3319</v>
      </c>
      <c r="C401" s="7">
        <v>150</v>
      </c>
      <c r="D401" s="7">
        <f t="shared" si="42"/>
        <v>3169</v>
      </c>
      <c r="E401" s="97">
        <v>1730</v>
      </c>
      <c r="F401" s="7">
        <v>300</v>
      </c>
      <c r="G401" s="7">
        <f t="shared" si="43"/>
        <v>1430</v>
      </c>
      <c r="H401" s="98">
        <v>0</v>
      </c>
      <c r="I401" s="7">
        <v>0</v>
      </c>
      <c r="J401" s="7"/>
      <c r="K401" s="99">
        <f t="shared" si="48"/>
        <v>5049</v>
      </c>
      <c r="L401" s="7">
        <v>400</v>
      </c>
      <c r="M401" s="7">
        <v>0</v>
      </c>
      <c r="N401" s="7">
        <v>0</v>
      </c>
      <c r="O401" s="7">
        <v>0</v>
      </c>
      <c r="P401" s="7">
        <v>4731.8898983707877</v>
      </c>
      <c r="Q401" s="7">
        <v>5106.6968366892115</v>
      </c>
      <c r="R401" s="113">
        <f t="shared" si="44"/>
        <v>4.5194335643266047E-2</v>
      </c>
      <c r="S401" s="113">
        <f t="shared" si="45"/>
        <v>0.17341040462427745</v>
      </c>
      <c r="T401" s="113">
        <f t="shared" si="46"/>
        <v>0</v>
      </c>
      <c r="U401" s="113">
        <f t="shared" si="47"/>
        <v>7.286824675584784E-2</v>
      </c>
    </row>
    <row r="402" spans="1:21" x14ac:dyDescent="0.45">
      <c r="A402" s="95">
        <v>44962</v>
      </c>
      <c r="B402" s="96">
        <v>3319</v>
      </c>
      <c r="C402" s="7">
        <v>150</v>
      </c>
      <c r="D402" s="7">
        <f t="shared" si="42"/>
        <v>3169</v>
      </c>
      <c r="E402" s="97">
        <v>1730</v>
      </c>
      <c r="F402" s="7">
        <v>300</v>
      </c>
      <c r="G402" s="7">
        <f t="shared" si="43"/>
        <v>1430</v>
      </c>
      <c r="H402" s="98">
        <v>0</v>
      </c>
      <c r="I402" s="7">
        <v>0</v>
      </c>
      <c r="J402" s="7"/>
      <c r="K402" s="99">
        <f t="shared" si="48"/>
        <v>5049</v>
      </c>
      <c r="L402" s="7">
        <v>400</v>
      </c>
      <c r="M402" s="7">
        <v>0</v>
      </c>
      <c r="N402" s="7">
        <v>0</v>
      </c>
      <c r="O402" s="7">
        <v>0</v>
      </c>
      <c r="P402" s="7">
        <v>4731.8898983707877</v>
      </c>
      <c r="Q402" s="7">
        <v>5106.6968366892115</v>
      </c>
      <c r="R402" s="113">
        <f t="shared" si="44"/>
        <v>4.5194335643266047E-2</v>
      </c>
      <c r="S402" s="113">
        <f t="shared" si="45"/>
        <v>0.17341040462427745</v>
      </c>
      <c r="T402" s="113">
        <f t="shared" si="46"/>
        <v>0</v>
      </c>
      <c r="U402" s="113">
        <f t="shared" si="47"/>
        <v>7.286824675584784E-2</v>
      </c>
    </row>
    <row r="403" spans="1:21" x14ac:dyDescent="0.45">
      <c r="A403" s="95">
        <v>44963</v>
      </c>
      <c r="B403" s="96">
        <v>3319</v>
      </c>
      <c r="C403" s="7">
        <v>150</v>
      </c>
      <c r="D403" s="7">
        <f t="shared" si="42"/>
        <v>3169</v>
      </c>
      <c r="E403" s="97">
        <v>1730</v>
      </c>
      <c r="F403" s="7">
        <v>300</v>
      </c>
      <c r="G403" s="7">
        <f t="shared" si="43"/>
        <v>1430</v>
      </c>
      <c r="H403" s="98">
        <v>0</v>
      </c>
      <c r="I403" s="7">
        <v>0</v>
      </c>
      <c r="J403" s="7"/>
      <c r="K403" s="99">
        <f t="shared" si="48"/>
        <v>5049</v>
      </c>
      <c r="L403" s="7">
        <v>400</v>
      </c>
      <c r="M403" s="7">
        <v>0</v>
      </c>
      <c r="N403" s="7">
        <v>0</v>
      </c>
      <c r="O403" s="7">
        <v>0</v>
      </c>
      <c r="P403" s="7">
        <v>4731.8898983707877</v>
      </c>
      <c r="Q403" s="7">
        <v>4641.3038254392113</v>
      </c>
      <c r="R403" s="113">
        <f t="shared" si="44"/>
        <v>4.5194335643266047E-2</v>
      </c>
      <c r="S403" s="113">
        <f t="shared" si="45"/>
        <v>0.17341040462427745</v>
      </c>
      <c r="T403" s="113">
        <f t="shared" si="46"/>
        <v>0</v>
      </c>
      <c r="U403" s="113">
        <f t="shared" si="47"/>
        <v>7.286824675584784E-2</v>
      </c>
    </row>
    <row r="404" spans="1:21" x14ac:dyDescent="0.45">
      <c r="A404" s="95">
        <v>44964</v>
      </c>
      <c r="B404" s="96">
        <v>3319</v>
      </c>
      <c r="C404" s="7">
        <v>150</v>
      </c>
      <c r="D404" s="7">
        <f t="shared" si="42"/>
        <v>3169</v>
      </c>
      <c r="E404" s="97">
        <v>1730</v>
      </c>
      <c r="F404" s="7">
        <v>300</v>
      </c>
      <c r="G404" s="7">
        <f t="shared" si="43"/>
        <v>1430</v>
      </c>
      <c r="H404" s="98">
        <v>0</v>
      </c>
      <c r="I404" s="7">
        <v>0</v>
      </c>
      <c r="J404" s="7"/>
      <c r="K404" s="99">
        <f t="shared" si="48"/>
        <v>5049</v>
      </c>
      <c r="L404" s="7">
        <v>400</v>
      </c>
      <c r="M404" s="7">
        <v>0</v>
      </c>
      <c r="N404" s="7">
        <v>0</v>
      </c>
      <c r="O404" s="7">
        <v>0</v>
      </c>
      <c r="P404" s="7">
        <v>4731.8898983707877</v>
      </c>
      <c r="Q404" s="7">
        <v>5044.6104641392121</v>
      </c>
      <c r="R404" s="113">
        <f t="shared" si="44"/>
        <v>4.5194335643266047E-2</v>
      </c>
      <c r="S404" s="113">
        <f t="shared" si="45"/>
        <v>0.17341040462427745</v>
      </c>
      <c r="T404" s="113">
        <f t="shared" si="46"/>
        <v>0</v>
      </c>
      <c r="U404" s="113">
        <f t="shared" si="47"/>
        <v>7.286824675584784E-2</v>
      </c>
    </row>
    <row r="405" spans="1:21" x14ac:dyDescent="0.45">
      <c r="A405" s="95">
        <v>44965</v>
      </c>
      <c r="B405" s="96">
        <v>3499</v>
      </c>
      <c r="C405" s="7">
        <v>150</v>
      </c>
      <c r="D405" s="7">
        <f t="shared" si="42"/>
        <v>3349</v>
      </c>
      <c r="E405" s="97">
        <v>1730</v>
      </c>
      <c r="F405" s="7">
        <v>300</v>
      </c>
      <c r="G405" s="7">
        <f t="shared" si="43"/>
        <v>1430</v>
      </c>
      <c r="H405" s="98">
        <v>0</v>
      </c>
      <c r="I405" s="7">
        <v>0</v>
      </c>
      <c r="J405" s="7"/>
      <c r="K405" s="99">
        <f t="shared" si="48"/>
        <v>5229</v>
      </c>
      <c r="L405" s="7">
        <v>400</v>
      </c>
      <c r="M405" s="7">
        <v>0</v>
      </c>
      <c r="N405" s="7">
        <v>0</v>
      </c>
      <c r="O405" s="7">
        <v>0</v>
      </c>
      <c r="P405" s="7">
        <v>4731.8898983707877</v>
      </c>
      <c r="Q405" s="7">
        <v>4886.0274032692132</v>
      </c>
      <c r="R405" s="113">
        <f t="shared" si="44"/>
        <v>4.2869391254644187E-2</v>
      </c>
      <c r="S405" s="113">
        <f t="shared" si="45"/>
        <v>0.17341040462427745</v>
      </c>
      <c r="T405" s="113">
        <f t="shared" si="46"/>
        <v>0</v>
      </c>
      <c r="U405" s="113">
        <f t="shared" si="47"/>
        <v>7.2093265292973885E-2</v>
      </c>
    </row>
    <row r="406" spans="1:21" x14ac:dyDescent="0.45">
      <c r="A406" s="95">
        <v>44966</v>
      </c>
      <c r="B406" s="96">
        <v>3499</v>
      </c>
      <c r="C406" s="7">
        <v>150</v>
      </c>
      <c r="D406" s="7">
        <f t="shared" si="42"/>
        <v>3349</v>
      </c>
      <c r="E406" s="97">
        <v>1730</v>
      </c>
      <c r="F406" s="7">
        <v>300</v>
      </c>
      <c r="G406" s="7">
        <f t="shared" si="43"/>
        <v>1430</v>
      </c>
      <c r="H406" s="98">
        <v>0</v>
      </c>
      <c r="I406" s="7">
        <v>0</v>
      </c>
      <c r="J406" s="7"/>
      <c r="K406" s="99">
        <f t="shared" si="48"/>
        <v>5229</v>
      </c>
      <c r="L406" s="7">
        <v>300</v>
      </c>
      <c r="M406" s="7">
        <v>0</v>
      </c>
      <c r="N406" s="7">
        <v>0</v>
      </c>
      <c r="O406" s="7">
        <v>0</v>
      </c>
      <c r="P406" s="7">
        <v>4731.8898983707877</v>
      </c>
      <c r="Q406" s="7">
        <v>3786.5012975592122</v>
      </c>
      <c r="R406" s="113">
        <f t="shared" si="44"/>
        <v>4.2869391254644187E-2</v>
      </c>
      <c r="S406" s="113">
        <f t="shared" si="45"/>
        <v>0.17341040462427745</v>
      </c>
      <c r="T406" s="113">
        <f t="shared" si="46"/>
        <v>0</v>
      </c>
      <c r="U406" s="113">
        <f t="shared" si="47"/>
        <v>7.2093265292973885E-2</v>
      </c>
    </row>
    <row r="407" spans="1:21" x14ac:dyDescent="0.45">
      <c r="A407" s="95">
        <v>44967</v>
      </c>
      <c r="B407" s="96">
        <v>3499</v>
      </c>
      <c r="C407" s="7">
        <v>150</v>
      </c>
      <c r="D407" s="7">
        <f t="shared" si="42"/>
        <v>3349</v>
      </c>
      <c r="E407" s="97">
        <v>1730</v>
      </c>
      <c r="F407" s="7">
        <v>300</v>
      </c>
      <c r="G407" s="7">
        <f t="shared" si="43"/>
        <v>1430</v>
      </c>
      <c r="H407" s="98">
        <v>0</v>
      </c>
      <c r="I407" s="7">
        <v>0</v>
      </c>
      <c r="J407" s="7"/>
      <c r="K407" s="99">
        <f t="shared" si="48"/>
        <v>5229</v>
      </c>
      <c r="L407" s="7">
        <v>300</v>
      </c>
      <c r="M407" s="7">
        <v>0</v>
      </c>
      <c r="N407" s="7">
        <v>0</v>
      </c>
      <c r="O407" s="7">
        <v>0</v>
      </c>
      <c r="P407" s="7">
        <v>4731.8898983707877</v>
      </c>
      <c r="Q407" s="7">
        <v>4767.2869408992128</v>
      </c>
      <c r="R407" s="113">
        <f t="shared" si="44"/>
        <v>4.2869391254644187E-2</v>
      </c>
      <c r="S407" s="113">
        <f t="shared" si="45"/>
        <v>0.17341040462427745</v>
      </c>
      <c r="T407" s="113">
        <f t="shared" si="46"/>
        <v>0</v>
      </c>
      <c r="U407" s="113">
        <f t="shared" si="47"/>
        <v>7.2093265292973885E-2</v>
      </c>
    </row>
    <row r="408" spans="1:21" x14ac:dyDescent="0.45">
      <c r="A408" s="95">
        <v>44968</v>
      </c>
      <c r="B408" s="96">
        <v>3499</v>
      </c>
      <c r="C408" s="7">
        <v>150</v>
      </c>
      <c r="D408" s="7">
        <f t="shared" si="42"/>
        <v>3349</v>
      </c>
      <c r="E408" s="97">
        <v>1730</v>
      </c>
      <c r="F408" s="7">
        <v>300</v>
      </c>
      <c r="G408" s="7">
        <f t="shared" si="43"/>
        <v>1430</v>
      </c>
      <c r="H408" s="98">
        <v>0</v>
      </c>
      <c r="I408" s="7">
        <v>0</v>
      </c>
      <c r="J408" s="7"/>
      <c r="K408" s="99">
        <f t="shared" si="48"/>
        <v>5229</v>
      </c>
      <c r="L408" s="7">
        <v>300</v>
      </c>
      <c r="M408" s="7">
        <v>0</v>
      </c>
      <c r="N408" s="7">
        <v>0</v>
      </c>
      <c r="O408" s="7">
        <v>0</v>
      </c>
      <c r="P408" s="7">
        <v>4731.8898983707877</v>
      </c>
      <c r="Q408" s="7">
        <v>4767.2869408992128</v>
      </c>
      <c r="R408" s="113">
        <f t="shared" si="44"/>
        <v>4.2869391254644187E-2</v>
      </c>
      <c r="S408" s="113">
        <f t="shared" si="45"/>
        <v>0.17341040462427745</v>
      </c>
      <c r="T408" s="113">
        <f t="shared" si="46"/>
        <v>0</v>
      </c>
      <c r="U408" s="113">
        <f t="shared" si="47"/>
        <v>7.2093265292973885E-2</v>
      </c>
    </row>
    <row r="409" spans="1:21" x14ac:dyDescent="0.45">
      <c r="A409" s="95">
        <v>44969</v>
      </c>
      <c r="B409" s="96">
        <v>3499</v>
      </c>
      <c r="C409" s="7">
        <v>150</v>
      </c>
      <c r="D409" s="7">
        <f t="shared" si="42"/>
        <v>3349</v>
      </c>
      <c r="E409" s="97">
        <v>1730</v>
      </c>
      <c r="F409" s="7">
        <v>300</v>
      </c>
      <c r="G409" s="7">
        <f t="shared" si="43"/>
        <v>1430</v>
      </c>
      <c r="H409" s="98">
        <v>0</v>
      </c>
      <c r="I409" s="7">
        <v>0</v>
      </c>
      <c r="J409" s="7"/>
      <c r="K409" s="99">
        <f t="shared" si="48"/>
        <v>5229</v>
      </c>
      <c r="L409" s="7">
        <v>300</v>
      </c>
      <c r="M409" s="7">
        <v>0</v>
      </c>
      <c r="N409" s="7">
        <v>0</v>
      </c>
      <c r="O409" s="7">
        <v>0</v>
      </c>
      <c r="P409" s="7">
        <v>4731.8898983707877</v>
      </c>
      <c r="Q409" s="7">
        <v>4767.2869408992128</v>
      </c>
      <c r="R409" s="113">
        <f t="shared" si="44"/>
        <v>4.2869391254644187E-2</v>
      </c>
      <c r="S409" s="113">
        <f t="shared" si="45"/>
        <v>0.17341040462427745</v>
      </c>
      <c r="T409" s="113">
        <f t="shared" si="46"/>
        <v>0</v>
      </c>
      <c r="U409" s="113">
        <f t="shared" si="47"/>
        <v>7.2093265292973885E-2</v>
      </c>
    </row>
    <row r="410" spans="1:21" x14ac:dyDescent="0.45">
      <c r="A410" s="95">
        <v>44970</v>
      </c>
      <c r="B410" s="96">
        <v>3499</v>
      </c>
      <c r="C410" s="7">
        <v>150</v>
      </c>
      <c r="D410" s="7">
        <f t="shared" si="42"/>
        <v>3349</v>
      </c>
      <c r="E410" s="97">
        <v>1730</v>
      </c>
      <c r="F410" s="7">
        <v>300</v>
      </c>
      <c r="G410" s="7">
        <f t="shared" si="43"/>
        <v>1430</v>
      </c>
      <c r="H410" s="98">
        <v>0</v>
      </c>
      <c r="I410" s="7">
        <v>0</v>
      </c>
      <c r="J410" s="7"/>
      <c r="K410" s="99">
        <f t="shared" si="48"/>
        <v>5229</v>
      </c>
      <c r="L410" s="7">
        <v>300</v>
      </c>
      <c r="M410" s="7">
        <v>0</v>
      </c>
      <c r="N410" s="7">
        <v>0</v>
      </c>
      <c r="O410" s="7">
        <v>0</v>
      </c>
      <c r="P410" s="7">
        <v>4731.8898983707877</v>
      </c>
      <c r="Q410" s="7">
        <v>4767.2869408992128</v>
      </c>
      <c r="R410" s="113">
        <f t="shared" si="44"/>
        <v>4.2869391254644187E-2</v>
      </c>
      <c r="S410" s="113">
        <f t="shared" si="45"/>
        <v>0.17341040462427745</v>
      </c>
      <c r="T410" s="113">
        <f t="shared" si="46"/>
        <v>0</v>
      </c>
      <c r="U410" s="113">
        <f t="shared" si="47"/>
        <v>7.2093265292973885E-2</v>
      </c>
    </row>
    <row r="411" spans="1:21" x14ac:dyDescent="0.45">
      <c r="A411" s="95">
        <v>44971</v>
      </c>
      <c r="B411" s="96">
        <v>3499</v>
      </c>
      <c r="C411" s="7">
        <v>150</v>
      </c>
      <c r="D411" s="7">
        <f t="shared" si="42"/>
        <v>3349</v>
      </c>
      <c r="E411" s="97">
        <v>1730</v>
      </c>
      <c r="F411" s="7">
        <v>300</v>
      </c>
      <c r="G411" s="7">
        <f t="shared" si="43"/>
        <v>1430</v>
      </c>
      <c r="H411" s="98">
        <v>0</v>
      </c>
      <c r="I411" s="7">
        <v>0</v>
      </c>
      <c r="J411" s="7"/>
      <c r="K411" s="99">
        <f t="shared" si="48"/>
        <v>5229</v>
      </c>
      <c r="L411" s="7">
        <v>300</v>
      </c>
      <c r="M411" s="7">
        <v>0</v>
      </c>
      <c r="N411" s="7">
        <v>0</v>
      </c>
      <c r="O411" s="7">
        <v>0</v>
      </c>
      <c r="P411" s="7">
        <v>4731.8898983707877</v>
      </c>
      <c r="Q411" s="7">
        <v>4619.1045063892116</v>
      </c>
      <c r="R411" s="113">
        <f t="shared" si="44"/>
        <v>4.2869391254644187E-2</v>
      </c>
      <c r="S411" s="113">
        <f t="shared" si="45"/>
        <v>0.17341040462427745</v>
      </c>
      <c r="T411" s="113">
        <f t="shared" si="46"/>
        <v>0</v>
      </c>
      <c r="U411" s="113">
        <f t="shared" si="47"/>
        <v>7.2093265292973885E-2</v>
      </c>
    </row>
    <row r="412" spans="1:21" x14ac:dyDescent="0.45">
      <c r="A412" s="95">
        <v>44972</v>
      </c>
      <c r="B412" s="96">
        <v>3666</v>
      </c>
      <c r="C412" s="7">
        <v>150</v>
      </c>
      <c r="D412" s="7">
        <f t="shared" si="42"/>
        <v>3516</v>
      </c>
      <c r="E412" s="97">
        <v>1730</v>
      </c>
      <c r="F412" s="7">
        <v>300</v>
      </c>
      <c r="G412" s="7">
        <f t="shared" si="43"/>
        <v>1430</v>
      </c>
      <c r="H412" s="98">
        <v>0</v>
      </c>
      <c r="I412" s="7">
        <v>0</v>
      </c>
      <c r="J412" s="7"/>
      <c r="K412" s="99">
        <f t="shared" si="48"/>
        <v>5396</v>
      </c>
      <c r="L412" s="7">
        <v>300</v>
      </c>
      <c r="M412" s="7">
        <v>0</v>
      </c>
      <c r="N412" s="7">
        <v>0</v>
      </c>
      <c r="O412" s="7">
        <v>0</v>
      </c>
      <c r="P412" s="7">
        <v>4731.8898983707877</v>
      </c>
      <c r="Q412" s="7">
        <v>4682.2784332992132</v>
      </c>
      <c r="R412" s="113">
        <f t="shared" si="44"/>
        <v>4.0916530278232409E-2</v>
      </c>
      <c r="S412" s="113">
        <f t="shared" si="45"/>
        <v>0.17341040462427745</v>
      </c>
      <c r="T412" s="113">
        <f t="shared" si="46"/>
        <v>0</v>
      </c>
      <c r="U412" s="113">
        <f t="shared" si="47"/>
        <v>7.1442311634169961E-2</v>
      </c>
    </row>
    <row r="413" spans="1:21" x14ac:dyDescent="0.45">
      <c r="A413" s="95">
        <v>44973</v>
      </c>
      <c r="B413" s="96">
        <v>3666</v>
      </c>
      <c r="C413" s="7">
        <v>450</v>
      </c>
      <c r="D413" s="7">
        <f t="shared" si="42"/>
        <v>3216</v>
      </c>
      <c r="E413" s="97">
        <v>1730</v>
      </c>
      <c r="F413" s="7">
        <v>300</v>
      </c>
      <c r="G413" s="7">
        <f t="shared" si="43"/>
        <v>1430</v>
      </c>
      <c r="H413" s="98">
        <v>0</v>
      </c>
      <c r="I413" s="7">
        <v>0</v>
      </c>
      <c r="J413" s="7"/>
      <c r="K413" s="99">
        <f t="shared" si="48"/>
        <v>5396</v>
      </c>
      <c r="L413" s="7">
        <v>300</v>
      </c>
      <c r="M413" s="7">
        <v>0</v>
      </c>
      <c r="N413" s="7">
        <v>0</v>
      </c>
      <c r="O413" s="7">
        <v>0</v>
      </c>
      <c r="P413" s="7">
        <v>4731.8898983707877</v>
      </c>
      <c r="Q413" s="7">
        <v>4698.0694182492116</v>
      </c>
      <c r="R413" s="113">
        <f t="shared" si="44"/>
        <v>0.12274959083469722</v>
      </c>
      <c r="S413" s="113">
        <f t="shared" si="45"/>
        <v>0.17341040462427745</v>
      </c>
      <c r="T413" s="113">
        <f t="shared" si="46"/>
        <v>0</v>
      </c>
      <c r="U413" s="113">
        <f t="shared" si="47"/>
        <v>9.8719998486324886E-2</v>
      </c>
    </row>
    <row r="414" spans="1:21" x14ac:dyDescent="0.45">
      <c r="A414" s="95">
        <v>44974</v>
      </c>
      <c r="B414" s="96">
        <v>3666</v>
      </c>
      <c r="C414" s="7">
        <v>450</v>
      </c>
      <c r="D414" s="7">
        <f t="shared" si="42"/>
        <v>3216</v>
      </c>
      <c r="E414" s="97">
        <v>1730</v>
      </c>
      <c r="F414" s="7">
        <v>300</v>
      </c>
      <c r="G414" s="7">
        <f t="shared" si="43"/>
        <v>1430</v>
      </c>
      <c r="H414" s="98">
        <v>0</v>
      </c>
      <c r="I414" s="7">
        <v>0</v>
      </c>
      <c r="J414" s="7"/>
      <c r="K414" s="99">
        <f t="shared" si="48"/>
        <v>5396</v>
      </c>
      <c r="L414" s="7">
        <v>300</v>
      </c>
      <c r="M414" s="7">
        <v>0</v>
      </c>
      <c r="N414" s="7">
        <v>0</v>
      </c>
      <c r="O414" s="7">
        <v>0</v>
      </c>
      <c r="P414" s="7">
        <v>4731.8898983707877</v>
      </c>
      <c r="Q414" s="7">
        <v>4468.0789863392129</v>
      </c>
      <c r="R414" s="113">
        <f t="shared" si="44"/>
        <v>0.12274959083469722</v>
      </c>
      <c r="S414" s="113">
        <f t="shared" si="45"/>
        <v>0.17341040462427745</v>
      </c>
      <c r="T414" s="113">
        <f t="shared" si="46"/>
        <v>0</v>
      </c>
      <c r="U414" s="113">
        <f t="shared" si="47"/>
        <v>9.8719998486324886E-2</v>
      </c>
    </row>
    <row r="415" spans="1:21" x14ac:dyDescent="0.45">
      <c r="A415" s="95">
        <v>44975</v>
      </c>
      <c r="B415" s="96">
        <v>3666</v>
      </c>
      <c r="C415" s="7">
        <v>450</v>
      </c>
      <c r="D415" s="7">
        <f t="shared" si="42"/>
        <v>3216</v>
      </c>
      <c r="E415" s="97">
        <v>1730</v>
      </c>
      <c r="F415" s="7">
        <v>300</v>
      </c>
      <c r="G415" s="7">
        <f t="shared" si="43"/>
        <v>1430</v>
      </c>
      <c r="H415" s="98">
        <v>0</v>
      </c>
      <c r="I415" s="7">
        <v>0</v>
      </c>
      <c r="J415" s="7"/>
      <c r="K415" s="99">
        <f t="shared" si="48"/>
        <v>5396</v>
      </c>
      <c r="L415" s="7">
        <v>300</v>
      </c>
      <c r="M415" s="7">
        <v>0</v>
      </c>
      <c r="N415" s="7">
        <v>0</v>
      </c>
      <c r="O415" s="7">
        <v>0</v>
      </c>
      <c r="P415" s="7">
        <v>4731.8898983707877</v>
      </c>
      <c r="Q415" s="7">
        <v>4468.0789863392129</v>
      </c>
      <c r="R415" s="113">
        <f t="shared" si="44"/>
        <v>0.12274959083469722</v>
      </c>
      <c r="S415" s="113">
        <f t="shared" si="45"/>
        <v>0.17341040462427745</v>
      </c>
      <c r="T415" s="113">
        <f t="shared" si="46"/>
        <v>0</v>
      </c>
      <c r="U415" s="113">
        <f t="shared" si="47"/>
        <v>9.8719998486324886E-2</v>
      </c>
    </row>
    <row r="416" spans="1:21" x14ac:dyDescent="0.45">
      <c r="A416" s="95">
        <v>44976</v>
      </c>
      <c r="B416" s="96">
        <v>3666</v>
      </c>
      <c r="C416" s="7">
        <v>450</v>
      </c>
      <c r="D416" s="7">
        <f t="shared" si="42"/>
        <v>3216</v>
      </c>
      <c r="E416" s="97">
        <v>1730</v>
      </c>
      <c r="F416" s="7">
        <v>300</v>
      </c>
      <c r="G416" s="7">
        <f t="shared" si="43"/>
        <v>1430</v>
      </c>
      <c r="H416" s="98">
        <v>0</v>
      </c>
      <c r="I416" s="7">
        <v>0</v>
      </c>
      <c r="J416" s="7"/>
      <c r="K416" s="99">
        <f t="shared" si="48"/>
        <v>5396</v>
      </c>
      <c r="L416" s="7">
        <v>300</v>
      </c>
      <c r="M416" s="7">
        <v>0</v>
      </c>
      <c r="N416" s="7">
        <v>0</v>
      </c>
      <c r="O416" s="7">
        <v>0</v>
      </c>
      <c r="P416" s="7">
        <v>4731.8898983707877</v>
      </c>
      <c r="Q416" s="7">
        <v>4468.0789863392129</v>
      </c>
      <c r="R416" s="113">
        <f t="shared" si="44"/>
        <v>0.12274959083469722</v>
      </c>
      <c r="S416" s="113">
        <f t="shared" si="45"/>
        <v>0.17341040462427745</v>
      </c>
      <c r="T416" s="113">
        <f t="shared" si="46"/>
        <v>0</v>
      </c>
      <c r="U416" s="113">
        <f t="shared" si="47"/>
        <v>9.8719998486324886E-2</v>
      </c>
    </row>
    <row r="417" spans="1:21" x14ac:dyDescent="0.45">
      <c r="A417" s="95">
        <v>44977</v>
      </c>
      <c r="B417" s="96">
        <v>3666</v>
      </c>
      <c r="C417" s="7">
        <v>450</v>
      </c>
      <c r="D417" s="7">
        <f t="shared" si="42"/>
        <v>3216</v>
      </c>
      <c r="E417" s="97">
        <v>1730</v>
      </c>
      <c r="F417" s="7">
        <v>300</v>
      </c>
      <c r="G417" s="7">
        <f t="shared" si="43"/>
        <v>1430</v>
      </c>
      <c r="H417" s="98">
        <v>0</v>
      </c>
      <c r="I417" s="7">
        <v>0</v>
      </c>
      <c r="J417" s="7"/>
      <c r="K417" s="99">
        <f t="shared" si="48"/>
        <v>5396</v>
      </c>
      <c r="L417" s="7">
        <v>300</v>
      </c>
      <c r="M417" s="7">
        <v>0</v>
      </c>
      <c r="N417" s="7">
        <v>0</v>
      </c>
      <c r="O417" s="7">
        <v>0</v>
      </c>
      <c r="P417" s="7">
        <v>4755.3615697063315</v>
      </c>
      <c r="Q417" s="7">
        <v>4307.1858698836677</v>
      </c>
      <c r="R417" s="113">
        <f t="shared" si="44"/>
        <v>0.12274959083469722</v>
      </c>
      <c r="S417" s="113">
        <f t="shared" si="45"/>
        <v>0.17341040462427745</v>
      </c>
      <c r="T417" s="113">
        <f t="shared" si="46"/>
        <v>0</v>
      </c>
      <c r="U417" s="113">
        <f t="shared" si="47"/>
        <v>9.8719998486324886E-2</v>
      </c>
    </row>
    <row r="418" spans="1:21" x14ac:dyDescent="0.45">
      <c r="A418" s="95">
        <v>44978</v>
      </c>
      <c r="B418" s="96">
        <v>3666</v>
      </c>
      <c r="C418" s="7">
        <v>450</v>
      </c>
      <c r="D418" s="7">
        <f t="shared" si="42"/>
        <v>3216</v>
      </c>
      <c r="E418" s="97">
        <v>1730</v>
      </c>
      <c r="F418" s="7">
        <v>300</v>
      </c>
      <c r="G418" s="7">
        <f t="shared" si="43"/>
        <v>1430</v>
      </c>
      <c r="H418" s="98">
        <v>0</v>
      </c>
      <c r="I418" s="7">
        <v>0</v>
      </c>
      <c r="J418" s="7"/>
      <c r="K418" s="99">
        <f t="shared" si="48"/>
        <v>5396</v>
      </c>
      <c r="L418" s="7">
        <v>300</v>
      </c>
      <c r="M418" s="7">
        <v>0</v>
      </c>
      <c r="N418" s="7">
        <v>0</v>
      </c>
      <c r="O418" s="7">
        <v>0</v>
      </c>
      <c r="P418" s="7">
        <v>4755.3615697063315</v>
      </c>
      <c r="Q418" s="7">
        <v>4459.9467778836688</v>
      </c>
      <c r="R418" s="113">
        <f t="shared" si="44"/>
        <v>0.12274959083469722</v>
      </c>
      <c r="S418" s="113">
        <f t="shared" si="45"/>
        <v>0.17341040462427745</v>
      </c>
      <c r="T418" s="113">
        <f t="shared" si="46"/>
        <v>0</v>
      </c>
      <c r="U418" s="113">
        <f t="shared" si="47"/>
        <v>9.8719998486324886E-2</v>
      </c>
    </row>
    <row r="419" spans="1:21" x14ac:dyDescent="0.45">
      <c r="A419" s="95">
        <v>44979</v>
      </c>
      <c r="B419" s="96">
        <v>3666</v>
      </c>
      <c r="C419" s="7">
        <v>450</v>
      </c>
      <c r="D419" s="7">
        <f t="shared" si="42"/>
        <v>3216</v>
      </c>
      <c r="E419" s="97">
        <v>1730</v>
      </c>
      <c r="F419" s="7">
        <v>300</v>
      </c>
      <c r="G419" s="7">
        <f t="shared" si="43"/>
        <v>1430</v>
      </c>
      <c r="H419" s="98">
        <v>0</v>
      </c>
      <c r="I419" s="7">
        <v>0</v>
      </c>
      <c r="J419" s="7"/>
      <c r="K419" s="99">
        <f t="shared" si="48"/>
        <v>5396</v>
      </c>
      <c r="L419" s="7">
        <v>300</v>
      </c>
      <c r="M419" s="7">
        <v>0</v>
      </c>
      <c r="N419" s="7">
        <v>0</v>
      </c>
      <c r="O419" s="7">
        <v>0</v>
      </c>
      <c r="P419" s="7">
        <v>4755.3615697063315</v>
      </c>
      <c r="Q419" s="7">
        <v>4474.3021963436677</v>
      </c>
      <c r="R419" s="113">
        <f t="shared" si="44"/>
        <v>0.12274959083469722</v>
      </c>
      <c r="S419" s="113">
        <f t="shared" si="45"/>
        <v>0.17341040462427745</v>
      </c>
      <c r="T419" s="113">
        <f t="shared" si="46"/>
        <v>0</v>
      </c>
      <c r="U419" s="113">
        <f t="shared" si="47"/>
        <v>9.8719998486324886E-2</v>
      </c>
    </row>
    <row r="420" spans="1:21" x14ac:dyDescent="0.45">
      <c r="A420" s="95">
        <v>44980</v>
      </c>
      <c r="B420" s="96">
        <v>3666</v>
      </c>
      <c r="C420" s="7">
        <v>450</v>
      </c>
      <c r="D420" s="7">
        <f t="shared" si="42"/>
        <v>3216</v>
      </c>
      <c r="E420" s="97">
        <v>2330</v>
      </c>
      <c r="F420" s="7">
        <v>600</v>
      </c>
      <c r="G420" s="7">
        <f t="shared" si="43"/>
        <v>1730</v>
      </c>
      <c r="H420" s="98">
        <v>0</v>
      </c>
      <c r="I420" s="7">
        <v>0</v>
      </c>
      <c r="J420" s="7"/>
      <c r="K420" s="99">
        <f t="shared" si="48"/>
        <v>5996</v>
      </c>
      <c r="L420" s="7">
        <v>200</v>
      </c>
      <c r="M420" s="7">
        <v>0</v>
      </c>
      <c r="N420" s="7">
        <v>0</v>
      </c>
      <c r="O420" s="7">
        <v>0</v>
      </c>
      <c r="P420" s="7">
        <v>4755.3615697063315</v>
      </c>
      <c r="Q420" s="7">
        <v>5368.5741711836681</v>
      </c>
      <c r="R420" s="113">
        <f t="shared" si="44"/>
        <v>0.12274959083469722</v>
      </c>
      <c r="S420" s="113">
        <f t="shared" si="45"/>
        <v>0.25751072961373389</v>
      </c>
      <c r="T420" s="113">
        <f t="shared" si="46"/>
        <v>0</v>
      </c>
      <c r="U420" s="113">
        <f t="shared" si="47"/>
        <v>0.12675344014947704</v>
      </c>
    </row>
    <row r="421" spans="1:21" x14ac:dyDescent="0.45">
      <c r="A421" s="95">
        <v>44981</v>
      </c>
      <c r="B421" s="96">
        <v>3666</v>
      </c>
      <c r="C421" s="7">
        <v>450</v>
      </c>
      <c r="D421" s="7">
        <f t="shared" si="42"/>
        <v>3216</v>
      </c>
      <c r="E421" s="97">
        <v>2330</v>
      </c>
      <c r="F421" s="7">
        <v>600</v>
      </c>
      <c r="G421" s="7">
        <f t="shared" si="43"/>
        <v>1730</v>
      </c>
      <c r="H421" s="98">
        <v>0</v>
      </c>
      <c r="I421" s="7">
        <v>0</v>
      </c>
      <c r="J421" s="7"/>
      <c r="K421" s="99">
        <f t="shared" si="48"/>
        <v>5996</v>
      </c>
      <c r="L421" s="7">
        <v>200</v>
      </c>
      <c r="M421" s="7">
        <v>0</v>
      </c>
      <c r="N421" s="7">
        <v>0</v>
      </c>
      <c r="O421" s="7">
        <v>0</v>
      </c>
      <c r="P421" s="7">
        <v>4755.3615697063315</v>
      </c>
      <c r="Q421" s="7">
        <v>5799.0653056636693</v>
      </c>
      <c r="R421" s="113">
        <f t="shared" si="44"/>
        <v>0.12274959083469722</v>
      </c>
      <c r="S421" s="113">
        <f t="shared" si="45"/>
        <v>0.25751072961373389</v>
      </c>
      <c r="T421" s="113">
        <f t="shared" si="46"/>
        <v>0</v>
      </c>
      <c r="U421" s="113">
        <f t="shared" si="47"/>
        <v>0.12675344014947704</v>
      </c>
    </row>
    <row r="422" spans="1:21" x14ac:dyDescent="0.45">
      <c r="A422" s="95">
        <v>44982</v>
      </c>
      <c r="B422" s="96">
        <v>3666</v>
      </c>
      <c r="C422" s="7">
        <v>450</v>
      </c>
      <c r="D422" s="7">
        <f t="shared" si="42"/>
        <v>3216</v>
      </c>
      <c r="E422" s="97">
        <v>2330</v>
      </c>
      <c r="F422" s="7">
        <v>600</v>
      </c>
      <c r="G422" s="7">
        <f t="shared" si="43"/>
        <v>1730</v>
      </c>
      <c r="H422" s="98">
        <v>0</v>
      </c>
      <c r="I422" s="7">
        <v>0</v>
      </c>
      <c r="J422" s="7"/>
      <c r="K422" s="99">
        <f t="shared" si="48"/>
        <v>5996</v>
      </c>
      <c r="L422" s="7">
        <v>200</v>
      </c>
      <c r="M422" s="7">
        <v>0</v>
      </c>
      <c r="N422" s="7">
        <v>0</v>
      </c>
      <c r="O422" s="7">
        <v>0</v>
      </c>
      <c r="P422" s="7">
        <v>4755.3615697063315</v>
      </c>
      <c r="Q422" s="7">
        <v>5799.0653056636693</v>
      </c>
      <c r="R422" s="113">
        <f t="shared" si="44"/>
        <v>0.12274959083469722</v>
      </c>
      <c r="S422" s="113">
        <f t="shared" si="45"/>
        <v>0.25751072961373389</v>
      </c>
      <c r="T422" s="113">
        <f t="shared" si="46"/>
        <v>0</v>
      </c>
      <c r="U422" s="113">
        <f t="shared" si="47"/>
        <v>0.12675344014947704</v>
      </c>
    </row>
    <row r="423" spans="1:21" x14ac:dyDescent="0.45">
      <c r="A423" s="95">
        <v>44983</v>
      </c>
      <c r="B423" s="96">
        <v>3666</v>
      </c>
      <c r="C423" s="7">
        <v>450</v>
      </c>
      <c r="D423" s="7">
        <f t="shared" si="42"/>
        <v>3216</v>
      </c>
      <c r="E423" s="97">
        <v>2330</v>
      </c>
      <c r="F423" s="7">
        <v>600</v>
      </c>
      <c r="G423" s="7">
        <f t="shared" si="43"/>
        <v>1730</v>
      </c>
      <c r="H423" s="98">
        <v>0</v>
      </c>
      <c r="I423" s="7">
        <v>0</v>
      </c>
      <c r="J423" s="7"/>
      <c r="K423" s="99">
        <f t="shared" si="48"/>
        <v>5996</v>
      </c>
      <c r="L423" s="7">
        <v>200</v>
      </c>
      <c r="M423" s="7">
        <v>0</v>
      </c>
      <c r="N423" s="7">
        <v>0</v>
      </c>
      <c r="O423" s="7">
        <v>0</v>
      </c>
      <c r="P423" s="7">
        <v>4755.3615697063315</v>
      </c>
      <c r="Q423" s="7">
        <v>5799.0653056636693</v>
      </c>
      <c r="R423" s="113">
        <f t="shared" si="44"/>
        <v>0.12274959083469722</v>
      </c>
      <c r="S423" s="113">
        <f t="shared" si="45"/>
        <v>0.25751072961373389</v>
      </c>
      <c r="T423" s="113">
        <f t="shared" si="46"/>
        <v>0</v>
      </c>
      <c r="U423" s="113">
        <f t="shared" si="47"/>
        <v>0.12675344014947704</v>
      </c>
    </row>
    <row r="424" spans="1:21" x14ac:dyDescent="0.45">
      <c r="A424" s="95">
        <v>44984</v>
      </c>
      <c r="B424" s="96">
        <v>3666</v>
      </c>
      <c r="C424" s="7">
        <v>450</v>
      </c>
      <c r="D424" s="7">
        <f t="shared" si="42"/>
        <v>3216</v>
      </c>
      <c r="E424" s="97">
        <v>2330</v>
      </c>
      <c r="F424" s="7">
        <v>600</v>
      </c>
      <c r="G424" s="7">
        <f t="shared" si="43"/>
        <v>1730</v>
      </c>
      <c r="H424" s="98">
        <v>0</v>
      </c>
      <c r="I424" s="7">
        <v>0</v>
      </c>
      <c r="J424" s="7"/>
      <c r="K424" s="99">
        <f t="shared" si="48"/>
        <v>5996</v>
      </c>
      <c r="L424" s="7">
        <v>200</v>
      </c>
      <c r="M424" s="7">
        <v>0</v>
      </c>
      <c r="N424" s="7">
        <v>0</v>
      </c>
      <c r="O424" s="7">
        <v>0</v>
      </c>
      <c r="P424" s="7">
        <v>4755.3615697063315</v>
      </c>
      <c r="Q424" s="7">
        <v>4972.8690734936681</v>
      </c>
      <c r="R424" s="113">
        <f t="shared" si="44"/>
        <v>0.12274959083469722</v>
      </c>
      <c r="S424" s="113">
        <f t="shared" si="45"/>
        <v>0.25751072961373389</v>
      </c>
      <c r="T424" s="113">
        <f t="shared" si="46"/>
        <v>0</v>
      </c>
      <c r="U424" s="113">
        <f t="shared" si="47"/>
        <v>0.12675344014947704</v>
      </c>
    </row>
    <row r="425" spans="1:21" x14ac:dyDescent="0.45">
      <c r="A425" s="95">
        <v>44985</v>
      </c>
      <c r="B425" s="96">
        <v>3666</v>
      </c>
      <c r="C425" s="7">
        <v>450</v>
      </c>
      <c r="D425" s="7">
        <f t="shared" si="42"/>
        <v>3216</v>
      </c>
      <c r="E425" s="97">
        <v>2330</v>
      </c>
      <c r="F425" s="7">
        <v>600</v>
      </c>
      <c r="G425" s="7">
        <f t="shared" si="43"/>
        <v>1730</v>
      </c>
      <c r="H425" s="98">
        <v>0</v>
      </c>
      <c r="I425" s="7">
        <v>0</v>
      </c>
      <c r="J425" s="7"/>
      <c r="K425" s="99">
        <f t="shared" si="48"/>
        <v>5996</v>
      </c>
      <c r="L425" s="7">
        <v>200</v>
      </c>
      <c r="M425" s="7">
        <v>0</v>
      </c>
      <c r="N425" s="7">
        <v>0</v>
      </c>
      <c r="O425" s="7">
        <v>0</v>
      </c>
      <c r="P425" s="7">
        <v>4755.3615697063315</v>
      </c>
      <c r="Q425" s="7">
        <v>4945.2467060336685</v>
      </c>
      <c r="R425" s="113">
        <f t="shared" si="44"/>
        <v>0.12274959083469722</v>
      </c>
      <c r="S425" s="113">
        <f t="shared" si="45"/>
        <v>0.25751072961373389</v>
      </c>
      <c r="T425" s="113">
        <f t="shared" si="46"/>
        <v>0</v>
      </c>
      <c r="U425" s="113">
        <f t="shared" si="47"/>
        <v>0.12675344014947704</v>
      </c>
    </row>
    <row r="426" spans="1:21" x14ac:dyDescent="0.45">
      <c r="A426" s="95">
        <v>44986</v>
      </c>
      <c r="B426" s="96">
        <v>3886</v>
      </c>
      <c r="C426" s="7">
        <v>450</v>
      </c>
      <c r="D426" s="7">
        <f t="shared" si="42"/>
        <v>3436</v>
      </c>
      <c r="E426" s="97">
        <v>2330</v>
      </c>
      <c r="F426" s="7">
        <v>600</v>
      </c>
      <c r="G426" s="7">
        <f t="shared" si="43"/>
        <v>1730</v>
      </c>
      <c r="H426" s="98">
        <v>0</v>
      </c>
      <c r="I426" s="7">
        <v>0</v>
      </c>
      <c r="J426" s="7"/>
      <c r="K426" s="99">
        <f t="shared" si="48"/>
        <v>6216</v>
      </c>
      <c r="L426" s="7">
        <v>200</v>
      </c>
      <c r="M426" s="7">
        <v>0</v>
      </c>
      <c r="N426" s="7">
        <v>0</v>
      </c>
      <c r="O426" s="7">
        <v>0</v>
      </c>
      <c r="P426" s="7">
        <v>4755.3615697063315</v>
      </c>
      <c r="Q426" s="7">
        <v>5322.4116499736692</v>
      </c>
      <c r="R426" s="113">
        <f t="shared" si="44"/>
        <v>0.11580030880082347</v>
      </c>
      <c r="S426" s="113">
        <f t="shared" si="45"/>
        <v>0.25751072961373389</v>
      </c>
      <c r="T426" s="113">
        <f t="shared" si="46"/>
        <v>0</v>
      </c>
      <c r="U426" s="113">
        <f t="shared" si="47"/>
        <v>0.12443701280485246</v>
      </c>
    </row>
    <row r="427" spans="1:21" x14ac:dyDescent="0.45">
      <c r="A427" s="95">
        <v>44987</v>
      </c>
      <c r="B427" s="96">
        <v>3886</v>
      </c>
      <c r="C427" s="7">
        <v>450</v>
      </c>
      <c r="D427" s="7">
        <f t="shared" si="42"/>
        <v>3436</v>
      </c>
      <c r="E427" s="97">
        <v>2330</v>
      </c>
      <c r="F427" s="7">
        <v>600</v>
      </c>
      <c r="G427" s="7">
        <f t="shared" si="43"/>
        <v>1730</v>
      </c>
      <c r="H427" s="98">
        <v>0</v>
      </c>
      <c r="I427" s="7">
        <v>0</v>
      </c>
      <c r="J427" s="7"/>
      <c r="K427" s="99">
        <f t="shared" si="48"/>
        <v>6216</v>
      </c>
      <c r="L427" s="7">
        <v>100</v>
      </c>
      <c r="M427" s="7">
        <v>0</v>
      </c>
      <c r="N427" s="7">
        <v>0</v>
      </c>
      <c r="O427" s="7">
        <v>0</v>
      </c>
      <c r="P427" s="7">
        <v>4755.3615697063315</v>
      </c>
      <c r="Q427" s="7">
        <v>5516.0378431836689</v>
      </c>
      <c r="R427" s="113">
        <f t="shared" si="44"/>
        <v>0.11580030880082347</v>
      </c>
      <c r="S427" s="113">
        <f t="shared" si="45"/>
        <v>0.25751072961373389</v>
      </c>
      <c r="T427" s="113">
        <f t="shared" si="46"/>
        <v>0</v>
      </c>
      <c r="U427" s="113">
        <f t="shared" si="47"/>
        <v>0.12443701280485246</v>
      </c>
    </row>
    <row r="428" spans="1:21" x14ac:dyDescent="0.45">
      <c r="A428" s="95">
        <v>44988</v>
      </c>
      <c r="B428" s="96">
        <v>3886</v>
      </c>
      <c r="C428" s="7">
        <v>450</v>
      </c>
      <c r="D428" s="7">
        <f t="shared" si="42"/>
        <v>3436</v>
      </c>
      <c r="E428" s="97">
        <v>2330</v>
      </c>
      <c r="F428" s="7">
        <v>600</v>
      </c>
      <c r="G428" s="7">
        <f t="shared" si="43"/>
        <v>1730</v>
      </c>
      <c r="H428" s="98">
        <v>0</v>
      </c>
      <c r="I428" s="7">
        <v>0</v>
      </c>
      <c r="J428" s="7"/>
      <c r="K428" s="99">
        <f t="shared" si="48"/>
        <v>6216</v>
      </c>
      <c r="L428" s="7">
        <v>100</v>
      </c>
      <c r="M428" s="7">
        <v>0</v>
      </c>
      <c r="N428" s="7">
        <v>0</v>
      </c>
      <c r="O428" s="7">
        <v>0</v>
      </c>
      <c r="P428" s="7">
        <v>4755.3615697063315</v>
      </c>
      <c r="Q428" s="7">
        <v>5698.0387673136693</v>
      </c>
      <c r="R428" s="113">
        <f t="shared" si="44"/>
        <v>0.11580030880082347</v>
      </c>
      <c r="S428" s="113">
        <f t="shared" si="45"/>
        <v>0.25751072961373389</v>
      </c>
      <c r="T428" s="113">
        <f t="shared" si="46"/>
        <v>0</v>
      </c>
      <c r="U428" s="113">
        <f t="shared" si="47"/>
        <v>0.12443701280485246</v>
      </c>
    </row>
    <row r="429" spans="1:21" x14ac:dyDescent="0.45">
      <c r="A429" s="95">
        <v>44989</v>
      </c>
      <c r="B429" s="96">
        <v>3886</v>
      </c>
      <c r="C429" s="7">
        <v>450</v>
      </c>
      <c r="D429" s="7">
        <f t="shared" si="42"/>
        <v>3436</v>
      </c>
      <c r="E429" s="97">
        <v>2330</v>
      </c>
      <c r="F429" s="7">
        <v>600</v>
      </c>
      <c r="G429" s="7">
        <f t="shared" si="43"/>
        <v>1730</v>
      </c>
      <c r="H429" s="98">
        <v>0</v>
      </c>
      <c r="I429" s="7">
        <v>0</v>
      </c>
      <c r="J429" s="7"/>
      <c r="K429" s="99">
        <f t="shared" si="48"/>
        <v>6216</v>
      </c>
      <c r="L429" s="7">
        <v>100</v>
      </c>
      <c r="M429" s="7">
        <v>0</v>
      </c>
      <c r="N429" s="7">
        <v>0</v>
      </c>
      <c r="O429" s="7">
        <v>0</v>
      </c>
      <c r="P429" s="7">
        <v>4755.3615697063315</v>
      </c>
      <c r="Q429" s="7">
        <v>5698.0387673136693</v>
      </c>
      <c r="R429" s="113">
        <f t="shared" si="44"/>
        <v>0.11580030880082347</v>
      </c>
      <c r="S429" s="113">
        <f t="shared" si="45"/>
        <v>0.25751072961373389</v>
      </c>
      <c r="T429" s="113">
        <f t="shared" si="46"/>
        <v>0</v>
      </c>
      <c r="U429" s="113">
        <f t="shared" si="47"/>
        <v>0.12443701280485246</v>
      </c>
    </row>
    <row r="430" spans="1:21" x14ac:dyDescent="0.45">
      <c r="A430" s="95">
        <v>44990</v>
      </c>
      <c r="B430" s="96">
        <v>3886</v>
      </c>
      <c r="C430" s="7">
        <v>450</v>
      </c>
      <c r="D430" s="7">
        <f t="shared" si="42"/>
        <v>3436</v>
      </c>
      <c r="E430" s="97">
        <v>2330</v>
      </c>
      <c r="F430" s="7">
        <v>600</v>
      </c>
      <c r="G430" s="7">
        <f t="shared" si="43"/>
        <v>1730</v>
      </c>
      <c r="H430" s="98">
        <v>0</v>
      </c>
      <c r="I430" s="7">
        <v>0</v>
      </c>
      <c r="J430" s="7"/>
      <c r="K430" s="99">
        <f t="shared" si="48"/>
        <v>6216</v>
      </c>
      <c r="L430" s="7">
        <v>100</v>
      </c>
      <c r="M430" s="7">
        <v>0</v>
      </c>
      <c r="N430" s="7">
        <v>0</v>
      </c>
      <c r="O430" s="7">
        <v>0</v>
      </c>
      <c r="P430" s="7">
        <v>4755.3615697063315</v>
      </c>
      <c r="Q430" s="7">
        <v>5698.0387673136693</v>
      </c>
      <c r="R430" s="113">
        <f t="shared" si="44"/>
        <v>0.11580030880082347</v>
      </c>
      <c r="S430" s="113">
        <f t="shared" si="45"/>
        <v>0.25751072961373389</v>
      </c>
      <c r="T430" s="113">
        <f t="shared" si="46"/>
        <v>0</v>
      </c>
      <c r="U430" s="113">
        <f t="shared" si="47"/>
        <v>0.12443701280485246</v>
      </c>
    </row>
    <row r="431" spans="1:21" x14ac:dyDescent="0.45">
      <c r="A431" s="95">
        <v>44991</v>
      </c>
      <c r="B431" s="96">
        <v>3886</v>
      </c>
      <c r="C431" s="7">
        <v>450</v>
      </c>
      <c r="D431" s="7">
        <f t="shared" si="42"/>
        <v>3436</v>
      </c>
      <c r="E431" s="97">
        <v>2330</v>
      </c>
      <c r="F431" s="7">
        <v>600</v>
      </c>
      <c r="G431" s="7">
        <f t="shared" si="43"/>
        <v>1730</v>
      </c>
      <c r="H431" s="98">
        <v>0</v>
      </c>
      <c r="I431" s="7">
        <v>0</v>
      </c>
      <c r="J431" s="7"/>
      <c r="K431" s="99">
        <f t="shared" si="48"/>
        <v>6216</v>
      </c>
      <c r="L431" s="7">
        <v>100</v>
      </c>
      <c r="M431" s="7">
        <v>0</v>
      </c>
      <c r="N431" s="7">
        <v>0</v>
      </c>
      <c r="O431" s="7">
        <v>0</v>
      </c>
      <c r="P431" s="7">
        <v>4755.3615697063315</v>
      </c>
      <c r="Q431" s="7">
        <v>4559.3292285436683</v>
      </c>
      <c r="R431" s="113">
        <f t="shared" si="44"/>
        <v>0.11580030880082347</v>
      </c>
      <c r="S431" s="113">
        <f t="shared" si="45"/>
        <v>0.25751072961373389</v>
      </c>
      <c r="T431" s="113">
        <f t="shared" si="46"/>
        <v>0</v>
      </c>
      <c r="U431" s="113">
        <f t="shared" si="47"/>
        <v>0.12443701280485246</v>
      </c>
    </row>
    <row r="432" spans="1:21" x14ac:dyDescent="0.45">
      <c r="A432" s="95">
        <v>44992</v>
      </c>
      <c r="B432" s="96">
        <v>3886</v>
      </c>
      <c r="C432" s="7">
        <v>450</v>
      </c>
      <c r="D432" s="7">
        <f t="shared" si="42"/>
        <v>3436</v>
      </c>
      <c r="E432" s="97">
        <v>2330</v>
      </c>
      <c r="F432" s="7">
        <v>600</v>
      </c>
      <c r="G432" s="7">
        <f t="shared" si="43"/>
        <v>1730</v>
      </c>
      <c r="H432" s="98">
        <v>0</v>
      </c>
      <c r="I432" s="7">
        <v>0</v>
      </c>
      <c r="J432" s="7"/>
      <c r="K432" s="99">
        <f t="shared" si="48"/>
        <v>6216</v>
      </c>
      <c r="L432" s="7">
        <v>100</v>
      </c>
      <c r="M432" s="7">
        <v>0</v>
      </c>
      <c r="N432" s="7">
        <v>0</v>
      </c>
      <c r="O432" s="7">
        <v>0</v>
      </c>
      <c r="P432" s="7">
        <v>4755.3615697063315</v>
      </c>
      <c r="Q432" s="7">
        <v>3860.2844018036685</v>
      </c>
      <c r="R432" s="113">
        <f t="shared" si="44"/>
        <v>0.11580030880082347</v>
      </c>
      <c r="S432" s="113">
        <f t="shared" si="45"/>
        <v>0.25751072961373389</v>
      </c>
      <c r="T432" s="113">
        <f t="shared" si="46"/>
        <v>0</v>
      </c>
      <c r="U432" s="113">
        <f t="shared" si="47"/>
        <v>0.12443701280485246</v>
      </c>
    </row>
    <row r="433" spans="1:21" x14ac:dyDescent="0.45">
      <c r="A433" s="95">
        <v>44993</v>
      </c>
      <c r="B433" s="96">
        <v>3886</v>
      </c>
      <c r="C433" s="7">
        <v>450</v>
      </c>
      <c r="D433" s="7">
        <f t="shared" si="42"/>
        <v>3436</v>
      </c>
      <c r="E433" s="97">
        <v>2330</v>
      </c>
      <c r="F433" s="7">
        <v>600</v>
      </c>
      <c r="G433" s="7">
        <f t="shared" si="43"/>
        <v>1730</v>
      </c>
      <c r="H433" s="98">
        <v>0</v>
      </c>
      <c r="I433" s="7">
        <v>0</v>
      </c>
      <c r="J433" s="7"/>
      <c r="K433" s="99">
        <f t="shared" si="48"/>
        <v>6216</v>
      </c>
      <c r="L433" s="7">
        <v>100</v>
      </c>
      <c r="M433" s="7">
        <v>0</v>
      </c>
      <c r="N433" s="7">
        <v>0</v>
      </c>
      <c r="O433" s="7">
        <v>0</v>
      </c>
      <c r="P433" s="7">
        <v>4755.3615697063315</v>
      </c>
      <c r="Q433" s="7">
        <v>3565.5016083836686</v>
      </c>
      <c r="R433" s="113">
        <f t="shared" si="44"/>
        <v>0.11580030880082347</v>
      </c>
      <c r="S433" s="113">
        <f t="shared" si="45"/>
        <v>0.25751072961373389</v>
      </c>
      <c r="T433" s="113">
        <f t="shared" si="46"/>
        <v>0</v>
      </c>
      <c r="U433" s="113">
        <f t="shared" si="47"/>
        <v>0.12443701280485246</v>
      </c>
    </row>
    <row r="434" spans="1:21" x14ac:dyDescent="0.45">
      <c r="A434" s="95">
        <v>44994</v>
      </c>
      <c r="B434" s="96">
        <v>3886</v>
      </c>
      <c r="C434" s="7">
        <v>450</v>
      </c>
      <c r="D434" s="7">
        <f t="shared" si="42"/>
        <v>3436</v>
      </c>
      <c r="E434" s="97">
        <v>2330</v>
      </c>
      <c r="F434" s="7">
        <v>600</v>
      </c>
      <c r="G434" s="7">
        <f t="shared" si="43"/>
        <v>1730</v>
      </c>
      <c r="H434" s="98">
        <v>0</v>
      </c>
      <c r="I434" s="7">
        <v>0</v>
      </c>
      <c r="J434" s="7"/>
      <c r="K434" s="99">
        <f t="shared" si="48"/>
        <v>6216</v>
      </c>
      <c r="L434" s="7">
        <v>100</v>
      </c>
      <c r="M434" s="7">
        <v>0</v>
      </c>
      <c r="N434" s="7">
        <v>0</v>
      </c>
      <c r="O434" s="7">
        <v>0</v>
      </c>
      <c r="P434" s="7">
        <v>4755.3615697063315</v>
      </c>
      <c r="Q434" s="7">
        <v>2877.7483520936689</v>
      </c>
      <c r="R434" s="113">
        <f t="shared" si="44"/>
        <v>0.11580030880082347</v>
      </c>
      <c r="S434" s="113">
        <f t="shared" si="45"/>
        <v>0.25751072961373389</v>
      </c>
      <c r="T434" s="113">
        <f t="shared" si="46"/>
        <v>0</v>
      </c>
      <c r="U434" s="113">
        <f t="shared" si="47"/>
        <v>0.12443701280485246</v>
      </c>
    </row>
    <row r="435" spans="1:21" x14ac:dyDescent="0.45">
      <c r="A435" s="95">
        <v>44995</v>
      </c>
      <c r="B435" s="96">
        <v>3886</v>
      </c>
      <c r="C435" s="7">
        <v>450</v>
      </c>
      <c r="D435" s="7">
        <f t="shared" si="42"/>
        <v>3436</v>
      </c>
      <c r="E435" s="97">
        <v>2330</v>
      </c>
      <c r="F435" s="7">
        <v>600</v>
      </c>
      <c r="G435" s="7">
        <f t="shared" si="43"/>
        <v>1730</v>
      </c>
      <c r="H435" s="98">
        <v>0</v>
      </c>
      <c r="I435" s="7">
        <v>0</v>
      </c>
      <c r="J435" s="7"/>
      <c r="K435" s="99">
        <f t="shared" si="48"/>
        <v>6216</v>
      </c>
      <c r="L435" s="7">
        <v>100</v>
      </c>
      <c r="M435" s="7">
        <v>0</v>
      </c>
      <c r="N435" s="7">
        <v>0</v>
      </c>
      <c r="O435" s="7">
        <v>0</v>
      </c>
      <c r="P435" s="7">
        <v>4755.3615697063315</v>
      </c>
      <c r="Q435" s="7">
        <v>3999.9879107036686</v>
      </c>
      <c r="R435" s="113">
        <f t="shared" si="44"/>
        <v>0.11580030880082347</v>
      </c>
      <c r="S435" s="113">
        <f t="shared" si="45"/>
        <v>0.25751072961373389</v>
      </c>
      <c r="T435" s="113">
        <f t="shared" si="46"/>
        <v>0</v>
      </c>
      <c r="U435" s="113">
        <f t="shared" si="47"/>
        <v>0.12443701280485246</v>
      </c>
    </row>
    <row r="436" spans="1:21" x14ac:dyDescent="0.45">
      <c r="A436" s="95">
        <v>44996</v>
      </c>
      <c r="B436" s="96">
        <v>3886</v>
      </c>
      <c r="C436" s="7">
        <v>450</v>
      </c>
      <c r="D436" s="7">
        <f t="shared" si="42"/>
        <v>3436</v>
      </c>
      <c r="E436" s="97">
        <v>2330</v>
      </c>
      <c r="F436" s="7">
        <v>600</v>
      </c>
      <c r="G436" s="7">
        <f t="shared" si="43"/>
        <v>1730</v>
      </c>
      <c r="H436" s="98">
        <v>0</v>
      </c>
      <c r="I436" s="7">
        <v>0</v>
      </c>
      <c r="J436" s="7"/>
      <c r="K436" s="99">
        <f t="shared" si="48"/>
        <v>6216</v>
      </c>
      <c r="L436" s="7">
        <v>100</v>
      </c>
      <c r="M436" s="7">
        <v>0</v>
      </c>
      <c r="N436" s="7">
        <v>0</v>
      </c>
      <c r="O436" s="7">
        <v>0</v>
      </c>
      <c r="P436" s="7">
        <v>4755.3615697063315</v>
      </c>
      <c r="Q436" s="7">
        <v>3999.9879107036686</v>
      </c>
      <c r="R436" s="113">
        <f t="shared" si="44"/>
        <v>0.11580030880082347</v>
      </c>
      <c r="S436" s="113">
        <f t="shared" si="45"/>
        <v>0.25751072961373389</v>
      </c>
      <c r="T436" s="113">
        <f t="shared" si="46"/>
        <v>0</v>
      </c>
      <c r="U436" s="113">
        <f t="shared" si="47"/>
        <v>0.12443701280485246</v>
      </c>
    </row>
    <row r="437" spans="1:21" x14ac:dyDescent="0.45">
      <c r="A437" s="95">
        <v>44997</v>
      </c>
      <c r="B437" s="96">
        <v>3886</v>
      </c>
      <c r="C437" s="7">
        <v>450</v>
      </c>
      <c r="D437" s="7">
        <f t="shared" si="42"/>
        <v>3436</v>
      </c>
      <c r="E437" s="97">
        <v>2330</v>
      </c>
      <c r="F437" s="7">
        <v>600</v>
      </c>
      <c r="G437" s="7">
        <f t="shared" si="43"/>
        <v>1730</v>
      </c>
      <c r="H437" s="98">
        <v>0</v>
      </c>
      <c r="I437" s="7">
        <v>0</v>
      </c>
      <c r="J437" s="7"/>
      <c r="K437" s="99">
        <f t="shared" si="48"/>
        <v>6216</v>
      </c>
      <c r="L437" s="7">
        <v>100</v>
      </c>
      <c r="M437" s="7">
        <v>0</v>
      </c>
      <c r="N437" s="7">
        <v>0</v>
      </c>
      <c r="O437" s="7">
        <v>0</v>
      </c>
      <c r="P437" s="7">
        <v>4755.3615697063315</v>
      </c>
      <c r="Q437" s="7">
        <v>3999.9879107036686</v>
      </c>
      <c r="R437" s="113">
        <f t="shared" si="44"/>
        <v>0.11580030880082347</v>
      </c>
      <c r="S437" s="113">
        <f t="shared" si="45"/>
        <v>0.25751072961373389</v>
      </c>
      <c r="T437" s="113">
        <f t="shared" si="46"/>
        <v>0</v>
      </c>
      <c r="U437" s="113">
        <f t="shared" si="47"/>
        <v>0.12443701280485246</v>
      </c>
    </row>
    <row r="438" spans="1:21" x14ac:dyDescent="0.45">
      <c r="A438" s="95">
        <v>44998</v>
      </c>
      <c r="B438" s="96">
        <v>3886</v>
      </c>
      <c r="C438" s="7">
        <v>450</v>
      </c>
      <c r="D438" s="7">
        <f t="shared" si="42"/>
        <v>3436</v>
      </c>
      <c r="E438" s="97">
        <v>2330</v>
      </c>
      <c r="F438" s="7">
        <v>600</v>
      </c>
      <c r="G438" s="7">
        <f t="shared" si="43"/>
        <v>1730</v>
      </c>
      <c r="H438" s="98">
        <v>0</v>
      </c>
      <c r="I438" s="7">
        <v>0</v>
      </c>
      <c r="J438" s="7"/>
      <c r="K438" s="99">
        <f t="shared" si="48"/>
        <v>6216</v>
      </c>
      <c r="L438" s="7">
        <v>100</v>
      </c>
      <c r="M438" s="7">
        <v>0</v>
      </c>
      <c r="N438" s="7">
        <v>0</v>
      </c>
      <c r="O438" s="7">
        <v>0</v>
      </c>
      <c r="P438" s="7">
        <v>4755.3615697063315</v>
      </c>
      <c r="Q438" s="7">
        <v>3809.6760000136692</v>
      </c>
      <c r="R438" s="113">
        <f t="shared" si="44"/>
        <v>0.11580030880082347</v>
      </c>
      <c r="S438" s="113">
        <f t="shared" si="45"/>
        <v>0.25751072961373389</v>
      </c>
      <c r="T438" s="113">
        <f t="shared" si="46"/>
        <v>0</v>
      </c>
      <c r="U438" s="113">
        <f t="shared" si="47"/>
        <v>0.12443701280485246</v>
      </c>
    </row>
    <row r="439" spans="1:21" x14ac:dyDescent="0.45">
      <c r="A439" s="95">
        <v>44999</v>
      </c>
      <c r="B439" s="96">
        <v>3886</v>
      </c>
      <c r="C439" s="7">
        <v>450</v>
      </c>
      <c r="D439" s="7">
        <f t="shared" si="42"/>
        <v>3436</v>
      </c>
      <c r="E439" s="97">
        <v>2330</v>
      </c>
      <c r="F439" s="7">
        <v>600</v>
      </c>
      <c r="G439" s="7">
        <f t="shared" si="43"/>
        <v>1730</v>
      </c>
      <c r="H439" s="98">
        <v>0</v>
      </c>
      <c r="I439" s="7">
        <v>0</v>
      </c>
      <c r="J439" s="7"/>
      <c r="K439" s="99">
        <f t="shared" si="48"/>
        <v>6216</v>
      </c>
      <c r="L439" s="7">
        <v>100</v>
      </c>
      <c r="M439" s="7">
        <v>0</v>
      </c>
      <c r="N439" s="7">
        <v>0</v>
      </c>
      <c r="O439" s="7">
        <v>0</v>
      </c>
      <c r="P439" s="7">
        <v>4755.3615697063315</v>
      </c>
      <c r="Q439" s="7">
        <v>4274.4152591836691</v>
      </c>
      <c r="R439" s="113">
        <f t="shared" si="44"/>
        <v>0.11580030880082347</v>
      </c>
      <c r="S439" s="113">
        <f t="shared" si="45"/>
        <v>0.25751072961373389</v>
      </c>
      <c r="T439" s="113">
        <f t="shared" si="46"/>
        <v>0</v>
      </c>
      <c r="U439" s="113">
        <f t="shared" si="47"/>
        <v>0.12443701280485246</v>
      </c>
    </row>
    <row r="440" spans="1:21" x14ac:dyDescent="0.45">
      <c r="A440" s="95">
        <v>45000</v>
      </c>
      <c r="B440" s="96">
        <v>3886</v>
      </c>
      <c r="C440" s="7">
        <v>450</v>
      </c>
      <c r="D440" s="7">
        <f t="shared" si="42"/>
        <v>3436</v>
      </c>
      <c r="E440" s="97">
        <v>2330</v>
      </c>
      <c r="F440" s="7">
        <v>600</v>
      </c>
      <c r="G440" s="7">
        <f t="shared" si="43"/>
        <v>1730</v>
      </c>
      <c r="H440" s="98">
        <v>0</v>
      </c>
      <c r="I440" s="7">
        <v>0</v>
      </c>
      <c r="J440" s="7"/>
      <c r="K440" s="99">
        <f t="shared" si="48"/>
        <v>6216</v>
      </c>
      <c r="L440" s="7">
        <v>100</v>
      </c>
      <c r="M440" s="7">
        <v>0</v>
      </c>
      <c r="N440" s="7">
        <v>0</v>
      </c>
      <c r="O440" s="7">
        <v>0</v>
      </c>
      <c r="P440" s="7">
        <v>4755.3615697063315</v>
      </c>
      <c r="Q440" s="7">
        <v>4008.2284838936685</v>
      </c>
      <c r="R440" s="113">
        <f t="shared" si="44"/>
        <v>0.11580030880082347</v>
      </c>
      <c r="S440" s="113">
        <f t="shared" si="45"/>
        <v>0.25751072961373389</v>
      </c>
      <c r="T440" s="113">
        <f t="shared" si="46"/>
        <v>0</v>
      </c>
      <c r="U440" s="113">
        <f t="shared" si="47"/>
        <v>0.12443701280485246</v>
      </c>
    </row>
    <row r="441" spans="1:21" x14ac:dyDescent="0.45">
      <c r="A441" s="95">
        <v>45001</v>
      </c>
      <c r="B441" s="96">
        <v>3886</v>
      </c>
      <c r="C441" s="7">
        <v>450</v>
      </c>
      <c r="D441" s="7">
        <f t="shared" si="42"/>
        <v>3436</v>
      </c>
      <c r="E441" s="97">
        <v>2330</v>
      </c>
      <c r="F441" s="7">
        <v>600</v>
      </c>
      <c r="G441" s="7">
        <f t="shared" si="43"/>
        <v>1730</v>
      </c>
      <c r="H441" s="98">
        <v>0</v>
      </c>
      <c r="I441" s="7">
        <v>0</v>
      </c>
      <c r="J441" s="7"/>
      <c r="K441" s="99">
        <f t="shared" si="48"/>
        <v>6216</v>
      </c>
      <c r="L441" s="7">
        <v>100</v>
      </c>
      <c r="M441" s="7">
        <v>0</v>
      </c>
      <c r="N441" s="7">
        <v>0</v>
      </c>
      <c r="O441" s="7">
        <v>0</v>
      </c>
      <c r="P441" s="7">
        <v>4755.3615697063315</v>
      </c>
      <c r="Q441" s="7">
        <v>3518.1123775236692</v>
      </c>
      <c r="R441" s="113">
        <f t="shared" si="44"/>
        <v>0.11580030880082347</v>
      </c>
      <c r="S441" s="113">
        <f t="shared" si="45"/>
        <v>0.25751072961373389</v>
      </c>
      <c r="T441" s="113">
        <f t="shared" si="46"/>
        <v>0</v>
      </c>
      <c r="U441" s="113">
        <f t="shared" si="47"/>
        <v>0.12443701280485246</v>
      </c>
    </row>
    <row r="442" spans="1:21" x14ac:dyDescent="0.45">
      <c r="A442" s="95">
        <v>45002</v>
      </c>
      <c r="B442" s="96">
        <v>3886</v>
      </c>
      <c r="C442" s="7">
        <v>450</v>
      </c>
      <c r="D442" s="7">
        <f t="shared" si="42"/>
        <v>3436</v>
      </c>
      <c r="E442" s="97">
        <v>2330</v>
      </c>
      <c r="F442" s="7">
        <v>600</v>
      </c>
      <c r="G442" s="7">
        <f t="shared" si="43"/>
        <v>1730</v>
      </c>
      <c r="H442" s="98">
        <v>0</v>
      </c>
      <c r="I442" s="7">
        <v>0</v>
      </c>
      <c r="J442" s="7"/>
      <c r="K442" s="99">
        <f t="shared" si="48"/>
        <v>6216</v>
      </c>
      <c r="L442" s="7">
        <v>100</v>
      </c>
      <c r="M442" s="7">
        <v>0</v>
      </c>
      <c r="N442" s="7">
        <v>0</v>
      </c>
      <c r="O442" s="7">
        <v>0</v>
      </c>
      <c r="P442" s="7">
        <v>4755.3615697063315</v>
      </c>
      <c r="Q442" s="7">
        <v>3748.5455104336688</v>
      </c>
      <c r="R442" s="113">
        <f t="shared" si="44"/>
        <v>0.11580030880082347</v>
      </c>
      <c r="S442" s="113">
        <f t="shared" si="45"/>
        <v>0.25751072961373389</v>
      </c>
      <c r="T442" s="113">
        <f t="shared" si="46"/>
        <v>0</v>
      </c>
      <c r="U442" s="113">
        <f t="shared" si="47"/>
        <v>0.12443701280485246</v>
      </c>
    </row>
    <row r="443" spans="1:21" x14ac:dyDescent="0.45">
      <c r="A443" s="95">
        <v>45003</v>
      </c>
      <c r="B443" s="96">
        <v>3886</v>
      </c>
      <c r="C443" s="7">
        <v>450</v>
      </c>
      <c r="D443" s="7">
        <f t="shared" si="42"/>
        <v>3436</v>
      </c>
      <c r="E443" s="97">
        <v>2330</v>
      </c>
      <c r="F443" s="7">
        <v>600</v>
      </c>
      <c r="G443" s="7">
        <f t="shared" si="43"/>
        <v>1730</v>
      </c>
      <c r="H443" s="98">
        <v>0</v>
      </c>
      <c r="I443" s="7">
        <v>0</v>
      </c>
      <c r="J443" s="7"/>
      <c r="K443" s="99">
        <f t="shared" si="48"/>
        <v>6216</v>
      </c>
      <c r="L443" s="7">
        <v>100</v>
      </c>
      <c r="M443" s="7">
        <v>0</v>
      </c>
      <c r="N443" s="7">
        <v>0</v>
      </c>
      <c r="O443" s="7">
        <v>0</v>
      </c>
      <c r="P443" s="7">
        <v>4755.3615697063315</v>
      </c>
      <c r="Q443" s="7">
        <v>3748.5455104336688</v>
      </c>
      <c r="R443" s="113">
        <f t="shared" si="44"/>
        <v>0.11580030880082347</v>
      </c>
      <c r="S443" s="113">
        <f t="shared" si="45"/>
        <v>0.25751072961373389</v>
      </c>
      <c r="T443" s="113">
        <f t="shared" si="46"/>
        <v>0</v>
      </c>
      <c r="U443" s="113">
        <f t="shared" si="47"/>
        <v>0.12443701280485246</v>
      </c>
    </row>
    <row r="444" spans="1:21" x14ac:dyDescent="0.45">
      <c r="A444" s="95">
        <v>45004</v>
      </c>
      <c r="B444" s="96">
        <v>3886</v>
      </c>
      <c r="C444" s="7">
        <v>450</v>
      </c>
      <c r="D444" s="7">
        <f t="shared" si="42"/>
        <v>3436</v>
      </c>
      <c r="E444" s="97">
        <v>2330</v>
      </c>
      <c r="F444" s="7">
        <v>600</v>
      </c>
      <c r="G444" s="7">
        <f t="shared" si="43"/>
        <v>1730</v>
      </c>
      <c r="H444" s="98">
        <v>0</v>
      </c>
      <c r="I444" s="7">
        <v>0</v>
      </c>
      <c r="J444" s="7"/>
      <c r="K444" s="99">
        <f t="shared" si="48"/>
        <v>6216</v>
      </c>
      <c r="L444" s="7">
        <v>100</v>
      </c>
      <c r="M444" s="7">
        <v>0</v>
      </c>
      <c r="N444" s="7">
        <v>0</v>
      </c>
      <c r="O444" s="7">
        <v>0</v>
      </c>
      <c r="P444" s="7">
        <v>4755.3615697063315</v>
      </c>
      <c r="Q444" s="7">
        <v>3748.5455104336688</v>
      </c>
      <c r="R444" s="113">
        <f t="shared" si="44"/>
        <v>0.11580030880082347</v>
      </c>
      <c r="S444" s="113">
        <f t="shared" si="45"/>
        <v>0.25751072961373389</v>
      </c>
      <c r="T444" s="113">
        <f t="shared" si="46"/>
        <v>0</v>
      </c>
      <c r="U444" s="113">
        <f t="shared" si="47"/>
        <v>0.12443701280485246</v>
      </c>
    </row>
    <row r="445" spans="1:21" x14ac:dyDescent="0.45">
      <c r="A445" s="95">
        <v>45005</v>
      </c>
      <c r="B445" s="96">
        <v>3886</v>
      </c>
      <c r="C445" s="7">
        <v>450</v>
      </c>
      <c r="D445" s="7">
        <f t="shared" si="42"/>
        <v>3436</v>
      </c>
      <c r="E445" s="97">
        <v>2330</v>
      </c>
      <c r="F445" s="7">
        <v>600</v>
      </c>
      <c r="G445" s="7">
        <f t="shared" si="43"/>
        <v>1730</v>
      </c>
      <c r="H445" s="98">
        <v>0</v>
      </c>
      <c r="I445" s="7">
        <v>0</v>
      </c>
      <c r="J445" s="7"/>
      <c r="K445" s="99">
        <f t="shared" si="48"/>
        <v>6216</v>
      </c>
      <c r="L445" s="7">
        <v>100</v>
      </c>
      <c r="M445" s="7">
        <v>0</v>
      </c>
      <c r="N445" s="7">
        <v>0</v>
      </c>
      <c r="O445" s="7">
        <v>0</v>
      </c>
      <c r="P445" s="7">
        <v>4727.0366922846788</v>
      </c>
      <c r="Q445" s="7">
        <v>3534.6420802653229</v>
      </c>
      <c r="R445" s="113">
        <f t="shared" si="44"/>
        <v>0.11580030880082347</v>
      </c>
      <c r="S445" s="113">
        <f t="shared" si="45"/>
        <v>0.25751072961373389</v>
      </c>
      <c r="T445" s="113">
        <f t="shared" si="46"/>
        <v>0</v>
      </c>
      <c r="U445" s="113">
        <f t="shared" si="47"/>
        <v>0.12443701280485246</v>
      </c>
    </row>
    <row r="446" spans="1:21" x14ac:dyDescent="0.45">
      <c r="A446" s="95">
        <v>45006</v>
      </c>
      <c r="B446" s="96">
        <v>3886</v>
      </c>
      <c r="C446" s="7">
        <v>450</v>
      </c>
      <c r="D446" s="7">
        <f t="shared" si="42"/>
        <v>3436</v>
      </c>
      <c r="E446" s="97">
        <v>2330</v>
      </c>
      <c r="F446" s="7">
        <v>600</v>
      </c>
      <c r="G446" s="7">
        <f t="shared" si="43"/>
        <v>1730</v>
      </c>
      <c r="H446" s="98">
        <v>0</v>
      </c>
      <c r="I446" s="7">
        <v>0</v>
      </c>
      <c r="J446" s="7"/>
      <c r="K446" s="99">
        <f t="shared" si="48"/>
        <v>6216</v>
      </c>
      <c r="L446" s="7">
        <v>100</v>
      </c>
      <c r="M446" s="7">
        <v>0</v>
      </c>
      <c r="N446" s="7">
        <v>0</v>
      </c>
      <c r="O446" s="7">
        <v>0</v>
      </c>
      <c r="P446" s="7">
        <v>4727.0366922846788</v>
      </c>
      <c r="Q446" s="7">
        <v>4110.9888145053228</v>
      </c>
      <c r="R446" s="113">
        <f t="shared" si="44"/>
        <v>0.11580030880082347</v>
      </c>
      <c r="S446" s="113">
        <f t="shared" si="45"/>
        <v>0.25751072961373389</v>
      </c>
      <c r="T446" s="113">
        <f t="shared" si="46"/>
        <v>0</v>
      </c>
      <c r="U446" s="113">
        <f t="shared" si="47"/>
        <v>0.12443701280485246</v>
      </c>
    </row>
    <row r="447" spans="1:21" x14ac:dyDescent="0.45">
      <c r="A447" s="95">
        <v>45007</v>
      </c>
      <c r="B447" s="96">
        <v>3886</v>
      </c>
      <c r="C447" s="7">
        <v>450</v>
      </c>
      <c r="D447" s="7">
        <f t="shared" si="42"/>
        <v>3436</v>
      </c>
      <c r="E447" s="97">
        <v>2330</v>
      </c>
      <c r="F447" s="7">
        <v>600</v>
      </c>
      <c r="G447" s="7">
        <f t="shared" si="43"/>
        <v>1730</v>
      </c>
      <c r="H447" s="98">
        <v>0</v>
      </c>
      <c r="I447" s="7">
        <v>0</v>
      </c>
      <c r="J447" s="7"/>
      <c r="K447" s="99">
        <f t="shared" si="48"/>
        <v>6216</v>
      </c>
      <c r="L447" s="7">
        <v>100</v>
      </c>
      <c r="M447" s="7">
        <v>0</v>
      </c>
      <c r="N447" s="7">
        <v>0</v>
      </c>
      <c r="O447" s="7">
        <v>0</v>
      </c>
      <c r="P447" s="7">
        <v>4727.0366922846788</v>
      </c>
      <c r="Q447" s="7">
        <v>4826.2000441253222</v>
      </c>
      <c r="R447" s="113">
        <f t="shared" si="44"/>
        <v>0.11580030880082347</v>
      </c>
      <c r="S447" s="113">
        <f t="shared" si="45"/>
        <v>0.25751072961373389</v>
      </c>
      <c r="T447" s="113">
        <f t="shared" si="46"/>
        <v>0</v>
      </c>
      <c r="U447" s="113">
        <f t="shared" si="47"/>
        <v>0.12443701280485246</v>
      </c>
    </row>
    <row r="448" spans="1:21" x14ac:dyDescent="0.45">
      <c r="A448" s="95">
        <v>45008</v>
      </c>
      <c r="B448" s="96">
        <v>3886</v>
      </c>
      <c r="C448" s="7">
        <v>450</v>
      </c>
      <c r="D448" s="7">
        <f t="shared" si="42"/>
        <v>3436</v>
      </c>
      <c r="E448" s="97">
        <v>2330</v>
      </c>
      <c r="F448" s="7">
        <v>600</v>
      </c>
      <c r="G448" s="7">
        <f t="shared" si="43"/>
        <v>1730</v>
      </c>
      <c r="H448" s="98">
        <v>0</v>
      </c>
      <c r="I448" s="7">
        <v>0</v>
      </c>
      <c r="J448" s="7"/>
      <c r="K448" s="99">
        <f t="shared" si="48"/>
        <v>6216</v>
      </c>
      <c r="L448" s="7">
        <v>300</v>
      </c>
      <c r="M448" s="7">
        <v>0</v>
      </c>
      <c r="N448" s="7">
        <v>0</v>
      </c>
      <c r="O448" s="7">
        <v>0</v>
      </c>
      <c r="P448" s="7">
        <v>4727.0366922846788</v>
      </c>
      <c r="Q448" s="7">
        <v>4314.6046799753221</v>
      </c>
      <c r="R448" s="113">
        <f t="shared" si="44"/>
        <v>0.11580030880082347</v>
      </c>
      <c r="S448" s="113">
        <f t="shared" si="45"/>
        <v>0.25751072961373389</v>
      </c>
      <c r="T448" s="113">
        <f t="shared" si="46"/>
        <v>0</v>
      </c>
      <c r="U448" s="113">
        <f t="shared" si="47"/>
        <v>0.12443701280485246</v>
      </c>
    </row>
    <row r="449" spans="1:21" x14ac:dyDescent="0.45">
      <c r="A449" s="95">
        <v>45009</v>
      </c>
      <c r="B449" s="96">
        <v>3886</v>
      </c>
      <c r="C449" s="7">
        <v>450</v>
      </c>
      <c r="D449" s="7">
        <f t="shared" si="42"/>
        <v>3436</v>
      </c>
      <c r="E449" s="97">
        <v>2330</v>
      </c>
      <c r="F449" s="7">
        <v>600</v>
      </c>
      <c r="G449" s="7">
        <f t="shared" si="43"/>
        <v>1730</v>
      </c>
      <c r="H449" s="98">
        <v>0</v>
      </c>
      <c r="I449" s="7">
        <v>0</v>
      </c>
      <c r="J449" s="7"/>
      <c r="K449" s="99">
        <f t="shared" si="48"/>
        <v>6216</v>
      </c>
      <c r="L449" s="7">
        <v>300</v>
      </c>
      <c r="M449" s="7">
        <v>0</v>
      </c>
      <c r="N449" s="7">
        <v>0</v>
      </c>
      <c r="O449" s="7">
        <v>0</v>
      </c>
      <c r="P449" s="7">
        <v>4727.0366922846788</v>
      </c>
      <c r="Q449" s="7">
        <v>4964.3837586653217</v>
      </c>
      <c r="R449" s="113">
        <f t="shared" si="44"/>
        <v>0.11580030880082347</v>
      </c>
      <c r="S449" s="113">
        <f t="shared" si="45"/>
        <v>0.25751072961373389</v>
      </c>
      <c r="T449" s="113">
        <f t="shared" si="46"/>
        <v>0</v>
      </c>
      <c r="U449" s="113">
        <f t="shared" si="47"/>
        <v>0.12443701280485246</v>
      </c>
    </row>
    <row r="450" spans="1:21" x14ac:dyDescent="0.45">
      <c r="A450" s="95">
        <v>45010</v>
      </c>
      <c r="B450" s="96">
        <v>3886</v>
      </c>
      <c r="C450" s="7">
        <v>450</v>
      </c>
      <c r="D450" s="7">
        <f t="shared" ref="D450:D513" si="49">B450-C450</f>
        <v>3436</v>
      </c>
      <c r="E450" s="97">
        <v>2330</v>
      </c>
      <c r="F450" s="7">
        <v>600</v>
      </c>
      <c r="G450" s="7">
        <f t="shared" ref="G450:G513" si="50">E450-F450</f>
        <v>1730</v>
      </c>
      <c r="H450" s="98">
        <v>0</v>
      </c>
      <c r="I450" s="7">
        <v>0</v>
      </c>
      <c r="J450" s="7"/>
      <c r="K450" s="99">
        <f t="shared" si="48"/>
        <v>6216</v>
      </c>
      <c r="L450" s="7">
        <v>300</v>
      </c>
      <c r="M450" s="7">
        <v>0</v>
      </c>
      <c r="N450" s="7">
        <v>0</v>
      </c>
      <c r="O450" s="7">
        <v>0</v>
      </c>
      <c r="P450" s="7">
        <v>4727.0366922846788</v>
      </c>
      <c r="Q450" s="7">
        <v>4964.3837586653217</v>
      </c>
      <c r="R450" s="113">
        <f t="shared" si="44"/>
        <v>0.11580030880082347</v>
      </c>
      <c r="S450" s="113">
        <f t="shared" si="45"/>
        <v>0.25751072961373389</v>
      </c>
      <c r="T450" s="113">
        <f t="shared" si="46"/>
        <v>0</v>
      </c>
      <c r="U450" s="113">
        <f t="shared" si="47"/>
        <v>0.12443701280485246</v>
      </c>
    </row>
    <row r="451" spans="1:21" x14ac:dyDescent="0.45">
      <c r="A451" s="95">
        <v>45011</v>
      </c>
      <c r="B451" s="96">
        <v>3886</v>
      </c>
      <c r="C451" s="7">
        <v>450</v>
      </c>
      <c r="D451" s="7">
        <f t="shared" si="49"/>
        <v>3436</v>
      </c>
      <c r="E451" s="97">
        <v>2330</v>
      </c>
      <c r="F451" s="7">
        <v>600</v>
      </c>
      <c r="G451" s="7">
        <f t="shared" si="50"/>
        <v>1730</v>
      </c>
      <c r="H451" s="98">
        <v>0</v>
      </c>
      <c r="I451" s="7">
        <v>0</v>
      </c>
      <c r="J451" s="7"/>
      <c r="K451" s="99">
        <f t="shared" si="48"/>
        <v>6216</v>
      </c>
      <c r="L451" s="7">
        <v>300</v>
      </c>
      <c r="M451" s="7">
        <v>0</v>
      </c>
      <c r="N451" s="7">
        <v>0</v>
      </c>
      <c r="O451" s="7">
        <v>0</v>
      </c>
      <c r="P451" s="7">
        <v>4727.0366922846788</v>
      </c>
      <c r="Q451" s="7">
        <v>4964.3837586653217</v>
      </c>
      <c r="R451" s="113">
        <f t="shared" ref="R451:R514" si="51">C451/B451</f>
        <v>0.11580030880082347</v>
      </c>
      <c r="S451" s="113">
        <f t="shared" ref="S451:S514" si="52">F451/E451</f>
        <v>0.25751072961373389</v>
      </c>
      <c r="T451" s="113">
        <f t="shared" ref="T451:T514" si="53">IF(H451=0,0,I451/H451)</f>
        <v>0</v>
      </c>
      <c r="U451" s="113">
        <f t="shared" ref="U451:U514" si="54">AVERAGE(R451:T451)</f>
        <v>0.12443701280485246</v>
      </c>
    </row>
    <row r="452" spans="1:21" x14ac:dyDescent="0.45">
      <c r="A452" s="95">
        <v>45012</v>
      </c>
      <c r="B452" s="96">
        <v>3886</v>
      </c>
      <c r="C452" s="7">
        <v>450</v>
      </c>
      <c r="D452" s="7">
        <f t="shared" si="49"/>
        <v>3436</v>
      </c>
      <c r="E452" s="97">
        <v>2330</v>
      </c>
      <c r="F452" s="7">
        <v>600</v>
      </c>
      <c r="G452" s="7">
        <f t="shared" si="50"/>
        <v>1730</v>
      </c>
      <c r="H452" s="98">
        <v>0</v>
      </c>
      <c r="I452" s="7">
        <v>0</v>
      </c>
      <c r="J452" s="7"/>
      <c r="K452" s="99">
        <f t="shared" ref="K452:K515" si="55">B452+E452+H452</f>
        <v>6216</v>
      </c>
      <c r="L452" s="7">
        <v>300</v>
      </c>
      <c r="M452" s="7">
        <v>0</v>
      </c>
      <c r="N452" s="7">
        <v>0</v>
      </c>
      <c r="O452" s="7">
        <v>0</v>
      </c>
      <c r="P452" s="7">
        <v>4727.0366922846788</v>
      </c>
      <c r="Q452" s="7">
        <v>4668.5290562953223</v>
      </c>
      <c r="R452" s="113">
        <f t="shared" si="51"/>
        <v>0.11580030880082347</v>
      </c>
      <c r="S452" s="113">
        <f t="shared" si="52"/>
        <v>0.25751072961373389</v>
      </c>
      <c r="T452" s="113">
        <f t="shared" si="53"/>
        <v>0</v>
      </c>
      <c r="U452" s="113">
        <f t="shared" si="54"/>
        <v>0.12443701280485246</v>
      </c>
    </row>
    <row r="453" spans="1:21" x14ac:dyDescent="0.45">
      <c r="A453" s="95">
        <v>45013</v>
      </c>
      <c r="B453" s="96">
        <v>3886</v>
      </c>
      <c r="C453" s="7">
        <v>450</v>
      </c>
      <c r="D453" s="7">
        <f t="shared" si="49"/>
        <v>3436</v>
      </c>
      <c r="E453" s="97">
        <v>1660</v>
      </c>
      <c r="F453" s="7">
        <v>400</v>
      </c>
      <c r="G453" s="7">
        <f t="shared" si="50"/>
        <v>1260</v>
      </c>
      <c r="H453" s="98">
        <v>0</v>
      </c>
      <c r="I453" s="7">
        <v>0</v>
      </c>
      <c r="J453" s="7"/>
      <c r="K453" s="99">
        <f t="shared" si="55"/>
        <v>5546</v>
      </c>
      <c r="L453" s="7">
        <v>300</v>
      </c>
      <c r="M453" s="7">
        <v>0</v>
      </c>
      <c r="N453" s="7">
        <v>0</v>
      </c>
      <c r="O453" s="7">
        <v>0</v>
      </c>
      <c r="P453" s="7">
        <v>4727.0366922846788</v>
      </c>
      <c r="Q453" s="7">
        <v>5238.5508572053241</v>
      </c>
      <c r="R453" s="113">
        <f t="shared" si="51"/>
        <v>0.11580030880082347</v>
      </c>
      <c r="S453" s="113">
        <f t="shared" si="52"/>
        <v>0.24096385542168675</v>
      </c>
      <c r="T453" s="113">
        <f t="shared" si="53"/>
        <v>0</v>
      </c>
      <c r="U453" s="113">
        <f t="shared" si="54"/>
        <v>0.11892138807417008</v>
      </c>
    </row>
    <row r="454" spans="1:21" x14ac:dyDescent="0.45">
      <c r="A454" s="95">
        <v>45014</v>
      </c>
      <c r="B454" s="96">
        <v>3646</v>
      </c>
      <c r="C454" s="7">
        <v>450</v>
      </c>
      <c r="D454" s="7">
        <f t="shared" si="49"/>
        <v>3196</v>
      </c>
      <c r="E454" s="97">
        <v>1660</v>
      </c>
      <c r="F454" s="7">
        <v>400</v>
      </c>
      <c r="G454" s="7">
        <f t="shared" si="50"/>
        <v>1260</v>
      </c>
      <c r="H454" s="98">
        <v>0</v>
      </c>
      <c r="I454" s="7">
        <v>0</v>
      </c>
      <c r="J454" s="7"/>
      <c r="K454" s="99">
        <f t="shared" si="55"/>
        <v>5306</v>
      </c>
      <c r="L454" s="7">
        <v>300</v>
      </c>
      <c r="M454" s="7">
        <v>0</v>
      </c>
      <c r="N454" s="7">
        <v>0</v>
      </c>
      <c r="O454" s="7">
        <v>0</v>
      </c>
      <c r="P454" s="7">
        <v>4727.0366922846788</v>
      </c>
      <c r="Q454" s="7">
        <v>5601.0448614753223</v>
      </c>
      <c r="R454" s="113">
        <f t="shared" si="51"/>
        <v>0.12342292923752057</v>
      </c>
      <c r="S454" s="113">
        <f t="shared" si="52"/>
        <v>0.24096385542168675</v>
      </c>
      <c r="T454" s="113">
        <f t="shared" si="53"/>
        <v>0</v>
      </c>
      <c r="U454" s="113">
        <f t="shared" si="54"/>
        <v>0.12146226155306911</v>
      </c>
    </row>
    <row r="455" spans="1:21" x14ac:dyDescent="0.45">
      <c r="A455" s="95">
        <v>45015</v>
      </c>
      <c r="B455" s="96">
        <v>3646</v>
      </c>
      <c r="C455" s="7">
        <v>550</v>
      </c>
      <c r="D455" s="7">
        <f t="shared" si="49"/>
        <v>3096</v>
      </c>
      <c r="E455" s="97">
        <v>2460</v>
      </c>
      <c r="F455" s="7">
        <v>400</v>
      </c>
      <c r="G455" s="7">
        <f t="shared" si="50"/>
        <v>2060</v>
      </c>
      <c r="H455" s="98">
        <v>0</v>
      </c>
      <c r="I455" s="7">
        <v>0</v>
      </c>
      <c r="J455" s="7"/>
      <c r="K455" s="99">
        <f t="shared" si="55"/>
        <v>6106</v>
      </c>
      <c r="L455" s="7">
        <v>300</v>
      </c>
      <c r="M455" s="7">
        <v>0</v>
      </c>
      <c r="N455" s="7">
        <v>0</v>
      </c>
      <c r="O455" s="7">
        <v>0</v>
      </c>
      <c r="P455" s="7">
        <v>4727.0366922846788</v>
      </c>
      <c r="Q455" s="7">
        <v>5501.9266958853223</v>
      </c>
      <c r="R455" s="113">
        <f t="shared" si="51"/>
        <v>0.15085024684585849</v>
      </c>
      <c r="S455" s="113">
        <f t="shared" si="52"/>
        <v>0.16260162601626016</v>
      </c>
      <c r="T455" s="113">
        <f t="shared" si="53"/>
        <v>0</v>
      </c>
      <c r="U455" s="113">
        <f t="shared" si="54"/>
        <v>0.10448395762070621</v>
      </c>
    </row>
    <row r="456" spans="1:21" x14ac:dyDescent="0.45">
      <c r="A456" s="95">
        <v>45016</v>
      </c>
      <c r="B456" s="96">
        <v>3646</v>
      </c>
      <c r="C456" s="7">
        <v>550</v>
      </c>
      <c r="D456" s="7">
        <f t="shared" si="49"/>
        <v>3096</v>
      </c>
      <c r="E456" s="97">
        <v>2460</v>
      </c>
      <c r="F456" s="7">
        <v>400</v>
      </c>
      <c r="G456" s="7">
        <f t="shared" si="50"/>
        <v>2060</v>
      </c>
      <c r="H456" s="98">
        <v>0</v>
      </c>
      <c r="I456" s="7">
        <v>0</v>
      </c>
      <c r="J456" s="7"/>
      <c r="K456" s="99">
        <f t="shared" si="55"/>
        <v>6106</v>
      </c>
      <c r="L456" s="7">
        <v>300</v>
      </c>
      <c r="M456" s="7">
        <v>0</v>
      </c>
      <c r="N456" s="7">
        <v>0</v>
      </c>
      <c r="O456" s="7">
        <v>0</v>
      </c>
      <c r="P456" s="7">
        <v>4727.0366922846788</v>
      </c>
      <c r="Q456" s="7">
        <v>5181.4369933153212</v>
      </c>
      <c r="R456" s="113">
        <f t="shared" si="51"/>
        <v>0.15085024684585849</v>
      </c>
      <c r="S456" s="113">
        <f t="shared" si="52"/>
        <v>0.16260162601626016</v>
      </c>
      <c r="T456" s="113">
        <f t="shared" si="53"/>
        <v>0</v>
      </c>
      <c r="U456" s="113">
        <f t="shared" si="54"/>
        <v>0.10448395762070621</v>
      </c>
    </row>
    <row r="457" spans="1:21" x14ac:dyDescent="0.45">
      <c r="A457" s="95">
        <v>45017</v>
      </c>
      <c r="B457" s="96">
        <v>3646</v>
      </c>
      <c r="C457" s="7">
        <v>550</v>
      </c>
      <c r="D457" s="7">
        <f t="shared" si="49"/>
        <v>3096</v>
      </c>
      <c r="E457" s="97">
        <v>2460</v>
      </c>
      <c r="F457" s="7">
        <v>400</v>
      </c>
      <c r="G457" s="7">
        <f t="shared" si="50"/>
        <v>2060</v>
      </c>
      <c r="H457" s="98">
        <v>0</v>
      </c>
      <c r="I457" s="7">
        <v>0</v>
      </c>
      <c r="J457" s="7"/>
      <c r="K457" s="99">
        <f t="shared" si="55"/>
        <v>6106</v>
      </c>
      <c r="L457" s="7">
        <v>300</v>
      </c>
      <c r="M457" s="7">
        <v>0</v>
      </c>
      <c r="N457" s="7">
        <v>0</v>
      </c>
      <c r="O457" s="7">
        <v>0</v>
      </c>
      <c r="P457" s="7">
        <v>4727.0366922846788</v>
      </c>
      <c r="Q457" s="7">
        <v>5181.4369933153212</v>
      </c>
      <c r="R457" s="113">
        <f t="shared" si="51"/>
        <v>0.15085024684585849</v>
      </c>
      <c r="S457" s="113">
        <f t="shared" si="52"/>
        <v>0.16260162601626016</v>
      </c>
      <c r="T457" s="113">
        <f t="shared" si="53"/>
        <v>0</v>
      </c>
      <c r="U457" s="113">
        <f t="shared" si="54"/>
        <v>0.10448395762070621</v>
      </c>
    </row>
    <row r="458" spans="1:21" x14ac:dyDescent="0.45">
      <c r="A458" s="95">
        <v>45018</v>
      </c>
      <c r="B458" s="96">
        <v>3646</v>
      </c>
      <c r="C458" s="7">
        <v>550</v>
      </c>
      <c r="D458" s="7">
        <f t="shared" si="49"/>
        <v>3096</v>
      </c>
      <c r="E458" s="97">
        <v>2460</v>
      </c>
      <c r="F458" s="7">
        <v>400</v>
      </c>
      <c r="G458" s="7">
        <f t="shared" si="50"/>
        <v>2060</v>
      </c>
      <c r="H458" s="98">
        <v>0</v>
      </c>
      <c r="I458" s="7">
        <v>0</v>
      </c>
      <c r="J458" s="7"/>
      <c r="K458" s="99">
        <f t="shared" si="55"/>
        <v>6106</v>
      </c>
      <c r="L458" s="7">
        <v>300</v>
      </c>
      <c r="M458" s="7">
        <v>0</v>
      </c>
      <c r="N458" s="7">
        <v>0</v>
      </c>
      <c r="O458" s="7">
        <v>0</v>
      </c>
      <c r="P458" s="7">
        <v>4727.0366922846788</v>
      </c>
      <c r="Q458" s="7">
        <v>5181.4369933153212</v>
      </c>
      <c r="R458" s="113">
        <f t="shared" si="51"/>
        <v>0.15085024684585849</v>
      </c>
      <c r="S458" s="113">
        <f t="shared" si="52"/>
        <v>0.16260162601626016</v>
      </c>
      <c r="T458" s="113">
        <f t="shared" si="53"/>
        <v>0</v>
      </c>
      <c r="U458" s="113">
        <f t="shared" si="54"/>
        <v>0.10448395762070621</v>
      </c>
    </row>
    <row r="459" spans="1:21" x14ac:dyDescent="0.45">
      <c r="A459" s="95">
        <v>45019</v>
      </c>
      <c r="B459" s="96">
        <v>3646</v>
      </c>
      <c r="C459" s="7">
        <v>550</v>
      </c>
      <c r="D459" s="7">
        <f t="shared" si="49"/>
        <v>3096</v>
      </c>
      <c r="E459" s="97">
        <v>2460</v>
      </c>
      <c r="F459" s="7">
        <v>400</v>
      </c>
      <c r="G459" s="7">
        <f t="shared" si="50"/>
        <v>2060</v>
      </c>
      <c r="H459" s="98">
        <v>0</v>
      </c>
      <c r="I459" s="7">
        <v>0</v>
      </c>
      <c r="J459" s="7"/>
      <c r="K459" s="99">
        <f t="shared" si="55"/>
        <v>6106</v>
      </c>
      <c r="L459" s="7">
        <v>300</v>
      </c>
      <c r="M459" s="7">
        <v>0</v>
      </c>
      <c r="N459" s="7">
        <v>0</v>
      </c>
      <c r="O459" s="7">
        <v>0</v>
      </c>
      <c r="P459" s="7">
        <v>4727.0366922846788</v>
      </c>
      <c r="Q459" s="7">
        <v>4549.5855313053216</v>
      </c>
      <c r="R459" s="113">
        <f t="shared" si="51"/>
        <v>0.15085024684585849</v>
      </c>
      <c r="S459" s="113">
        <f t="shared" si="52"/>
        <v>0.16260162601626016</v>
      </c>
      <c r="T459" s="113">
        <f t="shared" si="53"/>
        <v>0</v>
      </c>
      <c r="U459" s="113">
        <f t="shared" si="54"/>
        <v>0.10448395762070621</v>
      </c>
    </row>
    <row r="460" spans="1:21" x14ac:dyDescent="0.45">
      <c r="A460" s="95">
        <v>45020</v>
      </c>
      <c r="B460" s="96">
        <v>3646</v>
      </c>
      <c r="C460" s="7">
        <v>550</v>
      </c>
      <c r="D460" s="7">
        <f t="shared" si="49"/>
        <v>3096</v>
      </c>
      <c r="E460" s="97">
        <v>2460</v>
      </c>
      <c r="F460" s="7">
        <v>400</v>
      </c>
      <c r="G460" s="7">
        <f t="shared" si="50"/>
        <v>2060</v>
      </c>
      <c r="H460" s="98">
        <v>0</v>
      </c>
      <c r="I460" s="7">
        <v>0</v>
      </c>
      <c r="J460" s="7"/>
      <c r="K460" s="99">
        <f t="shared" si="55"/>
        <v>6106</v>
      </c>
      <c r="L460" s="7">
        <v>300</v>
      </c>
      <c r="M460" s="7">
        <v>0</v>
      </c>
      <c r="N460" s="7">
        <v>0</v>
      </c>
      <c r="O460" s="7">
        <v>0</v>
      </c>
      <c r="P460" s="7">
        <v>4727.0366922846788</v>
      </c>
      <c r="Q460" s="7">
        <v>4432.5341111553225</v>
      </c>
      <c r="R460" s="113">
        <f t="shared" si="51"/>
        <v>0.15085024684585849</v>
      </c>
      <c r="S460" s="113">
        <f t="shared" si="52"/>
        <v>0.16260162601626016</v>
      </c>
      <c r="T460" s="113">
        <f t="shared" si="53"/>
        <v>0</v>
      </c>
      <c r="U460" s="113">
        <f t="shared" si="54"/>
        <v>0.10448395762070621</v>
      </c>
    </row>
    <row r="461" spans="1:21" x14ac:dyDescent="0.45">
      <c r="A461" s="95">
        <v>45021</v>
      </c>
      <c r="B461" s="96">
        <v>3946</v>
      </c>
      <c r="C461" s="7">
        <v>550</v>
      </c>
      <c r="D461" s="7">
        <f t="shared" si="49"/>
        <v>3396</v>
      </c>
      <c r="E461" s="97">
        <v>2460</v>
      </c>
      <c r="F461" s="7">
        <v>400</v>
      </c>
      <c r="G461" s="7">
        <f t="shared" si="50"/>
        <v>2060</v>
      </c>
      <c r="H461" s="98">
        <v>0</v>
      </c>
      <c r="I461" s="7">
        <v>0</v>
      </c>
      <c r="J461" s="7"/>
      <c r="K461" s="99">
        <f t="shared" si="55"/>
        <v>6406</v>
      </c>
      <c r="L461" s="7">
        <v>300</v>
      </c>
      <c r="M461" s="7">
        <v>0</v>
      </c>
      <c r="N461" s="7">
        <v>0</v>
      </c>
      <c r="O461" s="7">
        <v>0</v>
      </c>
      <c r="P461" s="7">
        <v>4727.0366922846788</v>
      </c>
      <c r="Q461" s="7">
        <v>4658.4037061053223</v>
      </c>
      <c r="R461" s="113">
        <f t="shared" si="51"/>
        <v>0.13938165230613278</v>
      </c>
      <c r="S461" s="113">
        <f t="shared" si="52"/>
        <v>0.16260162601626016</v>
      </c>
      <c r="T461" s="113">
        <f t="shared" si="53"/>
        <v>0</v>
      </c>
      <c r="U461" s="113">
        <f t="shared" si="54"/>
        <v>0.10066109277413098</v>
      </c>
    </row>
    <row r="462" spans="1:21" x14ac:dyDescent="0.45">
      <c r="A462" s="95">
        <v>45022</v>
      </c>
      <c r="B462" s="96">
        <v>3946</v>
      </c>
      <c r="C462" s="7">
        <v>850</v>
      </c>
      <c r="D462" s="7">
        <f t="shared" si="49"/>
        <v>3096</v>
      </c>
      <c r="E462" s="97">
        <v>2460</v>
      </c>
      <c r="F462" s="7">
        <v>400</v>
      </c>
      <c r="G462" s="7">
        <f t="shared" si="50"/>
        <v>2060</v>
      </c>
      <c r="H462" s="98">
        <v>0</v>
      </c>
      <c r="I462" s="7">
        <v>0</v>
      </c>
      <c r="J462" s="7"/>
      <c r="K462" s="99">
        <f t="shared" si="55"/>
        <v>6406</v>
      </c>
      <c r="L462" s="7">
        <v>180</v>
      </c>
      <c r="M462" s="7">
        <v>0</v>
      </c>
      <c r="N462" s="7">
        <v>0</v>
      </c>
      <c r="O462" s="7">
        <v>0</v>
      </c>
      <c r="P462" s="7">
        <v>4727.0366922846788</v>
      </c>
      <c r="Q462" s="7">
        <v>3597.9087064453229</v>
      </c>
      <c r="R462" s="113">
        <f t="shared" si="51"/>
        <v>0.21540800810947794</v>
      </c>
      <c r="S462" s="113">
        <f t="shared" si="52"/>
        <v>0.16260162601626016</v>
      </c>
      <c r="T462" s="113">
        <f t="shared" si="53"/>
        <v>0</v>
      </c>
      <c r="U462" s="113">
        <f t="shared" si="54"/>
        <v>0.12600321137524603</v>
      </c>
    </row>
    <row r="463" spans="1:21" x14ac:dyDescent="0.45">
      <c r="A463" s="95">
        <v>45023</v>
      </c>
      <c r="B463" s="96">
        <v>3946</v>
      </c>
      <c r="C463" s="7">
        <v>850</v>
      </c>
      <c r="D463" s="7">
        <f t="shared" si="49"/>
        <v>3096</v>
      </c>
      <c r="E463" s="97">
        <v>2460</v>
      </c>
      <c r="F463" s="7">
        <v>400</v>
      </c>
      <c r="G463" s="7">
        <f t="shared" si="50"/>
        <v>2060</v>
      </c>
      <c r="H463" s="98">
        <v>0</v>
      </c>
      <c r="I463" s="7">
        <v>0</v>
      </c>
      <c r="J463" s="7"/>
      <c r="K463" s="99">
        <f t="shared" si="55"/>
        <v>6406</v>
      </c>
      <c r="L463" s="7">
        <v>180</v>
      </c>
      <c r="M463" s="7">
        <v>0</v>
      </c>
      <c r="N463" s="7">
        <v>0</v>
      </c>
      <c r="O463" s="7">
        <v>0</v>
      </c>
      <c r="P463" s="7">
        <v>4727.0366922846788</v>
      </c>
      <c r="Q463" s="7">
        <v>3593.3516590253225</v>
      </c>
      <c r="R463" s="113">
        <f t="shared" si="51"/>
        <v>0.21540800810947794</v>
      </c>
      <c r="S463" s="113">
        <f t="shared" si="52"/>
        <v>0.16260162601626016</v>
      </c>
      <c r="T463" s="113">
        <f t="shared" si="53"/>
        <v>0</v>
      </c>
      <c r="U463" s="113">
        <f t="shared" si="54"/>
        <v>0.12600321137524603</v>
      </c>
    </row>
    <row r="464" spans="1:21" x14ac:dyDescent="0.45">
      <c r="A464" s="95">
        <v>45024</v>
      </c>
      <c r="B464" s="96">
        <v>3946</v>
      </c>
      <c r="C464" s="7">
        <v>850</v>
      </c>
      <c r="D464" s="7">
        <f t="shared" si="49"/>
        <v>3096</v>
      </c>
      <c r="E464" s="97">
        <v>2460</v>
      </c>
      <c r="F464" s="7">
        <v>400</v>
      </c>
      <c r="G464" s="7">
        <f t="shared" si="50"/>
        <v>2060</v>
      </c>
      <c r="H464" s="98">
        <v>0</v>
      </c>
      <c r="I464" s="7">
        <v>0</v>
      </c>
      <c r="J464" s="7"/>
      <c r="K464" s="99">
        <f t="shared" si="55"/>
        <v>6406</v>
      </c>
      <c r="L464" s="7">
        <v>180</v>
      </c>
      <c r="M464" s="7">
        <v>0</v>
      </c>
      <c r="N464" s="7">
        <v>0</v>
      </c>
      <c r="O464" s="7">
        <v>0</v>
      </c>
      <c r="P464" s="7">
        <v>4727.0366922846788</v>
      </c>
      <c r="Q464" s="7">
        <v>3593.3516590253225</v>
      </c>
      <c r="R464" s="113">
        <f t="shared" si="51"/>
        <v>0.21540800810947794</v>
      </c>
      <c r="S464" s="113">
        <f t="shared" si="52"/>
        <v>0.16260162601626016</v>
      </c>
      <c r="T464" s="113">
        <f t="shared" si="53"/>
        <v>0</v>
      </c>
      <c r="U464" s="113">
        <f t="shared" si="54"/>
        <v>0.12600321137524603</v>
      </c>
    </row>
    <row r="465" spans="1:21" x14ac:dyDescent="0.45">
      <c r="A465" s="95">
        <v>45025</v>
      </c>
      <c r="B465" s="96">
        <v>3946</v>
      </c>
      <c r="C465" s="7">
        <v>850</v>
      </c>
      <c r="D465" s="7">
        <f t="shared" si="49"/>
        <v>3096</v>
      </c>
      <c r="E465" s="97">
        <v>2460</v>
      </c>
      <c r="F465" s="7">
        <v>400</v>
      </c>
      <c r="G465" s="7">
        <f t="shared" si="50"/>
        <v>2060</v>
      </c>
      <c r="H465" s="98">
        <v>0</v>
      </c>
      <c r="I465" s="7">
        <v>0</v>
      </c>
      <c r="J465" s="7"/>
      <c r="K465" s="99">
        <f t="shared" si="55"/>
        <v>6406</v>
      </c>
      <c r="L465" s="7">
        <v>180</v>
      </c>
      <c r="M465" s="7">
        <v>0</v>
      </c>
      <c r="N465" s="7">
        <v>0</v>
      </c>
      <c r="O465" s="7">
        <v>0</v>
      </c>
      <c r="P465" s="7">
        <v>4727.0366922846788</v>
      </c>
      <c r="Q465" s="7">
        <v>3593.3516590253225</v>
      </c>
      <c r="R465" s="113">
        <f t="shared" si="51"/>
        <v>0.21540800810947794</v>
      </c>
      <c r="S465" s="113">
        <f t="shared" si="52"/>
        <v>0.16260162601626016</v>
      </c>
      <c r="T465" s="113">
        <f t="shared" si="53"/>
        <v>0</v>
      </c>
      <c r="U465" s="113">
        <f t="shared" si="54"/>
        <v>0.12600321137524603</v>
      </c>
    </row>
    <row r="466" spans="1:21" x14ac:dyDescent="0.45">
      <c r="A466" s="95">
        <v>45026</v>
      </c>
      <c r="B466" s="96">
        <v>3946</v>
      </c>
      <c r="C466" s="7">
        <v>850</v>
      </c>
      <c r="D466" s="7">
        <f t="shared" si="49"/>
        <v>3096</v>
      </c>
      <c r="E466" s="97">
        <v>2460</v>
      </c>
      <c r="F466" s="7">
        <v>400</v>
      </c>
      <c r="G466" s="7">
        <f t="shared" si="50"/>
        <v>2060</v>
      </c>
      <c r="H466" s="98">
        <v>0</v>
      </c>
      <c r="I466" s="7">
        <v>0</v>
      </c>
      <c r="J466" s="7"/>
      <c r="K466" s="99">
        <f t="shared" si="55"/>
        <v>6406</v>
      </c>
      <c r="L466" s="7">
        <v>180</v>
      </c>
      <c r="M466" s="7">
        <v>0</v>
      </c>
      <c r="N466" s="7">
        <v>0</v>
      </c>
      <c r="O466" s="7">
        <v>0</v>
      </c>
      <c r="P466" s="7">
        <v>4727.0366922846788</v>
      </c>
      <c r="Q466" s="7">
        <v>3469.2233077153219</v>
      </c>
      <c r="R466" s="113">
        <f t="shared" si="51"/>
        <v>0.21540800810947794</v>
      </c>
      <c r="S466" s="113">
        <f t="shared" si="52"/>
        <v>0.16260162601626016</v>
      </c>
      <c r="T466" s="113">
        <f t="shared" si="53"/>
        <v>0</v>
      </c>
      <c r="U466" s="113">
        <f t="shared" si="54"/>
        <v>0.12600321137524603</v>
      </c>
    </row>
    <row r="467" spans="1:21" x14ac:dyDescent="0.45">
      <c r="A467" s="95">
        <v>45027</v>
      </c>
      <c r="B467" s="96">
        <v>3946</v>
      </c>
      <c r="C467" s="7">
        <v>850</v>
      </c>
      <c r="D467" s="7">
        <f t="shared" si="49"/>
        <v>3096</v>
      </c>
      <c r="E467" s="97">
        <v>2460</v>
      </c>
      <c r="F467" s="7">
        <v>400</v>
      </c>
      <c r="G467" s="7">
        <f t="shared" si="50"/>
        <v>2060</v>
      </c>
      <c r="H467" s="98">
        <v>0</v>
      </c>
      <c r="I467" s="7">
        <v>0</v>
      </c>
      <c r="J467" s="7"/>
      <c r="K467" s="99">
        <f t="shared" si="55"/>
        <v>6406</v>
      </c>
      <c r="L467" s="7">
        <v>180</v>
      </c>
      <c r="M467" s="7">
        <v>0</v>
      </c>
      <c r="N467" s="7">
        <v>0</v>
      </c>
      <c r="O467" s="7">
        <v>0</v>
      </c>
      <c r="P467" s="7">
        <v>4727.0366922846788</v>
      </c>
      <c r="Q467" s="7">
        <v>3268.3643051953227</v>
      </c>
      <c r="R467" s="113">
        <f t="shared" si="51"/>
        <v>0.21540800810947794</v>
      </c>
      <c r="S467" s="113">
        <f t="shared" si="52"/>
        <v>0.16260162601626016</v>
      </c>
      <c r="T467" s="113">
        <f t="shared" si="53"/>
        <v>0</v>
      </c>
      <c r="U467" s="113">
        <f t="shared" si="54"/>
        <v>0.12600321137524603</v>
      </c>
    </row>
    <row r="468" spans="1:21" x14ac:dyDescent="0.45">
      <c r="A468" s="95">
        <v>45028</v>
      </c>
      <c r="B468" s="96">
        <v>3886</v>
      </c>
      <c r="C468" s="7">
        <v>850</v>
      </c>
      <c r="D468" s="7">
        <f t="shared" si="49"/>
        <v>3036</v>
      </c>
      <c r="E468" s="97">
        <v>2460</v>
      </c>
      <c r="F468" s="7">
        <v>400</v>
      </c>
      <c r="G468" s="7">
        <f t="shared" si="50"/>
        <v>2060</v>
      </c>
      <c r="H468" s="98">
        <v>0</v>
      </c>
      <c r="I468" s="7">
        <v>0</v>
      </c>
      <c r="J468" s="7"/>
      <c r="K468" s="99">
        <f t="shared" si="55"/>
        <v>6346</v>
      </c>
      <c r="L468" s="7">
        <v>180</v>
      </c>
      <c r="M468" s="7">
        <v>0</v>
      </c>
      <c r="N468" s="7">
        <v>0</v>
      </c>
      <c r="O468" s="7">
        <v>0</v>
      </c>
      <c r="P468" s="7">
        <v>4727.0366922846788</v>
      </c>
      <c r="Q468" s="7">
        <v>3778.7528247653222</v>
      </c>
      <c r="R468" s="113">
        <f t="shared" si="51"/>
        <v>0.21873391662377767</v>
      </c>
      <c r="S468" s="113">
        <f t="shared" si="52"/>
        <v>0.16260162601626016</v>
      </c>
      <c r="T468" s="113">
        <f t="shared" si="53"/>
        <v>0</v>
      </c>
      <c r="U468" s="113">
        <f t="shared" si="54"/>
        <v>0.12711184754667929</v>
      </c>
    </row>
    <row r="469" spans="1:21" x14ac:dyDescent="0.45">
      <c r="A469" s="95">
        <v>45029</v>
      </c>
      <c r="B469" s="96">
        <v>3886</v>
      </c>
      <c r="C469" s="7">
        <v>750</v>
      </c>
      <c r="D469" s="7">
        <f t="shared" si="49"/>
        <v>3136</v>
      </c>
      <c r="E469" s="97">
        <v>2460</v>
      </c>
      <c r="F469" s="7">
        <v>400</v>
      </c>
      <c r="G469" s="7">
        <f t="shared" si="50"/>
        <v>2060</v>
      </c>
      <c r="H469" s="98">
        <v>0</v>
      </c>
      <c r="I469" s="7">
        <v>0</v>
      </c>
      <c r="J469" s="7"/>
      <c r="K469" s="99">
        <f t="shared" si="55"/>
        <v>6346</v>
      </c>
      <c r="L469" s="7">
        <v>200</v>
      </c>
      <c r="M469" s="7"/>
      <c r="N469" s="7">
        <v>0</v>
      </c>
      <c r="O469" s="7">
        <v>0</v>
      </c>
      <c r="P469" s="7">
        <v>4727.0366922846788</v>
      </c>
      <c r="Q469" s="7">
        <v>4038.2597925553227</v>
      </c>
      <c r="R469" s="113">
        <f t="shared" si="51"/>
        <v>0.19300051466803911</v>
      </c>
      <c r="S469" s="113">
        <f t="shared" si="52"/>
        <v>0.16260162601626016</v>
      </c>
      <c r="T469" s="113">
        <f t="shared" si="53"/>
        <v>0</v>
      </c>
      <c r="U469" s="113">
        <f t="shared" si="54"/>
        <v>0.11853404689476643</v>
      </c>
    </row>
    <row r="470" spans="1:21" x14ac:dyDescent="0.45">
      <c r="A470" s="95">
        <v>45030</v>
      </c>
      <c r="B470" s="96">
        <v>3886</v>
      </c>
      <c r="C470" s="7">
        <v>750</v>
      </c>
      <c r="D470" s="7">
        <f t="shared" si="49"/>
        <v>3136</v>
      </c>
      <c r="E470" s="97">
        <v>2460</v>
      </c>
      <c r="F470" s="7">
        <v>400</v>
      </c>
      <c r="G470" s="7">
        <f t="shared" si="50"/>
        <v>2060</v>
      </c>
      <c r="H470" s="98">
        <v>0</v>
      </c>
      <c r="I470" s="7">
        <v>0</v>
      </c>
      <c r="J470" s="7"/>
      <c r="K470" s="99">
        <f t="shared" si="55"/>
        <v>6346</v>
      </c>
      <c r="L470" s="7">
        <v>200</v>
      </c>
      <c r="M470" s="7"/>
      <c r="N470" s="7">
        <v>0</v>
      </c>
      <c r="O470" s="7">
        <v>0</v>
      </c>
      <c r="P470" s="7">
        <v>4727.0366922846788</v>
      </c>
      <c r="Q470" s="7">
        <v>4276.6521186453219</v>
      </c>
      <c r="R470" s="113">
        <f t="shared" si="51"/>
        <v>0.19300051466803911</v>
      </c>
      <c r="S470" s="113">
        <f t="shared" si="52"/>
        <v>0.16260162601626016</v>
      </c>
      <c r="T470" s="113">
        <f t="shared" si="53"/>
        <v>0</v>
      </c>
      <c r="U470" s="113">
        <f t="shared" si="54"/>
        <v>0.11853404689476643</v>
      </c>
    </row>
    <row r="471" spans="1:21" x14ac:dyDescent="0.45">
      <c r="A471" s="95">
        <v>45031</v>
      </c>
      <c r="B471" s="96">
        <v>3886</v>
      </c>
      <c r="C471" s="7">
        <v>750</v>
      </c>
      <c r="D471" s="7">
        <f t="shared" si="49"/>
        <v>3136</v>
      </c>
      <c r="E471" s="97">
        <v>2460</v>
      </c>
      <c r="F471" s="7">
        <v>400</v>
      </c>
      <c r="G471" s="7">
        <f t="shared" si="50"/>
        <v>2060</v>
      </c>
      <c r="H471" s="98">
        <v>0</v>
      </c>
      <c r="I471" s="7">
        <v>0</v>
      </c>
      <c r="J471" s="7"/>
      <c r="K471" s="99">
        <f t="shared" si="55"/>
        <v>6346</v>
      </c>
      <c r="L471" s="7">
        <v>200</v>
      </c>
      <c r="M471" s="7"/>
      <c r="N471" s="7">
        <v>0</v>
      </c>
      <c r="O471" s="7">
        <v>0</v>
      </c>
      <c r="P471" s="7">
        <v>4727.0366922846788</v>
      </c>
      <c r="Q471" s="7">
        <v>4276.6521186453219</v>
      </c>
      <c r="R471" s="113">
        <f t="shared" si="51"/>
        <v>0.19300051466803911</v>
      </c>
      <c r="S471" s="113">
        <f t="shared" si="52"/>
        <v>0.16260162601626016</v>
      </c>
      <c r="T471" s="113">
        <f t="shared" si="53"/>
        <v>0</v>
      </c>
      <c r="U471" s="113">
        <f t="shared" si="54"/>
        <v>0.11853404689476643</v>
      </c>
    </row>
    <row r="472" spans="1:21" x14ac:dyDescent="0.45">
      <c r="A472" s="95">
        <v>45032</v>
      </c>
      <c r="B472" s="96">
        <v>3886</v>
      </c>
      <c r="C472" s="7">
        <v>750</v>
      </c>
      <c r="D472" s="7">
        <f t="shared" si="49"/>
        <v>3136</v>
      </c>
      <c r="E472" s="97">
        <v>2460</v>
      </c>
      <c r="F472" s="7">
        <v>400</v>
      </c>
      <c r="G472" s="7">
        <f t="shared" si="50"/>
        <v>2060</v>
      </c>
      <c r="H472" s="98">
        <v>0</v>
      </c>
      <c r="I472" s="7">
        <v>0</v>
      </c>
      <c r="J472" s="7"/>
      <c r="K472" s="99">
        <f t="shared" si="55"/>
        <v>6346</v>
      </c>
      <c r="L472" s="7">
        <v>200</v>
      </c>
      <c r="M472" s="7"/>
      <c r="N472" s="7">
        <v>0</v>
      </c>
      <c r="O472" s="7">
        <v>0</v>
      </c>
      <c r="P472" s="7">
        <v>4727.0366922846788</v>
      </c>
      <c r="Q472" s="7">
        <v>4276.6521186453219</v>
      </c>
      <c r="R472" s="113">
        <f t="shared" si="51"/>
        <v>0.19300051466803911</v>
      </c>
      <c r="S472" s="113">
        <f t="shared" si="52"/>
        <v>0.16260162601626016</v>
      </c>
      <c r="T472" s="113">
        <f t="shared" si="53"/>
        <v>0</v>
      </c>
      <c r="U472" s="113">
        <f t="shared" si="54"/>
        <v>0.11853404689476643</v>
      </c>
    </row>
    <row r="473" spans="1:21" x14ac:dyDescent="0.45">
      <c r="A473" s="95">
        <v>45033</v>
      </c>
      <c r="B473" s="96">
        <v>3886</v>
      </c>
      <c r="C473" s="7">
        <v>750</v>
      </c>
      <c r="D473" s="7">
        <f t="shared" si="49"/>
        <v>3136</v>
      </c>
      <c r="E473" s="97">
        <v>2460</v>
      </c>
      <c r="F473" s="7">
        <v>400</v>
      </c>
      <c r="G473" s="7">
        <f t="shared" si="50"/>
        <v>2060</v>
      </c>
      <c r="H473" s="98">
        <v>0</v>
      </c>
      <c r="I473" s="7">
        <v>0</v>
      </c>
      <c r="J473" s="7"/>
      <c r="K473" s="99">
        <f t="shared" si="55"/>
        <v>6346</v>
      </c>
      <c r="L473" s="7">
        <v>200</v>
      </c>
      <c r="M473" s="7"/>
      <c r="N473" s="7">
        <v>0</v>
      </c>
      <c r="O473" s="7">
        <v>0</v>
      </c>
      <c r="P473" s="7">
        <v>4786.9734609894904</v>
      </c>
      <c r="Q473" s="7">
        <v>4784.9099331305088</v>
      </c>
      <c r="R473" s="113">
        <f t="shared" si="51"/>
        <v>0.19300051466803911</v>
      </c>
      <c r="S473" s="113">
        <f t="shared" si="52"/>
        <v>0.16260162601626016</v>
      </c>
      <c r="T473" s="113">
        <f t="shared" si="53"/>
        <v>0</v>
      </c>
      <c r="U473" s="113">
        <f t="shared" si="54"/>
        <v>0.11853404689476643</v>
      </c>
    </row>
    <row r="474" spans="1:21" x14ac:dyDescent="0.45">
      <c r="A474" s="95">
        <v>45034</v>
      </c>
      <c r="B474" s="96">
        <v>3886</v>
      </c>
      <c r="C474" s="7">
        <v>750</v>
      </c>
      <c r="D474" s="7">
        <f t="shared" si="49"/>
        <v>3136</v>
      </c>
      <c r="E474" s="97">
        <v>2460</v>
      </c>
      <c r="F474" s="7">
        <v>400</v>
      </c>
      <c r="G474" s="7">
        <f t="shared" si="50"/>
        <v>2060</v>
      </c>
      <c r="H474" s="98">
        <v>0</v>
      </c>
      <c r="I474" s="7">
        <v>0</v>
      </c>
      <c r="J474" s="7"/>
      <c r="K474" s="99">
        <f t="shared" si="55"/>
        <v>6346</v>
      </c>
      <c r="L474" s="7">
        <v>200</v>
      </c>
      <c r="M474" s="7"/>
      <c r="N474" s="7">
        <v>0</v>
      </c>
      <c r="O474" s="7">
        <v>0</v>
      </c>
      <c r="P474" s="7">
        <v>4786.9734609894904</v>
      </c>
      <c r="Q474" s="7">
        <v>5102.7263599405105</v>
      </c>
      <c r="R474" s="113">
        <f t="shared" si="51"/>
        <v>0.19300051466803911</v>
      </c>
      <c r="S474" s="113">
        <f t="shared" si="52"/>
        <v>0.16260162601626016</v>
      </c>
      <c r="T474" s="113">
        <f t="shared" si="53"/>
        <v>0</v>
      </c>
      <c r="U474" s="113">
        <f t="shared" si="54"/>
        <v>0.11853404689476643</v>
      </c>
    </row>
    <row r="475" spans="1:21" x14ac:dyDescent="0.45">
      <c r="A475" s="95">
        <v>45035</v>
      </c>
      <c r="B475" s="96">
        <v>4186</v>
      </c>
      <c r="C475" s="7">
        <v>750</v>
      </c>
      <c r="D475" s="7">
        <f t="shared" si="49"/>
        <v>3436</v>
      </c>
      <c r="E475" s="97">
        <v>2460</v>
      </c>
      <c r="F475" s="7">
        <v>400</v>
      </c>
      <c r="G475" s="7">
        <f t="shared" si="50"/>
        <v>2060</v>
      </c>
      <c r="H475" s="98">
        <v>0</v>
      </c>
      <c r="I475" s="7">
        <v>0</v>
      </c>
      <c r="J475" s="7"/>
      <c r="K475" s="99">
        <f t="shared" si="55"/>
        <v>6646</v>
      </c>
      <c r="L475" s="7">
        <v>200</v>
      </c>
      <c r="M475" s="7"/>
      <c r="N475" s="7">
        <v>0</v>
      </c>
      <c r="O475" s="7">
        <v>0</v>
      </c>
      <c r="P475" s="7">
        <v>4786.9734609894904</v>
      </c>
      <c r="Q475" s="7">
        <v>6006.1855557805084</v>
      </c>
      <c r="R475" s="113">
        <f t="shared" si="51"/>
        <v>0.17916865742952701</v>
      </c>
      <c r="S475" s="113">
        <f t="shared" si="52"/>
        <v>0.16260162601626016</v>
      </c>
      <c r="T475" s="113">
        <f t="shared" si="53"/>
        <v>0</v>
      </c>
      <c r="U475" s="113">
        <f t="shared" si="54"/>
        <v>0.11392342781526239</v>
      </c>
    </row>
    <row r="476" spans="1:21" x14ac:dyDescent="0.45">
      <c r="A476" s="95">
        <v>45036</v>
      </c>
      <c r="B476" s="96">
        <v>4186</v>
      </c>
      <c r="C476" s="7">
        <v>850</v>
      </c>
      <c r="D476" s="7">
        <f t="shared" si="49"/>
        <v>3336</v>
      </c>
      <c r="E476" s="97">
        <v>2460</v>
      </c>
      <c r="F476" s="7">
        <v>400</v>
      </c>
      <c r="G476" s="7">
        <f t="shared" si="50"/>
        <v>2060</v>
      </c>
      <c r="H476" s="98">
        <v>0</v>
      </c>
      <c r="I476" s="7">
        <v>0</v>
      </c>
      <c r="J476" s="7"/>
      <c r="K476" s="99">
        <f t="shared" si="55"/>
        <v>6646</v>
      </c>
      <c r="L476" s="7">
        <v>200</v>
      </c>
      <c r="M476" s="7"/>
      <c r="N476" s="7">
        <v>0</v>
      </c>
      <c r="O476" s="7">
        <v>0</v>
      </c>
      <c r="P476" s="7">
        <v>4786.9734609894904</v>
      </c>
      <c r="Q476" s="7">
        <v>5370.7165772805092</v>
      </c>
      <c r="R476" s="113">
        <f t="shared" si="51"/>
        <v>0.20305781175346393</v>
      </c>
      <c r="S476" s="113">
        <f t="shared" si="52"/>
        <v>0.16260162601626016</v>
      </c>
      <c r="T476" s="113">
        <f t="shared" si="53"/>
        <v>0</v>
      </c>
      <c r="U476" s="113">
        <f t="shared" si="54"/>
        <v>0.1218864792565747</v>
      </c>
    </row>
    <row r="477" spans="1:21" x14ac:dyDescent="0.45">
      <c r="A477" s="95">
        <v>45037</v>
      </c>
      <c r="B477" s="96">
        <v>4186</v>
      </c>
      <c r="C477" s="7">
        <v>850</v>
      </c>
      <c r="D477" s="7">
        <f t="shared" si="49"/>
        <v>3336</v>
      </c>
      <c r="E477" s="97">
        <v>2460</v>
      </c>
      <c r="F477" s="7">
        <v>400</v>
      </c>
      <c r="G477" s="7">
        <f t="shared" si="50"/>
        <v>2060</v>
      </c>
      <c r="H477" s="98">
        <v>0</v>
      </c>
      <c r="I477" s="7">
        <v>0</v>
      </c>
      <c r="J477" s="7"/>
      <c r="K477" s="99">
        <f t="shared" si="55"/>
        <v>6646</v>
      </c>
      <c r="L477" s="7">
        <v>200</v>
      </c>
      <c r="M477" s="7"/>
      <c r="N477" s="7">
        <v>0</v>
      </c>
      <c r="O477" s="7">
        <v>0</v>
      </c>
      <c r="P477" s="7">
        <v>4786.9734609894904</v>
      </c>
      <c r="Q477" s="7">
        <v>5370.7165772805092</v>
      </c>
      <c r="R477" s="113">
        <f t="shared" si="51"/>
        <v>0.20305781175346393</v>
      </c>
      <c r="S477" s="113">
        <f t="shared" si="52"/>
        <v>0.16260162601626016</v>
      </c>
      <c r="T477" s="113">
        <f t="shared" si="53"/>
        <v>0</v>
      </c>
      <c r="U477" s="113">
        <f t="shared" si="54"/>
        <v>0.1218864792565747</v>
      </c>
    </row>
    <row r="478" spans="1:21" x14ac:dyDescent="0.45">
      <c r="A478" s="95">
        <v>45038</v>
      </c>
      <c r="B478" s="96">
        <v>4186</v>
      </c>
      <c r="C478" s="7">
        <v>850</v>
      </c>
      <c r="D478" s="7">
        <f t="shared" si="49"/>
        <v>3336</v>
      </c>
      <c r="E478" s="97">
        <v>2460</v>
      </c>
      <c r="F478" s="7">
        <v>400</v>
      </c>
      <c r="G478" s="7">
        <f t="shared" si="50"/>
        <v>2060</v>
      </c>
      <c r="H478" s="98">
        <v>0</v>
      </c>
      <c r="I478" s="7">
        <v>0</v>
      </c>
      <c r="J478" s="7"/>
      <c r="K478" s="99">
        <f t="shared" si="55"/>
        <v>6646</v>
      </c>
      <c r="L478" s="7">
        <v>200</v>
      </c>
      <c r="M478" s="7"/>
      <c r="N478" s="7">
        <v>0</v>
      </c>
      <c r="O478" s="7">
        <v>0</v>
      </c>
      <c r="P478" s="7">
        <v>4786.9734609894904</v>
      </c>
      <c r="Q478" s="7">
        <v>5370.7165772805092</v>
      </c>
      <c r="R478" s="113">
        <f t="shared" si="51"/>
        <v>0.20305781175346393</v>
      </c>
      <c r="S478" s="113">
        <f t="shared" si="52"/>
        <v>0.16260162601626016</v>
      </c>
      <c r="T478" s="113">
        <f t="shared" si="53"/>
        <v>0</v>
      </c>
      <c r="U478" s="113">
        <f t="shared" si="54"/>
        <v>0.1218864792565747</v>
      </c>
    </row>
    <row r="479" spans="1:21" x14ac:dyDescent="0.45">
      <c r="A479" s="95">
        <v>45039</v>
      </c>
      <c r="B479" s="96">
        <v>4186</v>
      </c>
      <c r="C479" s="7">
        <v>850</v>
      </c>
      <c r="D479" s="7">
        <f t="shared" si="49"/>
        <v>3336</v>
      </c>
      <c r="E479" s="97">
        <v>2460</v>
      </c>
      <c r="F479" s="7">
        <v>400</v>
      </c>
      <c r="G479" s="7">
        <f t="shared" si="50"/>
        <v>2060</v>
      </c>
      <c r="H479" s="98">
        <v>0</v>
      </c>
      <c r="I479" s="7">
        <v>0</v>
      </c>
      <c r="J479" s="7"/>
      <c r="K479" s="99">
        <f t="shared" si="55"/>
        <v>6646</v>
      </c>
      <c r="L479" s="7">
        <v>200</v>
      </c>
      <c r="M479" s="7"/>
      <c r="N479" s="7">
        <v>0</v>
      </c>
      <c r="O479" s="7">
        <v>0</v>
      </c>
      <c r="P479" s="7">
        <v>4786.9734609894904</v>
      </c>
      <c r="Q479" s="7">
        <v>5370.7165772805092</v>
      </c>
      <c r="R479" s="113">
        <f t="shared" si="51"/>
        <v>0.20305781175346393</v>
      </c>
      <c r="S479" s="113">
        <f t="shared" si="52"/>
        <v>0.16260162601626016</v>
      </c>
      <c r="T479" s="113">
        <f t="shared" si="53"/>
        <v>0</v>
      </c>
      <c r="U479" s="113">
        <f t="shared" si="54"/>
        <v>0.1218864792565747</v>
      </c>
    </row>
    <row r="480" spans="1:21" x14ac:dyDescent="0.45">
      <c r="A480" s="95">
        <v>45040</v>
      </c>
      <c r="B480" s="96">
        <v>4186</v>
      </c>
      <c r="C480" s="7">
        <v>850</v>
      </c>
      <c r="D480" s="7">
        <f t="shared" si="49"/>
        <v>3336</v>
      </c>
      <c r="E480" s="97">
        <v>2460</v>
      </c>
      <c r="F480" s="7">
        <v>400</v>
      </c>
      <c r="G480" s="7">
        <f t="shared" si="50"/>
        <v>2060</v>
      </c>
      <c r="H480" s="98">
        <v>0</v>
      </c>
      <c r="I480" s="7">
        <v>0</v>
      </c>
      <c r="J480" s="7"/>
      <c r="K480" s="99">
        <f t="shared" si="55"/>
        <v>6646</v>
      </c>
      <c r="L480" s="7">
        <v>200</v>
      </c>
      <c r="M480" s="7"/>
      <c r="N480" s="7">
        <v>0</v>
      </c>
      <c r="O480" s="7">
        <v>0</v>
      </c>
      <c r="P480" s="7">
        <v>4786.9734609894904</v>
      </c>
      <c r="Q480" s="7">
        <v>5370.7165772805092</v>
      </c>
      <c r="R480" s="113">
        <f t="shared" si="51"/>
        <v>0.20305781175346393</v>
      </c>
      <c r="S480" s="113">
        <f t="shared" si="52"/>
        <v>0.16260162601626016</v>
      </c>
      <c r="T480" s="113">
        <f t="shared" si="53"/>
        <v>0</v>
      </c>
      <c r="U480" s="113">
        <f t="shared" si="54"/>
        <v>0.1218864792565747</v>
      </c>
    </row>
    <row r="481" spans="1:21" x14ac:dyDescent="0.45">
      <c r="A481" s="95">
        <v>45041</v>
      </c>
      <c r="B481" s="96">
        <v>4186</v>
      </c>
      <c r="C481" s="7">
        <v>850</v>
      </c>
      <c r="D481" s="7">
        <f t="shared" si="49"/>
        <v>3336</v>
      </c>
      <c r="E481" s="97">
        <v>2340</v>
      </c>
      <c r="F481" s="7">
        <v>800</v>
      </c>
      <c r="G481" s="7">
        <f t="shared" si="50"/>
        <v>1540</v>
      </c>
      <c r="H481" s="98">
        <v>0</v>
      </c>
      <c r="I481" s="7">
        <v>0</v>
      </c>
      <c r="J481" s="7"/>
      <c r="K481" s="99">
        <f t="shared" si="55"/>
        <v>6526</v>
      </c>
      <c r="L481" s="7">
        <v>200</v>
      </c>
      <c r="M481" s="7"/>
      <c r="N481" s="7">
        <v>0</v>
      </c>
      <c r="O481" s="7">
        <v>0</v>
      </c>
      <c r="P481" s="7">
        <v>4786.9734609894904</v>
      </c>
      <c r="Q481" s="7">
        <v>4259.2976652005091</v>
      </c>
      <c r="R481" s="113">
        <f t="shared" si="51"/>
        <v>0.20305781175346393</v>
      </c>
      <c r="S481" s="113">
        <f t="shared" si="52"/>
        <v>0.34188034188034189</v>
      </c>
      <c r="T481" s="113">
        <f t="shared" si="53"/>
        <v>0</v>
      </c>
      <c r="U481" s="113">
        <f t="shared" si="54"/>
        <v>0.18164605121126862</v>
      </c>
    </row>
    <row r="482" spans="1:21" x14ac:dyDescent="0.45">
      <c r="A482" s="95">
        <v>45042</v>
      </c>
      <c r="B482" s="96">
        <v>4276</v>
      </c>
      <c r="C482" s="7">
        <v>850</v>
      </c>
      <c r="D482" s="7">
        <f t="shared" si="49"/>
        <v>3426</v>
      </c>
      <c r="E482" s="97">
        <v>2340</v>
      </c>
      <c r="F482" s="7">
        <v>800</v>
      </c>
      <c r="G482" s="7">
        <f t="shared" si="50"/>
        <v>1540</v>
      </c>
      <c r="H482" s="98">
        <v>0</v>
      </c>
      <c r="I482" s="7">
        <v>0</v>
      </c>
      <c r="J482" s="7"/>
      <c r="K482" s="99">
        <f t="shared" si="55"/>
        <v>6616</v>
      </c>
      <c r="L482" s="7">
        <v>200</v>
      </c>
      <c r="M482" s="7"/>
      <c r="N482" s="7">
        <v>0</v>
      </c>
      <c r="O482" s="7">
        <v>0</v>
      </c>
      <c r="P482" s="7">
        <v>4786.9734609894904</v>
      </c>
      <c r="Q482" s="7">
        <v>4743.88476449051</v>
      </c>
      <c r="R482" s="113">
        <f t="shared" si="51"/>
        <v>0.19878391019644528</v>
      </c>
      <c r="S482" s="113">
        <f t="shared" si="52"/>
        <v>0.34188034188034189</v>
      </c>
      <c r="T482" s="113">
        <f t="shared" si="53"/>
        <v>0</v>
      </c>
      <c r="U482" s="113">
        <f t="shared" si="54"/>
        <v>0.18022141735892905</v>
      </c>
    </row>
    <row r="483" spans="1:21" x14ac:dyDescent="0.45">
      <c r="A483" s="95">
        <v>45043</v>
      </c>
      <c r="B483" s="96">
        <v>4276</v>
      </c>
      <c r="C483" s="7">
        <v>850</v>
      </c>
      <c r="D483" s="7">
        <f t="shared" si="49"/>
        <v>3426</v>
      </c>
      <c r="E483" s="97">
        <v>2390</v>
      </c>
      <c r="F483" s="7">
        <v>800</v>
      </c>
      <c r="G483" s="7">
        <f t="shared" si="50"/>
        <v>1590</v>
      </c>
      <c r="H483" s="98">
        <v>0</v>
      </c>
      <c r="I483" s="7">
        <v>0</v>
      </c>
      <c r="J483" s="7"/>
      <c r="K483" s="99">
        <f t="shared" si="55"/>
        <v>6666</v>
      </c>
      <c r="L483" s="7">
        <v>200</v>
      </c>
      <c r="M483" s="7"/>
      <c r="N483" s="7">
        <v>0</v>
      </c>
      <c r="O483" s="7">
        <v>0</v>
      </c>
      <c r="P483" s="7">
        <v>4786.9734609894904</v>
      </c>
      <c r="Q483" s="7">
        <v>4619.5077558105095</v>
      </c>
      <c r="R483" s="113">
        <f t="shared" si="51"/>
        <v>0.19878391019644528</v>
      </c>
      <c r="S483" s="113">
        <f t="shared" si="52"/>
        <v>0.33472803347280333</v>
      </c>
      <c r="T483" s="113">
        <f t="shared" si="53"/>
        <v>0</v>
      </c>
      <c r="U483" s="113">
        <f t="shared" si="54"/>
        <v>0.17783731455641619</v>
      </c>
    </row>
    <row r="484" spans="1:21" x14ac:dyDescent="0.45">
      <c r="A484" s="95">
        <v>45044</v>
      </c>
      <c r="B484" s="96">
        <v>4276</v>
      </c>
      <c r="C484" s="7">
        <v>850</v>
      </c>
      <c r="D484" s="7">
        <f t="shared" si="49"/>
        <v>3426</v>
      </c>
      <c r="E484" s="97">
        <v>2390</v>
      </c>
      <c r="F484" s="7">
        <v>800</v>
      </c>
      <c r="G484" s="7">
        <f t="shared" si="50"/>
        <v>1590</v>
      </c>
      <c r="H484" s="98">
        <v>0</v>
      </c>
      <c r="I484" s="7">
        <v>0</v>
      </c>
      <c r="J484" s="7"/>
      <c r="K484" s="99">
        <f t="shared" si="55"/>
        <v>6666</v>
      </c>
      <c r="L484" s="7">
        <v>200</v>
      </c>
      <c r="M484" s="7"/>
      <c r="N484" s="7">
        <v>0</v>
      </c>
      <c r="O484" s="7">
        <v>0</v>
      </c>
      <c r="P484" s="7">
        <v>4786.9734609894904</v>
      </c>
      <c r="Q484" s="7">
        <v>4803.5947672405091</v>
      </c>
      <c r="R484" s="113">
        <f t="shared" si="51"/>
        <v>0.19878391019644528</v>
      </c>
      <c r="S484" s="113">
        <f t="shared" si="52"/>
        <v>0.33472803347280333</v>
      </c>
      <c r="T484" s="113">
        <f t="shared" si="53"/>
        <v>0</v>
      </c>
      <c r="U484" s="113">
        <f t="shared" si="54"/>
        <v>0.17783731455641619</v>
      </c>
    </row>
    <row r="485" spans="1:21" x14ac:dyDescent="0.45">
      <c r="A485" s="95">
        <v>45045</v>
      </c>
      <c r="B485" s="96">
        <v>4276</v>
      </c>
      <c r="C485" s="7">
        <v>850</v>
      </c>
      <c r="D485" s="7">
        <f t="shared" si="49"/>
        <v>3426</v>
      </c>
      <c r="E485" s="97">
        <v>2390</v>
      </c>
      <c r="F485" s="7">
        <v>800</v>
      </c>
      <c r="G485" s="7">
        <f t="shared" si="50"/>
        <v>1590</v>
      </c>
      <c r="H485" s="98">
        <v>0</v>
      </c>
      <c r="I485" s="7">
        <v>0</v>
      </c>
      <c r="J485" s="7"/>
      <c r="K485" s="99">
        <f t="shared" si="55"/>
        <v>6666</v>
      </c>
      <c r="L485" s="7">
        <v>200</v>
      </c>
      <c r="M485" s="7"/>
      <c r="N485" s="7">
        <v>0</v>
      </c>
      <c r="O485" s="7">
        <v>0</v>
      </c>
      <c r="P485" s="7">
        <v>4786.9734609894904</v>
      </c>
      <c r="Q485" s="7">
        <v>4803.5947672405091</v>
      </c>
      <c r="R485" s="113">
        <f t="shared" si="51"/>
        <v>0.19878391019644528</v>
      </c>
      <c r="S485" s="113">
        <f t="shared" si="52"/>
        <v>0.33472803347280333</v>
      </c>
      <c r="T485" s="113">
        <f t="shared" si="53"/>
        <v>0</v>
      </c>
      <c r="U485" s="113">
        <f t="shared" si="54"/>
        <v>0.17783731455641619</v>
      </c>
    </row>
    <row r="486" spans="1:21" x14ac:dyDescent="0.45">
      <c r="A486" s="95">
        <v>45046</v>
      </c>
      <c r="B486" s="96">
        <v>4276</v>
      </c>
      <c r="C486" s="7">
        <v>850</v>
      </c>
      <c r="D486" s="7">
        <f t="shared" si="49"/>
        <v>3426</v>
      </c>
      <c r="E486" s="97">
        <v>2390</v>
      </c>
      <c r="F486" s="7">
        <v>800</v>
      </c>
      <c r="G486" s="7">
        <f t="shared" si="50"/>
        <v>1590</v>
      </c>
      <c r="H486" s="98">
        <v>0</v>
      </c>
      <c r="I486" s="7">
        <v>0</v>
      </c>
      <c r="J486" s="7"/>
      <c r="K486" s="99">
        <f t="shared" si="55"/>
        <v>6666</v>
      </c>
      <c r="L486" s="7">
        <v>200</v>
      </c>
      <c r="M486" s="7"/>
      <c r="N486" s="7">
        <v>0</v>
      </c>
      <c r="O486" s="7">
        <v>0</v>
      </c>
      <c r="P486" s="7">
        <v>4786.9734609894904</v>
      </c>
      <c r="Q486" s="7">
        <v>4803.5947672405091</v>
      </c>
      <c r="R486" s="113">
        <f t="shared" si="51"/>
        <v>0.19878391019644528</v>
      </c>
      <c r="S486" s="113">
        <f t="shared" si="52"/>
        <v>0.33472803347280333</v>
      </c>
      <c r="T486" s="113">
        <f t="shared" si="53"/>
        <v>0</v>
      </c>
      <c r="U486" s="113">
        <f t="shared" si="54"/>
        <v>0.17783731455641619</v>
      </c>
    </row>
    <row r="487" spans="1:21" x14ac:dyDescent="0.45">
      <c r="A487" s="95">
        <v>45047</v>
      </c>
      <c r="B487" s="96">
        <v>4276</v>
      </c>
      <c r="C487" s="7">
        <v>850</v>
      </c>
      <c r="D487" s="7">
        <f t="shared" si="49"/>
        <v>3426</v>
      </c>
      <c r="E487" s="97">
        <v>2390</v>
      </c>
      <c r="F487" s="7">
        <v>800</v>
      </c>
      <c r="G487" s="7">
        <f t="shared" si="50"/>
        <v>1590</v>
      </c>
      <c r="H487" s="98">
        <v>0</v>
      </c>
      <c r="I487" s="7">
        <v>0</v>
      </c>
      <c r="J487" s="7"/>
      <c r="K487" s="99">
        <f t="shared" si="55"/>
        <v>6666</v>
      </c>
      <c r="L487" s="7">
        <v>200</v>
      </c>
      <c r="M487" s="7"/>
      <c r="N487" s="7">
        <v>0</v>
      </c>
      <c r="O487" s="7">
        <v>0</v>
      </c>
      <c r="P487" s="7">
        <v>4786.9734609894904</v>
      </c>
      <c r="Q487" s="7">
        <v>4803.5947672405091</v>
      </c>
      <c r="R487" s="113">
        <f t="shared" si="51"/>
        <v>0.19878391019644528</v>
      </c>
      <c r="S487" s="113">
        <f t="shared" si="52"/>
        <v>0.33472803347280333</v>
      </c>
      <c r="T487" s="113">
        <f t="shared" si="53"/>
        <v>0</v>
      </c>
      <c r="U487" s="113">
        <f t="shared" si="54"/>
        <v>0.17783731455641619</v>
      </c>
    </row>
    <row r="488" spans="1:21" x14ac:dyDescent="0.45">
      <c r="A488" s="95">
        <v>45048</v>
      </c>
      <c r="B488" s="96">
        <v>4276</v>
      </c>
      <c r="C488" s="7">
        <v>850</v>
      </c>
      <c r="D488" s="7">
        <f t="shared" si="49"/>
        <v>3426</v>
      </c>
      <c r="E488" s="97">
        <v>2390</v>
      </c>
      <c r="F488" s="7">
        <v>800</v>
      </c>
      <c r="G488" s="7">
        <f t="shared" si="50"/>
        <v>1590</v>
      </c>
      <c r="H488" s="98">
        <v>0</v>
      </c>
      <c r="I488" s="7">
        <v>0</v>
      </c>
      <c r="J488" s="7"/>
      <c r="K488" s="99">
        <f t="shared" si="55"/>
        <v>6666</v>
      </c>
      <c r="L488" s="7">
        <v>200</v>
      </c>
      <c r="M488" s="7"/>
      <c r="N488" s="7">
        <v>0</v>
      </c>
      <c r="O488" s="7">
        <v>0</v>
      </c>
      <c r="P488" s="7">
        <v>4786.9734609894904</v>
      </c>
      <c r="Q488" s="7">
        <v>5052.4953163705104</v>
      </c>
      <c r="R488" s="113">
        <f t="shared" si="51"/>
        <v>0.19878391019644528</v>
      </c>
      <c r="S488" s="113">
        <f t="shared" si="52"/>
        <v>0.33472803347280333</v>
      </c>
      <c r="T488" s="113">
        <f t="shared" si="53"/>
        <v>0</v>
      </c>
      <c r="U488" s="113">
        <f t="shared" si="54"/>
        <v>0.17783731455641619</v>
      </c>
    </row>
    <row r="489" spans="1:21" x14ac:dyDescent="0.45">
      <c r="A489" s="95">
        <v>45049</v>
      </c>
      <c r="B489" s="96">
        <v>4176</v>
      </c>
      <c r="C489" s="7">
        <v>850</v>
      </c>
      <c r="D489" s="7">
        <f t="shared" si="49"/>
        <v>3326</v>
      </c>
      <c r="E489" s="97">
        <v>2390</v>
      </c>
      <c r="F489" s="7">
        <v>800</v>
      </c>
      <c r="G489" s="7">
        <f t="shared" si="50"/>
        <v>1590</v>
      </c>
      <c r="H489" s="98">
        <v>0</v>
      </c>
      <c r="I489" s="7">
        <v>0</v>
      </c>
      <c r="J489" s="7"/>
      <c r="K489" s="99">
        <f t="shared" si="55"/>
        <v>6566</v>
      </c>
      <c r="L489" s="7">
        <v>200</v>
      </c>
      <c r="M489" s="7"/>
      <c r="N489" s="7">
        <v>0</v>
      </c>
      <c r="O489" s="7">
        <v>0</v>
      </c>
      <c r="P489" s="7">
        <v>4786.9734609894904</v>
      </c>
      <c r="Q489" s="7">
        <v>5487.2819465205102</v>
      </c>
      <c r="R489" s="113">
        <f t="shared" si="51"/>
        <v>0.20354406130268199</v>
      </c>
      <c r="S489" s="113">
        <f t="shared" si="52"/>
        <v>0.33472803347280333</v>
      </c>
      <c r="T489" s="113">
        <f t="shared" si="53"/>
        <v>0</v>
      </c>
      <c r="U489" s="113">
        <f t="shared" si="54"/>
        <v>0.17942403159182843</v>
      </c>
    </row>
    <row r="490" spans="1:21" x14ac:dyDescent="0.45">
      <c r="A490" s="95">
        <v>45050</v>
      </c>
      <c r="B490" s="96">
        <v>4176</v>
      </c>
      <c r="C490" s="7">
        <v>750</v>
      </c>
      <c r="D490" s="7">
        <f t="shared" si="49"/>
        <v>3426</v>
      </c>
      <c r="E490" s="97">
        <v>2390</v>
      </c>
      <c r="F490" s="7">
        <v>800</v>
      </c>
      <c r="G490" s="7">
        <f t="shared" si="50"/>
        <v>1590</v>
      </c>
      <c r="H490" s="98">
        <v>0</v>
      </c>
      <c r="I490" s="7">
        <v>0</v>
      </c>
      <c r="J490" s="7"/>
      <c r="K490" s="99">
        <f t="shared" si="55"/>
        <v>6566</v>
      </c>
      <c r="L490" s="7">
        <v>220</v>
      </c>
      <c r="M490" s="7">
        <v>1700</v>
      </c>
      <c r="N490" s="7">
        <v>0</v>
      </c>
      <c r="O490" s="7">
        <v>0</v>
      </c>
      <c r="P490" s="7">
        <v>4786.9734609894904</v>
      </c>
      <c r="Q490" s="7">
        <v>3044.2520602505097</v>
      </c>
      <c r="R490" s="113">
        <f t="shared" si="51"/>
        <v>0.17959770114942528</v>
      </c>
      <c r="S490" s="113">
        <f t="shared" si="52"/>
        <v>0.33472803347280333</v>
      </c>
      <c r="T490" s="113">
        <f t="shared" si="53"/>
        <v>0</v>
      </c>
      <c r="U490" s="113">
        <f t="shared" si="54"/>
        <v>0.17144191154074287</v>
      </c>
    </row>
    <row r="491" spans="1:21" x14ac:dyDescent="0.45">
      <c r="A491" s="95">
        <v>45051</v>
      </c>
      <c r="B491" s="96">
        <v>4176</v>
      </c>
      <c r="C491" s="7">
        <v>750</v>
      </c>
      <c r="D491" s="7">
        <f t="shared" si="49"/>
        <v>3426</v>
      </c>
      <c r="E491" s="97">
        <v>2390</v>
      </c>
      <c r="F491" s="7">
        <v>800</v>
      </c>
      <c r="G491" s="7">
        <f t="shared" si="50"/>
        <v>1590</v>
      </c>
      <c r="H491" s="98">
        <v>0</v>
      </c>
      <c r="I491" s="7">
        <v>0</v>
      </c>
      <c r="J491" s="7"/>
      <c r="K491" s="99">
        <f t="shared" si="55"/>
        <v>6566</v>
      </c>
      <c r="L491" s="7">
        <v>220</v>
      </c>
      <c r="M491" s="7">
        <v>1700</v>
      </c>
      <c r="N491" s="7">
        <v>0</v>
      </c>
      <c r="O491" s="7">
        <v>0</v>
      </c>
      <c r="P491" s="7">
        <v>4786.9734609894904</v>
      </c>
      <c r="Q491" s="7">
        <v>3103.953443490509</v>
      </c>
      <c r="R491" s="113">
        <f t="shared" si="51"/>
        <v>0.17959770114942528</v>
      </c>
      <c r="S491" s="113">
        <f t="shared" si="52"/>
        <v>0.33472803347280333</v>
      </c>
      <c r="T491" s="113">
        <f t="shared" si="53"/>
        <v>0</v>
      </c>
      <c r="U491" s="113">
        <f t="shared" si="54"/>
        <v>0.17144191154074287</v>
      </c>
    </row>
    <row r="492" spans="1:21" x14ac:dyDescent="0.45">
      <c r="A492" s="95">
        <v>45052</v>
      </c>
      <c r="B492" s="96">
        <v>4176</v>
      </c>
      <c r="C492" s="7">
        <v>750</v>
      </c>
      <c r="D492" s="7">
        <f t="shared" si="49"/>
        <v>3426</v>
      </c>
      <c r="E492" s="97">
        <v>2390</v>
      </c>
      <c r="F492" s="7">
        <v>800</v>
      </c>
      <c r="G492" s="7">
        <f t="shared" si="50"/>
        <v>1590</v>
      </c>
      <c r="H492" s="98">
        <v>0</v>
      </c>
      <c r="I492" s="7">
        <v>0</v>
      </c>
      <c r="J492" s="7"/>
      <c r="K492" s="99">
        <f t="shared" si="55"/>
        <v>6566</v>
      </c>
      <c r="L492" s="7">
        <v>220</v>
      </c>
      <c r="M492" s="7">
        <v>1700</v>
      </c>
      <c r="N492" s="7">
        <v>0</v>
      </c>
      <c r="O492" s="7">
        <v>0</v>
      </c>
      <c r="P492" s="7">
        <v>4786.9734609894904</v>
      </c>
      <c r="Q492" s="7">
        <v>3103.953443490509</v>
      </c>
      <c r="R492" s="113">
        <f t="shared" si="51"/>
        <v>0.17959770114942528</v>
      </c>
      <c r="S492" s="113">
        <f t="shared" si="52"/>
        <v>0.33472803347280333</v>
      </c>
      <c r="T492" s="113">
        <f t="shared" si="53"/>
        <v>0</v>
      </c>
      <c r="U492" s="113">
        <f t="shared" si="54"/>
        <v>0.17144191154074287</v>
      </c>
    </row>
    <row r="493" spans="1:21" x14ac:dyDescent="0.45">
      <c r="A493" s="95">
        <v>45053</v>
      </c>
      <c r="B493" s="96">
        <v>4176</v>
      </c>
      <c r="C493" s="7">
        <v>750</v>
      </c>
      <c r="D493" s="7">
        <f t="shared" si="49"/>
        <v>3426</v>
      </c>
      <c r="E493" s="97">
        <v>2390</v>
      </c>
      <c r="F493" s="7">
        <v>800</v>
      </c>
      <c r="G493" s="7">
        <f t="shared" si="50"/>
        <v>1590</v>
      </c>
      <c r="H493" s="98">
        <v>0</v>
      </c>
      <c r="I493" s="7">
        <v>0</v>
      </c>
      <c r="J493" s="7"/>
      <c r="K493" s="99">
        <f t="shared" si="55"/>
        <v>6566</v>
      </c>
      <c r="L493" s="7">
        <v>220</v>
      </c>
      <c r="M493" s="7">
        <v>1700</v>
      </c>
      <c r="N493" s="7">
        <v>0</v>
      </c>
      <c r="O493" s="7">
        <v>0</v>
      </c>
      <c r="P493" s="7">
        <v>4786.9734609894904</v>
      </c>
      <c r="Q493" s="7">
        <v>3103.953443490509</v>
      </c>
      <c r="R493" s="113">
        <f t="shared" si="51"/>
        <v>0.17959770114942528</v>
      </c>
      <c r="S493" s="113">
        <f t="shared" si="52"/>
        <v>0.33472803347280333</v>
      </c>
      <c r="T493" s="113">
        <f t="shared" si="53"/>
        <v>0</v>
      </c>
      <c r="U493" s="113">
        <f t="shared" si="54"/>
        <v>0.17144191154074287</v>
      </c>
    </row>
    <row r="494" spans="1:21" x14ac:dyDescent="0.45">
      <c r="A494" s="95">
        <v>45054</v>
      </c>
      <c r="B494" s="96">
        <v>4176</v>
      </c>
      <c r="C494" s="7">
        <v>750</v>
      </c>
      <c r="D494" s="7">
        <f t="shared" si="49"/>
        <v>3426</v>
      </c>
      <c r="E494" s="97">
        <v>2390</v>
      </c>
      <c r="F494" s="7">
        <v>800</v>
      </c>
      <c r="G494" s="7">
        <f t="shared" si="50"/>
        <v>1590</v>
      </c>
      <c r="H494" s="98">
        <v>0</v>
      </c>
      <c r="I494" s="7">
        <v>0</v>
      </c>
      <c r="J494" s="7"/>
      <c r="K494" s="99">
        <f t="shared" si="55"/>
        <v>6566</v>
      </c>
      <c r="L494" s="7">
        <v>220</v>
      </c>
      <c r="M494" s="7">
        <v>1700</v>
      </c>
      <c r="N494" s="7">
        <v>0</v>
      </c>
      <c r="O494" s="7">
        <v>0</v>
      </c>
      <c r="P494" s="7">
        <v>4786.9734609894904</v>
      </c>
      <c r="Q494" s="7">
        <v>2839.4186008205093</v>
      </c>
      <c r="R494" s="113">
        <f t="shared" si="51"/>
        <v>0.17959770114942528</v>
      </c>
      <c r="S494" s="113">
        <f t="shared" si="52"/>
        <v>0.33472803347280333</v>
      </c>
      <c r="T494" s="113">
        <f t="shared" si="53"/>
        <v>0</v>
      </c>
      <c r="U494" s="113">
        <f t="shared" si="54"/>
        <v>0.17144191154074287</v>
      </c>
    </row>
    <row r="495" spans="1:21" x14ac:dyDescent="0.45">
      <c r="A495" s="95">
        <v>45055</v>
      </c>
      <c r="B495" s="96">
        <v>4176</v>
      </c>
      <c r="C495" s="7">
        <v>750</v>
      </c>
      <c r="D495" s="7">
        <f t="shared" si="49"/>
        <v>3426</v>
      </c>
      <c r="E495" s="97">
        <v>2390</v>
      </c>
      <c r="F495" s="7">
        <v>800</v>
      </c>
      <c r="G495" s="7">
        <f t="shared" si="50"/>
        <v>1590</v>
      </c>
      <c r="H495" s="98">
        <v>0</v>
      </c>
      <c r="I495" s="7">
        <v>0</v>
      </c>
      <c r="J495" s="7"/>
      <c r="K495" s="99">
        <f t="shared" si="55"/>
        <v>6566</v>
      </c>
      <c r="L495" s="7">
        <v>220</v>
      </c>
      <c r="M495" s="7">
        <v>1700</v>
      </c>
      <c r="N495" s="7">
        <v>0</v>
      </c>
      <c r="O495" s="7">
        <v>0</v>
      </c>
      <c r="P495" s="7">
        <v>4786.9734609894904</v>
      </c>
      <c r="Q495" s="7">
        <v>3113.9569610105095</v>
      </c>
      <c r="R495" s="113">
        <f t="shared" si="51"/>
        <v>0.17959770114942528</v>
      </c>
      <c r="S495" s="113">
        <f t="shared" si="52"/>
        <v>0.33472803347280333</v>
      </c>
      <c r="T495" s="113">
        <f t="shared" si="53"/>
        <v>0</v>
      </c>
      <c r="U495" s="113">
        <f t="shared" si="54"/>
        <v>0.17144191154074287</v>
      </c>
    </row>
    <row r="496" spans="1:21" x14ac:dyDescent="0.45">
      <c r="A496" s="95">
        <v>45056</v>
      </c>
      <c r="B496" s="96">
        <v>4396</v>
      </c>
      <c r="C496" s="7">
        <v>750</v>
      </c>
      <c r="D496" s="7">
        <f t="shared" si="49"/>
        <v>3646</v>
      </c>
      <c r="E496" s="97">
        <v>2390</v>
      </c>
      <c r="F496" s="7">
        <v>800</v>
      </c>
      <c r="G496" s="7">
        <f t="shared" si="50"/>
        <v>1590</v>
      </c>
      <c r="H496" s="98">
        <v>0</v>
      </c>
      <c r="I496" s="7">
        <v>0</v>
      </c>
      <c r="J496" s="7"/>
      <c r="K496" s="99">
        <f t="shared" si="55"/>
        <v>6786</v>
      </c>
      <c r="L496" s="7">
        <v>220</v>
      </c>
      <c r="M496" s="7">
        <v>1700</v>
      </c>
      <c r="N496" s="7">
        <v>0</v>
      </c>
      <c r="O496" s="7">
        <v>0</v>
      </c>
      <c r="P496" s="7">
        <v>4786.9734609894904</v>
      </c>
      <c r="Q496" s="7">
        <v>2770.1484066105099</v>
      </c>
      <c r="R496" s="113">
        <f t="shared" si="51"/>
        <v>0.17060964513193813</v>
      </c>
      <c r="S496" s="113">
        <f t="shared" si="52"/>
        <v>0.33472803347280333</v>
      </c>
      <c r="T496" s="113">
        <f t="shared" si="53"/>
        <v>0</v>
      </c>
      <c r="U496" s="113">
        <f t="shared" si="54"/>
        <v>0.16844589286824715</v>
      </c>
    </row>
    <row r="497" spans="1:21" x14ac:dyDescent="0.45">
      <c r="A497" s="95">
        <v>45057</v>
      </c>
      <c r="B497" s="96">
        <v>4396</v>
      </c>
      <c r="C497" s="7">
        <v>1130</v>
      </c>
      <c r="D497" s="7">
        <f t="shared" si="49"/>
        <v>3266</v>
      </c>
      <c r="E497" s="97">
        <v>2390</v>
      </c>
      <c r="F497" s="7">
        <v>800</v>
      </c>
      <c r="G497" s="7">
        <f t="shared" si="50"/>
        <v>1590</v>
      </c>
      <c r="H497" s="98">
        <v>0</v>
      </c>
      <c r="I497" s="7">
        <v>0</v>
      </c>
      <c r="J497" s="7"/>
      <c r="K497" s="99">
        <f t="shared" si="55"/>
        <v>6786</v>
      </c>
      <c r="L497" s="7">
        <v>400</v>
      </c>
      <c r="M497" s="7">
        <v>1500</v>
      </c>
      <c r="N497" s="7">
        <v>0</v>
      </c>
      <c r="O497" s="7">
        <v>0</v>
      </c>
      <c r="P497" s="7">
        <v>4786.9734609894904</v>
      </c>
      <c r="Q497" s="7">
        <v>2264.2516926905096</v>
      </c>
      <c r="R497" s="113">
        <f t="shared" si="51"/>
        <v>0.2570518653321201</v>
      </c>
      <c r="S497" s="113">
        <f t="shared" si="52"/>
        <v>0.33472803347280333</v>
      </c>
      <c r="T497" s="113">
        <f t="shared" si="53"/>
        <v>0</v>
      </c>
      <c r="U497" s="113">
        <f t="shared" si="54"/>
        <v>0.1972599662683078</v>
      </c>
    </row>
    <row r="498" spans="1:21" x14ac:dyDescent="0.45">
      <c r="A498" s="95">
        <v>45058</v>
      </c>
      <c r="B498" s="96">
        <v>4396</v>
      </c>
      <c r="C498" s="7">
        <v>1130</v>
      </c>
      <c r="D498" s="7">
        <f t="shared" si="49"/>
        <v>3266</v>
      </c>
      <c r="E498" s="97">
        <v>2390</v>
      </c>
      <c r="F498" s="7">
        <v>800</v>
      </c>
      <c r="G498" s="7">
        <f t="shared" si="50"/>
        <v>1590</v>
      </c>
      <c r="H498" s="98">
        <v>0</v>
      </c>
      <c r="I498" s="7">
        <v>0</v>
      </c>
      <c r="J498" s="7"/>
      <c r="K498" s="99">
        <f t="shared" si="55"/>
        <v>6786</v>
      </c>
      <c r="L498" s="7">
        <v>400</v>
      </c>
      <c r="M498" s="7">
        <v>1500</v>
      </c>
      <c r="N498" s="7">
        <v>0</v>
      </c>
      <c r="O498" s="7">
        <v>0</v>
      </c>
      <c r="P498" s="7">
        <v>4786.9734609894904</v>
      </c>
      <c r="Q498" s="7">
        <v>2831.2691651205096</v>
      </c>
      <c r="R498" s="113">
        <f t="shared" si="51"/>
        <v>0.2570518653321201</v>
      </c>
      <c r="S498" s="113">
        <f t="shared" si="52"/>
        <v>0.33472803347280333</v>
      </c>
      <c r="T498" s="113">
        <f t="shared" si="53"/>
        <v>0</v>
      </c>
      <c r="U498" s="113">
        <f t="shared" si="54"/>
        <v>0.1972599662683078</v>
      </c>
    </row>
    <row r="499" spans="1:21" x14ac:dyDescent="0.45">
      <c r="A499" s="95">
        <v>45059</v>
      </c>
      <c r="B499" s="96">
        <v>4396</v>
      </c>
      <c r="C499" s="7">
        <v>1130</v>
      </c>
      <c r="D499" s="7">
        <f t="shared" si="49"/>
        <v>3266</v>
      </c>
      <c r="E499" s="97">
        <v>2390</v>
      </c>
      <c r="F499" s="7">
        <v>800</v>
      </c>
      <c r="G499" s="7">
        <f t="shared" si="50"/>
        <v>1590</v>
      </c>
      <c r="H499" s="98">
        <v>0</v>
      </c>
      <c r="I499" s="7">
        <v>0</v>
      </c>
      <c r="J499" s="7"/>
      <c r="K499" s="99">
        <f t="shared" si="55"/>
        <v>6786</v>
      </c>
      <c r="L499" s="7">
        <v>400</v>
      </c>
      <c r="M499" s="7">
        <v>1500</v>
      </c>
      <c r="N499" s="7">
        <v>0</v>
      </c>
      <c r="O499" s="7">
        <v>0</v>
      </c>
      <c r="P499" s="7">
        <v>4786.9734609894904</v>
      </c>
      <c r="Q499" s="7">
        <v>2831.2691651205096</v>
      </c>
      <c r="R499" s="113">
        <f t="shared" si="51"/>
        <v>0.2570518653321201</v>
      </c>
      <c r="S499" s="113">
        <f t="shared" si="52"/>
        <v>0.33472803347280333</v>
      </c>
      <c r="T499" s="113">
        <f t="shared" si="53"/>
        <v>0</v>
      </c>
      <c r="U499" s="113">
        <f t="shared" si="54"/>
        <v>0.1972599662683078</v>
      </c>
    </row>
    <row r="500" spans="1:21" x14ac:dyDescent="0.45">
      <c r="A500" s="95">
        <v>45060</v>
      </c>
      <c r="B500" s="96">
        <v>4396</v>
      </c>
      <c r="C500" s="7">
        <v>1130</v>
      </c>
      <c r="D500" s="7">
        <f t="shared" si="49"/>
        <v>3266</v>
      </c>
      <c r="E500" s="97">
        <v>2390</v>
      </c>
      <c r="F500" s="7">
        <v>800</v>
      </c>
      <c r="G500" s="7">
        <f t="shared" si="50"/>
        <v>1590</v>
      </c>
      <c r="H500" s="98">
        <v>0</v>
      </c>
      <c r="I500" s="7">
        <v>0</v>
      </c>
      <c r="J500" s="7"/>
      <c r="K500" s="99">
        <f t="shared" si="55"/>
        <v>6786</v>
      </c>
      <c r="L500" s="7">
        <v>400</v>
      </c>
      <c r="M500" s="7">
        <v>1500</v>
      </c>
      <c r="N500" s="7">
        <v>0</v>
      </c>
      <c r="O500" s="7">
        <v>0</v>
      </c>
      <c r="P500" s="7">
        <v>4786.9734609894904</v>
      </c>
      <c r="Q500" s="7">
        <v>2831.2691651205096</v>
      </c>
      <c r="R500" s="113">
        <f t="shared" si="51"/>
        <v>0.2570518653321201</v>
      </c>
      <c r="S500" s="113">
        <f t="shared" si="52"/>
        <v>0.33472803347280333</v>
      </c>
      <c r="T500" s="113">
        <f t="shared" si="53"/>
        <v>0</v>
      </c>
      <c r="U500" s="113">
        <f t="shared" si="54"/>
        <v>0.1972599662683078</v>
      </c>
    </row>
    <row r="501" spans="1:21" x14ac:dyDescent="0.45">
      <c r="A501" s="95">
        <v>45061</v>
      </c>
      <c r="B501" s="96">
        <v>4396</v>
      </c>
      <c r="C501" s="7">
        <v>1130</v>
      </c>
      <c r="D501" s="7">
        <f t="shared" si="49"/>
        <v>3266</v>
      </c>
      <c r="E501" s="97">
        <v>2390</v>
      </c>
      <c r="F501" s="7">
        <v>800</v>
      </c>
      <c r="G501" s="7">
        <f t="shared" si="50"/>
        <v>1590</v>
      </c>
      <c r="H501" s="98">
        <v>0</v>
      </c>
      <c r="I501" s="7">
        <v>0</v>
      </c>
      <c r="J501" s="7"/>
      <c r="K501" s="99">
        <f t="shared" si="55"/>
        <v>6786</v>
      </c>
      <c r="L501" s="7">
        <v>400</v>
      </c>
      <c r="M501" s="7">
        <v>1500</v>
      </c>
      <c r="N501" s="7">
        <v>0</v>
      </c>
      <c r="O501" s="7">
        <v>0</v>
      </c>
      <c r="P501" s="7">
        <v>4872.8669744430754</v>
      </c>
      <c r="Q501" s="7">
        <v>2509.912201316924</v>
      </c>
      <c r="R501" s="113">
        <f t="shared" si="51"/>
        <v>0.2570518653321201</v>
      </c>
      <c r="S501" s="113">
        <f t="shared" si="52"/>
        <v>0.33472803347280333</v>
      </c>
      <c r="T501" s="113">
        <f t="shared" si="53"/>
        <v>0</v>
      </c>
      <c r="U501" s="113">
        <f t="shared" si="54"/>
        <v>0.1972599662683078</v>
      </c>
    </row>
    <row r="502" spans="1:21" x14ac:dyDescent="0.45">
      <c r="A502" s="95">
        <v>45062</v>
      </c>
      <c r="B502" s="96">
        <v>4396</v>
      </c>
      <c r="C502" s="7">
        <v>1130</v>
      </c>
      <c r="D502" s="7">
        <f t="shared" si="49"/>
        <v>3266</v>
      </c>
      <c r="E502" s="97">
        <v>2390</v>
      </c>
      <c r="F502" s="7">
        <v>800</v>
      </c>
      <c r="G502" s="7">
        <f t="shared" si="50"/>
        <v>1590</v>
      </c>
      <c r="H502" s="98">
        <v>0</v>
      </c>
      <c r="I502" s="7">
        <v>0</v>
      </c>
      <c r="J502" s="7"/>
      <c r="K502" s="99">
        <f t="shared" si="55"/>
        <v>6786</v>
      </c>
      <c r="L502" s="7">
        <v>400</v>
      </c>
      <c r="M502" s="7">
        <v>1500</v>
      </c>
      <c r="N502" s="7">
        <v>0</v>
      </c>
      <c r="O502" s="7">
        <v>0</v>
      </c>
      <c r="P502" s="7">
        <v>4872.8669744430754</v>
      </c>
      <c r="Q502" s="7">
        <v>3040.2098308069239</v>
      </c>
      <c r="R502" s="113">
        <f t="shared" si="51"/>
        <v>0.2570518653321201</v>
      </c>
      <c r="S502" s="113">
        <f t="shared" si="52"/>
        <v>0.33472803347280333</v>
      </c>
      <c r="T502" s="113">
        <f t="shared" si="53"/>
        <v>0</v>
      </c>
      <c r="U502" s="113">
        <f t="shared" si="54"/>
        <v>0.1972599662683078</v>
      </c>
    </row>
    <row r="503" spans="1:21" x14ac:dyDescent="0.45">
      <c r="A503" s="95">
        <v>45063</v>
      </c>
      <c r="B503" s="96">
        <v>4436</v>
      </c>
      <c r="C503" s="7">
        <v>1130</v>
      </c>
      <c r="D503" s="7">
        <f t="shared" si="49"/>
        <v>3306</v>
      </c>
      <c r="E503" s="97">
        <v>2390</v>
      </c>
      <c r="F503" s="7">
        <v>800</v>
      </c>
      <c r="G503" s="7">
        <f t="shared" si="50"/>
        <v>1590</v>
      </c>
      <c r="H503" s="98">
        <v>0</v>
      </c>
      <c r="I503" s="7">
        <v>0</v>
      </c>
      <c r="J503" s="7"/>
      <c r="K503" s="99">
        <f t="shared" si="55"/>
        <v>6826</v>
      </c>
      <c r="L503" s="7">
        <v>400</v>
      </c>
      <c r="M503" s="7">
        <v>1500</v>
      </c>
      <c r="N503" s="7">
        <v>0</v>
      </c>
      <c r="O503" s="7">
        <v>0</v>
      </c>
      <c r="P503" s="7">
        <v>4872.8669744430754</v>
      </c>
      <c r="Q503" s="7">
        <v>2953.1445896869236</v>
      </c>
      <c r="R503" s="113">
        <f t="shared" si="51"/>
        <v>0.25473399458972046</v>
      </c>
      <c r="S503" s="113">
        <f t="shared" si="52"/>
        <v>0.33472803347280333</v>
      </c>
      <c r="T503" s="113">
        <f t="shared" si="53"/>
        <v>0</v>
      </c>
      <c r="U503" s="113">
        <f t="shared" si="54"/>
        <v>0.19648734268750792</v>
      </c>
    </row>
    <row r="504" spans="1:21" x14ac:dyDescent="0.45">
      <c r="A504" s="95">
        <v>45064</v>
      </c>
      <c r="B504" s="96">
        <v>4436</v>
      </c>
      <c r="C504" s="7">
        <v>1130</v>
      </c>
      <c r="D504" s="7">
        <f t="shared" si="49"/>
        <v>3306</v>
      </c>
      <c r="E504" s="97">
        <v>2390</v>
      </c>
      <c r="F504" s="7">
        <v>800</v>
      </c>
      <c r="G504" s="7">
        <f t="shared" si="50"/>
        <v>1590</v>
      </c>
      <c r="H504" s="98">
        <v>0</v>
      </c>
      <c r="I504" s="7">
        <v>0</v>
      </c>
      <c r="J504" s="7"/>
      <c r="K504" s="99">
        <f t="shared" si="55"/>
        <v>6826</v>
      </c>
      <c r="L504" s="7">
        <v>460</v>
      </c>
      <c r="M504" s="7">
        <v>1500</v>
      </c>
      <c r="N504" s="7">
        <v>0</v>
      </c>
      <c r="O504" s="7">
        <v>0</v>
      </c>
      <c r="P504" s="7">
        <v>4872.8669744430754</v>
      </c>
      <c r="Q504" s="7">
        <v>2760.3141501269238</v>
      </c>
      <c r="R504" s="113">
        <f t="shared" si="51"/>
        <v>0.25473399458972046</v>
      </c>
      <c r="S504" s="113">
        <f t="shared" si="52"/>
        <v>0.33472803347280333</v>
      </c>
      <c r="T504" s="113">
        <f t="shared" si="53"/>
        <v>0</v>
      </c>
      <c r="U504" s="113">
        <f t="shared" si="54"/>
        <v>0.19648734268750792</v>
      </c>
    </row>
    <row r="505" spans="1:21" x14ac:dyDescent="0.45">
      <c r="A505" s="95">
        <v>45065</v>
      </c>
      <c r="B505" s="96">
        <v>4436</v>
      </c>
      <c r="C505" s="7">
        <v>1130</v>
      </c>
      <c r="D505" s="7">
        <f t="shared" si="49"/>
        <v>3306</v>
      </c>
      <c r="E505" s="97">
        <v>2390</v>
      </c>
      <c r="F505" s="7">
        <v>800</v>
      </c>
      <c r="G505" s="7">
        <f t="shared" si="50"/>
        <v>1590</v>
      </c>
      <c r="H505" s="98">
        <v>0</v>
      </c>
      <c r="I505" s="7">
        <v>0</v>
      </c>
      <c r="J505" s="7"/>
      <c r="K505" s="99">
        <f t="shared" si="55"/>
        <v>6826</v>
      </c>
      <c r="L505" s="7">
        <v>460</v>
      </c>
      <c r="M505" s="7">
        <v>1500</v>
      </c>
      <c r="N505" s="7">
        <v>0</v>
      </c>
      <c r="O505" s="7">
        <v>0</v>
      </c>
      <c r="P505" s="7">
        <v>4872.8669744430754</v>
      </c>
      <c r="Q505" s="7">
        <v>2834.3340440869242</v>
      </c>
      <c r="R505" s="113">
        <f t="shared" si="51"/>
        <v>0.25473399458972046</v>
      </c>
      <c r="S505" s="113">
        <f t="shared" si="52"/>
        <v>0.33472803347280333</v>
      </c>
      <c r="T505" s="113">
        <f t="shared" si="53"/>
        <v>0</v>
      </c>
      <c r="U505" s="113">
        <f t="shared" si="54"/>
        <v>0.19648734268750792</v>
      </c>
    </row>
    <row r="506" spans="1:21" x14ac:dyDescent="0.45">
      <c r="A506" s="95">
        <v>45066</v>
      </c>
      <c r="B506" s="96">
        <v>4436</v>
      </c>
      <c r="C506" s="7">
        <v>1130</v>
      </c>
      <c r="D506" s="7">
        <f t="shared" si="49"/>
        <v>3306</v>
      </c>
      <c r="E506" s="97">
        <v>2390</v>
      </c>
      <c r="F506" s="7">
        <v>800</v>
      </c>
      <c r="G506" s="7">
        <f t="shared" si="50"/>
        <v>1590</v>
      </c>
      <c r="H506" s="98">
        <v>0</v>
      </c>
      <c r="I506" s="7">
        <v>0</v>
      </c>
      <c r="J506" s="7"/>
      <c r="K506" s="99">
        <f t="shared" si="55"/>
        <v>6826</v>
      </c>
      <c r="L506" s="7">
        <v>460</v>
      </c>
      <c r="M506" s="7">
        <v>1500</v>
      </c>
      <c r="N506" s="7">
        <v>0</v>
      </c>
      <c r="O506" s="7">
        <v>0</v>
      </c>
      <c r="P506" s="7">
        <v>4872.8669744430754</v>
      </c>
      <c r="Q506" s="7">
        <v>2834.3340440869242</v>
      </c>
      <c r="R506" s="113">
        <f t="shared" si="51"/>
        <v>0.25473399458972046</v>
      </c>
      <c r="S506" s="113">
        <f t="shared" si="52"/>
        <v>0.33472803347280333</v>
      </c>
      <c r="T506" s="113">
        <f t="shared" si="53"/>
        <v>0</v>
      </c>
      <c r="U506" s="113">
        <f t="shared" si="54"/>
        <v>0.19648734268750792</v>
      </c>
    </row>
    <row r="507" spans="1:21" x14ac:dyDescent="0.45">
      <c r="A507" s="95">
        <v>45067</v>
      </c>
      <c r="B507" s="96">
        <v>4436</v>
      </c>
      <c r="C507" s="7">
        <v>1130</v>
      </c>
      <c r="D507" s="7">
        <f t="shared" si="49"/>
        <v>3306</v>
      </c>
      <c r="E507" s="97">
        <v>2390</v>
      </c>
      <c r="F507" s="7">
        <v>800</v>
      </c>
      <c r="G507" s="7">
        <f t="shared" si="50"/>
        <v>1590</v>
      </c>
      <c r="H507" s="98">
        <v>0</v>
      </c>
      <c r="I507" s="7">
        <v>0</v>
      </c>
      <c r="J507" s="7"/>
      <c r="K507" s="99">
        <f t="shared" si="55"/>
        <v>6826</v>
      </c>
      <c r="L507" s="7">
        <v>460</v>
      </c>
      <c r="M507" s="7">
        <v>1500</v>
      </c>
      <c r="N507" s="7">
        <v>0</v>
      </c>
      <c r="O507" s="7">
        <v>0</v>
      </c>
      <c r="P507" s="7">
        <v>4872.8669744430754</v>
      </c>
      <c r="Q507" s="7">
        <v>2834.3340440869242</v>
      </c>
      <c r="R507" s="113">
        <f t="shared" si="51"/>
        <v>0.25473399458972046</v>
      </c>
      <c r="S507" s="113">
        <f t="shared" si="52"/>
        <v>0.33472803347280333</v>
      </c>
      <c r="T507" s="113">
        <f t="shared" si="53"/>
        <v>0</v>
      </c>
      <c r="U507" s="113">
        <f t="shared" si="54"/>
        <v>0.19648734268750792</v>
      </c>
    </row>
    <row r="508" spans="1:21" x14ac:dyDescent="0.45">
      <c r="A508" s="95">
        <v>45068</v>
      </c>
      <c r="B508" s="96">
        <v>4436</v>
      </c>
      <c r="C508" s="7">
        <v>1130</v>
      </c>
      <c r="D508" s="7">
        <f t="shared" si="49"/>
        <v>3306</v>
      </c>
      <c r="E508" s="97">
        <v>2390</v>
      </c>
      <c r="F508" s="7">
        <v>800</v>
      </c>
      <c r="G508" s="7">
        <f t="shared" si="50"/>
        <v>1590</v>
      </c>
      <c r="H508" s="98">
        <v>0</v>
      </c>
      <c r="I508" s="7">
        <v>0</v>
      </c>
      <c r="J508" s="7"/>
      <c r="K508" s="99">
        <f t="shared" si="55"/>
        <v>6826</v>
      </c>
      <c r="L508" s="7">
        <v>460</v>
      </c>
      <c r="M508" s="7">
        <v>1500</v>
      </c>
      <c r="N508" s="7">
        <v>0</v>
      </c>
      <c r="O508" s="7">
        <v>0</v>
      </c>
      <c r="P508" s="7">
        <v>4872.8669744430754</v>
      </c>
      <c r="Q508" s="7">
        <v>3086.5405976769243</v>
      </c>
      <c r="R508" s="113">
        <f t="shared" si="51"/>
        <v>0.25473399458972046</v>
      </c>
      <c r="S508" s="113">
        <f t="shared" si="52"/>
        <v>0.33472803347280333</v>
      </c>
      <c r="T508" s="113">
        <f t="shared" si="53"/>
        <v>0</v>
      </c>
      <c r="U508" s="113">
        <f t="shared" si="54"/>
        <v>0.19648734268750792</v>
      </c>
    </row>
    <row r="509" spans="1:21" x14ac:dyDescent="0.45">
      <c r="A509" s="95">
        <v>45069</v>
      </c>
      <c r="B509" s="96">
        <v>4436</v>
      </c>
      <c r="C509" s="7">
        <v>1130</v>
      </c>
      <c r="D509" s="7">
        <f t="shared" si="49"/>
        <v>3306</v>
      </c>
      <c r="E509" s="97">
        <v>2390</v>
      </c>
      <c r="F509" s="7">
        <v>800</v>
      </c>
      <c r="G509" s="7">
        <f t="shared" si="50"/>
        <v>1590</v>
      </c>
      <c r="H509" s="98">
        <v>0</v>
      </c>
      <c r="I509" s="7">
        <v>0</v>
      </c>
      <c r="J509" s="7"/>
      <c r="K509" s="99">
        <f t="shared" si="55"/>
        <v>6826</v>
      </c>
      <c r="L509" s="7">
        <v>460</v>
      </c>
      <c r="M509" s="7">
        <v>1500</v>
      </c>
      <c r="N509" s="7">
        <v>0</v>
      </c>
      <c r="O509" s="7">
        <v>0</v>
      </c>
      <c r="P509" s="7">
        <v>4872.8669744430754</v>
      </c>
      <c r="Q509" s="7">
        <v>3630.3802994769235</v>
      </c>
      <c r="R509" s="113">
        <f t="shared" si="51"/>
        <v>0.25473399458972046</v>
      </c>
      <c r="S509" s="113">
        <f t="shared" si="52"/>
        <v>0.33472803347280333</v>
      </c>
      <c r="T509" s="113">
        <f t="shared" si="53"/>
        <v>0</v>
      </c>
      <c r="U509" s="113">
        <f t="shared" si="54"/>
        <v>0.19648734268750792</v>
      </c>
    </row>
    <row r="510" spans="1:21" x14ac:dyDescent="0.45">
      <c r="A510" s="95">
        <v>45070</v>
      </c>
      <c r="B510" s="96">
        <v>4478</v>
      </c>
      <c r="C510" s="7">
        <v>1130</v>
      </c>
      <c r="D510" s="7">
        <f t="shared" si="49"/>
        <v>3348</v>
      </c>
      <c r="E510" s="97">
        <v>2390</v>
      </c>
      <c r="F510" s="7">
        <v>800</v>
      </c>
      <c r="G510" s="7">
        <f t="shared" si="50"/>
        <v>1590</v>
      </c>
      <c r="H510" s="98">
        <v>0</v>
      </c>
      <c r="I510" s="7">
        <v>0</v>
      </c>
      <c r="J510" s="7"/>
      <c r="K510" s="99">
        <f t="shared" si="55"/>
        <v>6868</v>
      </c>
      <c r="L510" s="7">
        <v>460</v>
      </c>
      <c r="M510" s="7">
        <v>1500</v>
      </c>
      <c r="N510" s="7">
        <v>0</v>
      </c>
      <c r="O510" s="7">
        <v>0</v>
      </c>
      <c r="P510" s="7">
        <v>4872.8669744430754</v>
      </c>
      <c r="Q510" s="7">
        <v>2939.4324444469239</v>
      </c>
      <c r="R510" s="113">
        <f t="shared" si="51"/>
        <v>0.25234479678427868</v>
      </c>
      <c r="S510" s="113">
        <f t="shared" si="52"/>
        <v>0.33472803347280333</v>
      </c>
      <c r="T510" s="113">
        <f t="shared" si="53"/>
        <v>0</v>
      </c>
      <c r="U510" s="113">
        <f t="shared" si="54"/>
        <v>0.19569094341902735</v>
      </c>
    </row>
    <row r="511" spans="1:21" x14ac:dyDescent="0.45">
      <c r="A511" s="95">
        <v>45071</v>
      </c>
      <c r="B511" s="96">
        <v>4478</v>
      </c>
      <c r="C511" s="7">
        <v>1170</v>
      </c>
      <c r="D511" s="7">
        <f t="shared" si="49"/>
        <v>3308</v>
      </c>
      <c r="E511" s="97">
        <v>2090</v>
      </c>
      <c r="F511" s="7">
        <v>400</v>
      </c>
      <c r="G511" s="7">
        <f t="shared" si="50"/>
        <v>1690</v>
      </c>
      <c r="H511" s="98">
        <v>0</v>
      </c>
      <c r="I511" s="7">
        <v>0</v>
      </c>
      <c r="J511" s="7"/>
      <c r="K511" s="99">
        <f t="shared" si="55"/>
        <v>6568</v>
      </c>
      <c r="L511" s="7">
        <v>460</v>
      </c>
      <c r="M511" s="7">
        <v>2000</v>
      </c>
      <c r="N511" s="7">
        <v>0</v>
      </c>
      <c r="O511" s="7">
        <v>0</v>
      </c>
      <c r="P511" s="7">
        <v>4872.8669744430754</v>
      </c>
      <c r="Q511" s="7">
        <v>2939.4324444469239</v>
      </c>
      <c r="R511" s="113">
        <f t="shared" si="51"/>
        <v>0.26127735596248325</v>
      </c>
      <c r="S511" s="113">
        <f t="shared" si="52"/>
        <v>0.19138755980861244</v>
      </c>
      <c r="T511" s="113">
        <f t="shared" si="53"/>
        <v>0</v>
      </c>
      <c r="U511" s="113">
        <f t="shared" si="54"/>
        <v>0.1508883052570319</v>
      </c>
    </row>
    <row r="512" spans="1:21" x14ac:dyDescent="0.45">
      <c r="A512" s="95">
        <v>45072</v>
      </c>
      <c r="B512" s="96">
        <v>4478</v>
      </c>
      <c r="C512" s="7">
        <v>1170</v>
      </c>
      <c r="D512" s="7">
        <f t="shared" si="49"/>
        <v>3308</v>
      </c>
      <c r="E512" s="97">
        <v>2090</v>
      </c>
      <c r="F512" s="7">
        <v>400</v>
      </c>
      <c r="G512" s="7">
        <f t="shared" si="50"/>
        <v>1690</v>
      </c>
      <c r="H512" s="98">
        <v>0</v>
      </c>
      <c r="I512" s="7">
        <v>0</v>
      </c>
      <c r="J512" s="7"/>
      <c r="K512" s="99">
        <f t="shared" si="55"/>
        <v>6568</v>
      </c>
      <c r="L512" s="7">
        <v>460</v>
      </c>
      <c r="M512" s="7">
        <v>2000</v>
      </c>
      <c r="N512" s="7">
        <v>0</v>
      </c>
      <c r="O512" s="7">
        <v>0</v>
      </c>
      <c r="P512" s="7">
        <v>4872.8669744430754</v>
      </c>
      <c r="Q512" s="7">
        <v>3895.1688628769239</v>
      </c>
      <c r="R512" s="113">
        <f t="shared" si="51"/>
        <v>0.26127735596248325</v>
      </c>
      <c r="S512" s="113">
        <f t="shared" si="52"/>
        <v>0.19138755980861244</v>
      </c>
      <c r="T512" s="113">
        <f t="shared" si="53"/>
        <v>0</v>
      </c>
      <c r="U512" s="113">
        <f t="shared" si="54"/>
        <v>0.1508883052570319</v>
      </c>
    </row>
    <row r="513" spans="1:21" x14ac:dyDescent="0.45">
      <c r="A513" s="95">
        <v>45073</v>
      </c>
      <c r="B513" s="96">
        <v>4478</v>
      </c>
      <c r="C513" s="7">
        <v>1170</v>
      </c>
      <c r="D513" s="7">
        <f t="shared" si="49"/>
        <v>3308</v>
      </c>
      <c r="E513" s="97">
        <v>2090</v>
      </c>
      <c r="F513" s="7">
        <v>400</v>
      </c>
      <c r="G513" s="7">
        <f t="shared" si="50"/>
        <v>1690</v>
      </c>
      <c r="H513" s="98">
        <v>0</v>
      </c>
      <c r="I513" s="7">
        <v>0</v>
      </c>
      <c r="J513" s="7"/>
      <c r="K513" s="99">
        <f t="shared" si="55"/>
        <v>6568</v>
      </c>
      <c r="L513" s="7">
        <v>460</v>
      </c>
      <c r="M513" s="7">
        <v>2000</v>
      </c>
      <c r="N513" s="7">
        <v>0</v>
      </c>
      <c r="O513" s="7">
        <v>0</v>
      </c>
      <c r="P513" s="7">
        <v>4872.8669744430754</v>
      </c>
      <c r="Q513" s="7">
        <v>3895.1688628769239</v>
      </c>
      <c r="R513" s="113">
        <f t="shared" si="51"/>
        <v>0.26127735596248325</v>
      </c>
      <c r="S513" s="113">
        <f t="shared" si="52"/>
        <v>0.19138755980861244</v>
      </c>
      <c r="T513" s="113">
        <f t="shared" si="53"/>
        <v>0</v>
      </c>
      <c r="U513" s="113">
        <f t="shared" si="54"/>
        <v>0.1508883052570319</v>
      </c>
    </row>
    <row r="514" spans="1:21" x14ac:dyDescent="0.45">
      <c r="A514" s="95">
        <v>45074</v>
      </c>
      <c r="B514" s="96">
        <v>4478</v>
      </c>
      <c r="C514" s="7">
        <v>1170</v>
      </c>
      <c r="D514" s="7">
        <f t="shared" ref="D514:D577" si="56">B514-C514</f>
        <v>3308</v>
      </c>
      <c r="E514" s="97">
        <v>2090</v>
      </c>
      <c r="F514" s="7">
        <v>400</v>
      </c>
      <c r="G514" s="7">
        <f t="shared" ref="G514:G577" si="57">E514-F514</f>
        <v>1690</v>
      </c>
      <c r="H514" s="98">
        <v>0</v>
      </c>
      <c r="I514" s="7">
        <v>0</v>
      </c>
      <c r="J514" s="7"/>
      <c r="K514" s="99">
        <f t="shared" si="55"/>
        <v>6568</v>
      </c>
      <c r="L514" s="7">
        <v>460</v>
      </c>
      <c r="M514" s="7">
        <v>2000</v>
      </c>
      <c r="N514" s="7">
        <v>0</v>
      </c>
      <c r="O514" s="7">
        <v>0</v>
      </c>
      <c r="P514" s="7">
        <v>4872.8669744430754</v>
      </c>
      <c r="Q514" s="7">
        <v>3895.1688628769239</v>
      </c>
      <c r="R514" s="113">
        <f t="shared" si="51"/>
        <v>0.26127735596248325</v>
      </c>
      <c r="S514" s="113">
        <f t="shared" si="52"/>
        <v>0.19138755980861244</v>
      </c>
      <c r="T514" s="113">
        <f t="shared" si="53"/>
        <v>0</v>
      </c>
      <c r="U514" s="113">
        <f t="shared" si="54"/>
        <v>0.1508883052570319</v>
      </c>
    </row>
    <row r="515" spans="1:21" x14ac:dyDescent="0.45">
      <c r="A515" s="95">
        <v>45075</v>
      </c>
      <c r="B515" s="96">
        <v>4478</v>
      </c>
      <c r="C515" s="7">
        <v>1170</v>
      </c>
      <c r="D515" s="7">
        <f t="shared" si="56"/>
        <v>3308</v>
      </c>
      <c r="E515" s="97">
        <v>2090</v>
      </c>
      <c r="F515" s="7">
        <v>400</v>
      </c>
      <c r="G515" s="7">
        <f t="shared" si="57"/>
        <v>1690</v>
      </c>
      <c r="H515" s="98">
        <v>0</v>
      </c>
      <c r="I515" s="7">
        <v>0</v>
      </c>
      <c r="J515" s="7"/>
      <c r="K515" s="99">
        <f t="shared" si="55"/>
        <v>6568</v>
      </c>
      <c r="L515" s="7">
        <v>460</v>
      </c>
      <c r="M515" s="7">
        <v>2000</v>
      </c>
      <c r="N515" s="7">
        <v>0</v>
      </c>
      <c r="O515" s="7">
        <v>0</v>
      </c>
      <c r="P515" s="7">
        <v>4872.8669744430754</v>
      </c>
      <c r="Q515" s="7">
        <v>3851.7522244769234</v>
      </c>
      <c r="R515" s="113">
        <f t="shared" ref="R515:R578" si="58">C515/B515</f>
        <v>0.26127735596248325</v>
      </c>
      <c r="S515" s="113">
        <f t="shared" ref="S515:S578" si="59">F515/E515</f>
        <v>0.19138755980861244</v>
      </c>
      <c r="T515" s="113">
        <f t="shared" ref="T515:T578" si="60">IF(H515=0,0,I515/H515)</f>
        <v>0</v>
      </c>
      <c r="U515" s="113">
        <f t="shared" ref="U515:U578" si="61">AVERAGE(R515:T515)</f>
        <v>0.1508883052570319</v>
      </c>
    </row>
    <row r="516" spans="1:21" x14ac:dyDescent="0.45">
      <c r="A516" s="95">
        <v>45076</v>
      </c>
      <c r="B516" s="96">
        <v>4478</v>
      </c>
      <c r="C516" s="7">
        <v>1170</v>
      </c>
      <c r="D516" s="7">
        <f t="shared" si="56"/>
        <v>3308</v>
      </c>
      <c r="E516" s="97">
        <v>2090</v>
      </c>
      <c r="F516" s="7">
        <v>400</v>
      </c>
      <c r="G516" s="7">
        <f t="shared" si="57"/>
        <v>1690</v>
      </c>
      <c r="H516" s="98">
        <v>0</v>
      </c>
      <c r="I516" s="7">
        <v>0</v>
      </c>
      <c r="J516" s="7"/>
      <c r="K516" s="99">
        <f t="shared" ref="K516:K579" si="62">B516+E516+H516</f>
        <v>6568</v>
      </c>
      <c r="L516" s="7">
        <v>460</v>
      </c>
      <c r="M516" s="7">
        <v>2000</v>
      </c>
      <c r="N516" s="7">
        <v>0</v>
      </c>
      <c r="O516" s="7">
        <v>0</v>
      </c>
      <c r="P516" s="7">
        <v>4872.8669744430754</v>
      </c>
      <c r="Q516" s="7">
        <v>4234.8864834769247</v>
      </c>
      <c r="R516" s="113">
        <f t="shared" si="58"/>
        <v>0.26127735596248325</v>
      </c>
      <c r="S516" s="113">
        <f t="shared" si="59"/>
        <v>0.19138755980861244</v>
      </c>
      <c r="T516" s="113">
        <f t="shared" si="60"/>
        <v>0</v>
      </c>
      <c r="U516" s="113">
        <f t="shared" si="61"/>
        <v>0.1508883052570319</v>
      </c>
    </row>
    <row r="517" spans="1:21" x14ac:dyDescent="0.45">
      <c r="A517" s="95">
        <v>45077</v>
      </c>
      <c r="B517" s="96">
        <v>4478</v>
      </c>
      <c r="C517" s="7">
        <v>1170</v>
      </c>
      <c r="D517" s="7">
        <f t="shared" si="56"/>
        <v>3308</v>
      </c>
      <c r="E517" s="97">
        <v>2090</v>
      </c>
      <c r="F517" s="7">
        <v>400</v>
      </c>
      <c r="G517" s="7">
        <f t="shared" si="57"/>
        <v>1690</v>
      </c>
      <c r="H517" s="98">
        <v>0</v>
      </c>
      <c r="I517" s="7">
        <v>0</v>
      </c>
      <c r="J517" s="7"/>
      <c r="K517" s="99">
        <f t="shared" si="62"/>
        <v>6568</v>
      </c>
      <c r="L517" s="7">
        <v>460</v>
      </c>
      <c r="M517" s="7">
        <v>2000</v>
      </c>
      <c r="N517" s="7">
        <v>0</v>
      </c>
      <c r="O517" s="7">
        <v>0</v>
      </c>
      <c r="P517" s="7">
        <v>4872.8669744430754</v>
      </c>
      <c r="Q517" s="7">
        <v>3671.460768086924</v>
      </c>
      <c r="R517" s="113">
        <f t="shared" si="58"/>
        <v>0.26127735596248325</v>
      </c>
      <c r="S517" s="113">
        <f t="shared" si="59"/>
        <v>0.19138755980861244</v>
      </c>
      <c r="T517" s="113">
        <f t="shared" si="60"/>
        <v>0</v>
      </c>
      <c r="U517" s="113">
        <f t="shared" si="61"/>
        <v>0.1508883052570319</v>
      </c>
    </row>
    <row r="518" spans="1:21" x14ac:dyDescent="0.45">
      <c r="A518" s="95">
        <v>45078</v>
      </c>
      <c r="B518" s="96">
        <v>4478</v>
      </c>
      <c r="C518" s="7">
        <v>1170</v>
      </c>
      <c r="D518" s="7">
        <f t="shared" si="56"/>
        <v>3308</v>
      </c>
      <c r="E518" s="97">
        <v>2090</v>
      </c>
      <c r="F518" s="7">
        <v>600</v>
      </c>
      <c r="G518" s="7">
        <f t="shared" si="57"/>
        <v>1490</v>
      </c>
      <c r="H518" s="98">
        <v>0</v>
      </c>
      <c r="I518" s="7">
        <v>0</v>
      </c>
      <c r="J518" s="7"/>
      <c r="K518" s="99">
        <f t="shared" si="62"/>
        <v>6568</v>
      </c>
      <c r="L518" s="7">
        <v>300</v>
      </c>
      <c r="M518" s="7">
        <v>2500</v>
      </c>
      <c r="N518" s="7">
        <v>0</v>
      </c>
      <c r="O518" s="7">
        <v>0</v>
      </c>
      <c r="P518" s="7">
        <v>4872.8669744430754</v>
      </c>
      <c r="Q518" s="7">
        <v>3204.3136308969233</v>
      </c>
      <c r="R518" s="113">
        <f t="shared" si="58"/>
        <v>0.26127735596248325</v>
      </c>
      <c r="S518" s="113">
        <f t="shared" si="59"/>
        <v>0.28708133971291866</v>
      </c>
      <c r="T518" s="113">
        <f t="shared" si="60"/>
        <v>0</v>
      </c>
      <c r="U518" s="113">
        <f t="shared" si="61"/>
        <v>0.18278623189180063</v>
      </c>
    </row>
    <row r="519" spans="1:21" x14ac:dyDescent="0.45">
      <c r="A519" s="95">
        <v>45079</v>
      </c>
      <c r="B519" s="96">
        <v>4478</v>
      </c>
      <c r="C519" s="7">
        <v>1170</v>
      </c>
      <c r="D519" s="7">
        <f t="shared" si="56"/>
        <v>3308</v>
      </c>
      <c r="E519" s="97">
        <v>2090</v>
      </c>
      <c r="F519" s="7">
        <v>600</v>
      </c>
      <c r="G519" s="7">
        <f t="shared" si="57"/>
        <v>1490</v>
      </c>
      <c r="H519" s="98">
        <v>0</v>
      </c>
      <c r="I519" s="7">
        <v>0</v>
      </c>
      <c r="J519" s="7"/>
      <c r="K519" s="99">
        <f t="shared" si="62"/>
        <v>6568</v>
      </c>
      <c r="L519" s="7">
        <v>300</v>
      </c>
      <c r="M519" s="7">
        <v>2500</v>
      </c>
      <c r="N519" s="7">
        <v>0</v>
      </c>
      <c r="O519" s="7">
        <v>0</v>
      </c>
      <c r="P519" s="7">
        <v>4872.8669744430754</v>
      </c>
      <c r="Q519" s="7">
        <v>3091.8690183169238</v>
      </c>
      <c r="R519" s="113">
        <f t="shared" si="58"/>
        <v>0.26127735596248325</v>
      </c>
      <c r="S519" s="113">
        <f t="shared" si="59"/>
        <v>0.28708133971291866</v>
      </c>
      <c r="T519" s="113">
        <f t="shared" si="60"/>
        <v>0</v>
      </c>
      <c r="U519" s="113">
        <f t="shared" si="61"/>
        <v>0.18278623189180063</v>
      </c>
    </row>
    <row r="520" spans="1:21" x14ac:dyDescent="0.45">
      <c r="A520" s="95">
        <v>45080</v>
      </c>
      <c r="B520" s="96">
        <v>4478</v>
      </c>
      <c r="C520" s="7">
        <v>1170</v>
      </c>
      <c r="D520" s="7">
        <f t="shared" si="56"/>
        <v>3308</v>
      </c>
      <c r="E520" s="97">
        <v>2090</v>
      </c>
      <c r="F520" s="7">
        <v>600</v>
      </c>
      <c r="G520" s="7">
        <f t="shared" si="57"/>
        <v>1490</v>
      </c>
      <c r="H520" s="98">
        <v>0</v>
      </c>
      <c r="I520" s="7">
        <v>0</v>
      </c>
      <c r="J520" s="7"/>
      <c r="K520" s="99">
        <f t="shared" si="62"/>
        <v>6568</v>
      </c>
      <c r="L520" s="7">
        <v>300</v>
      </c>
      <c r="M520" s="7">
        <v>2500</v>
      </c>
      <c r="N520" s="7">
        <v>0</v>
      </c>
      <c r="O520" s="7">
        <v>0</v>
      </c>
      <c r="P520" s="7">
        <v>4872.8669744430754</v>
      </c>
      <c r="Q520" s="7">
        <v>3091.8690183169238</v>
      </c>
      <c r="R520" s="113">
        <f t="shared" si="58"/>
        <v>0.26127735596248325</v>
      </c>
      <c r="S520" s="113">
        <f t="shared" si="59"/>
        <v>0.28708133971291866</v>
      </c>
      <c r="T520" s="113">
        <f t="shared" si="60"/>
        <v>0</v>
      </c>
      <c r="U520" s="113">
        <f t="shared" si="61"/>
        <v>0.18278623189180063</v>
      </c>
    </row>
    <row r="521" spans="1:21" x14ac:dyDescent="0.45">
      <c r="A521" s="95">
        <v>45081</v>
      </c>
      <c r="B521" s="96">
        <v>4478</v>
      </c>
      <c r="C521" s="7">
        <v>1170</v>
      </c>
      <c r="D521" s="7">
        <f t="shared" si="56"/>
        <v>3308</v>
      </c>
      <c r="E521" s="97">
        <v>2090</v>
      </c>
      <c r="F521" s="7">
        <v>600</v>
      </c>
      <c r="G521" s="7">
        <f t="shared" si="57"/>
        <v>1490</v>
      </c>
      <c r="H521" s="98">
        <v>0</v>
      </c>
      <c r="I521" s="7">
        <v>0</v>
      </c>
      <c r="J521" s="7"/>
      <c r="K521" s="99">
        <f t="shared" si="62"/>
        <v>6568</v>
      </c>
      <c r="L521" s="7">
        <v>300</v>
      </c>
      <c r="M521" s="7">
        <v>2500</v>
      </c>
      <c r="N521" s="7">
        <v>0</v>
      </c>
      <c r="O521" s="7">
        <v>0</v>
      </c>
      <c r="P521" s="7">
        <v>4872.8669744430754</v>
      </c>
      <c r="Q521" s="7">
        <v>3091.8690183169238</v>
      </c>
      <c r="R521" s="113">
        <f t="shared" si="58"/>
        <v>0.26127735596248325</v>
      </c>
      <c r="S521" s="113">
        <f t="shared" si="59"/>
        <v>0.28708133971291866</v>
      </c>
      <c r="T521" s="113">
        <f t="shared" si="60"/>
        <v>0</v>
      </c>
      <c r="U521" s="113">
        <f t="shared" si="61"/>
        <v>0.18278623189180063</v>
      </c>
    </row>
    <row r="522" spans="1:21" x14ac:dyDescent="0.45">
      <c r="A522" s="95">
        <v>45082</v>
      </c>
      <c r="B522" s="96">
        <v>4478</v>
      </c>
      <c r="C522" s="7">
        <v>1170</v>
      </c>
      <c r="D522" s="7">
        <f t="shared" si="56"/>
        <v>3308</v>
      </c>
      <c r="E522" s="97">
        <v>2090</v>
      </c>
      <c r="F522" s="7">
        <v>600</v>
      </c>
      <c r="G522" s="7">
        <f t="shared" si="57"/>
        <v>1490</v>
      </c>
      <c r="H522" s="98">
        <v>0</v>
      </c>
      <c r="I522" s="7">
        <v>0</v>
      </c>
      <c r="J522" s="7"/>
      <c r="K522" s="99">
        <f t="shared" si="62"/>
        <v>6568</v>
      </c>
      <c r="L522" s="7">
        <v>300</v>
      </c>
      <c r="M522" s="7">
        <v>2500</v>
      </c>
      <c r="N522" s="7">
        <v>0</v>
      </c>
      <c r="O522" s="7">
        <v>0</v>
      </c>
      <c r="P522" s="7">
        <v>4872.8669744430754</v>
      </c>
      <c r="Q522" s="7">
        <v>3424.5598470869236</v>
      </c>
      <c r="R522" s="113">
        <f t="shared" si="58"/>
        <v>0.26127735596248325</v>
      </c>
      <c r="S522" s="113">
        <f t="shared" si="59"/>
        <v>0.28708133971291866</v>
      </c>
      <c r="T522" s="113">
        <f t="shared" si="60"/>
        <v>0</v>
      </c>
      <c r="U522" s="113">
        <f t="shared" si="61"/>
        <v>0.18278623189180063</v>
      </c>
    </row>
    <row r="523" spans="1:21" x14ac:dyDescent="0.45">
      <c r="A523" s="95">
        <v>45083</v>
      </c>
      <c r="B523" s="96">
        <v>4478</v>
      </c>
      <c r="C523" s="7">
        <v>1170</v>
      </c>
      <c r="D523" s="7">
        <f t="shared" si="56"/>
        <v>3308</v>
      </c>
      <c r="E523" s="97">
        <v>2090</v>
      </c>
      <c r="F523" s="7">
        <v>600</v>
      </c>
      <c r="G523" s="7">
        <f t="shared" si="57"/>
        <v>1490</v>
      </c>
      <c r="H523" s="98">
        <v>0</v>
      </c>
      <c r="I523" s="7">
        <v>0</v>
      </c>
      <c r="J523" s="7"/>
      <c r="K523" s="99">
        <f t="shared" si="62"/>
        <v>6568</v>
      </c>
      <c r="L523" s="7">
        <v>300</v>
      </c>
      <c r="M523" s="7">
        <v>2500</v>
      </c>
      <c r="N523" s="7">
        <v>0</v>
      </c>
      <c r="O523" s="7">
        <v>0</v>
      </c>
      <c r="P523" s="7">
        <v>4872.8669744430754</v>
      </c>
      <c r="Q523" s="7">
        <v>3974.6985295569243</v>
      </c>
      <c r="R523" s="113">
        <f t="shared" si="58"/>
        <v>0.26127735596248325</v>
      </c>
      <c r="S523" s="113">
        <f t="shared" si="59"/>
        <v>0.28708133971291866</v>
      </c>
      <c r="T523" s="113">
        <f t="shared" si="60"/>
        <v>0</v>
      </c>
      <c r="U523" s="113">
        <f t="shared" si="61"/>
        <v>0.18278623189180063</v>
      </c>
    </row>
    <row r="524" spans="1:21" x14ac:dyDescent="0.45">
      <c r="A524" s="95">
        <v>45084</v>
      </c>
      <c r="B524" s="96">
        <v>3978</v>
      </c>
      <c r="C524" s="7">
        <v>1170</v>
      </c>
      <c r="D524" s="7">
        <f t="shared" si="56"/>
        <v>2808</v>
      </c>
      <c r="E524" s="97">
        <v>2090</v>
      </c>
      <c r="F524" s="7">
        <v>600</v>
      </c>
      <c r="G524" s="7">
        <f t="shared" si="57"/>
        <v>1490</v>
      </c>
      <c r="H524" s="98">
        <v>0</v>
      </c>
      <c r="I524" s="7">
        <v>0</v>
      </c>
      <c r="J524" s="7"/>
      <c r="K524" s="99">
        <f t="shared" si="62"/>
        <v>6068</v>
      </c>
      <c r="L524" s="7">
        <v>300</v>
      </c>
      <c r="M524" s="7">
        <v>2500</v>
      </c>
      <c r="N524" s="7">
        <v>0</v>
      </c>
      <c r="O524" s="7">
        <v>0</v>
      </c>
      <c r="P524" s="7">
        <v>4872.8669744430754</v>
      </c>
      <c r="Q524" s="7">
        <v>4032.7279439069234</v>
      </c>
      <c r="R524" s="113">
        <f t="shared" si="58"/>
        <v>0.29411764705882354</v>
      </c>
      <c r="S524" s="113">
        <f t="shared" si="59"/>
        <v>0.28708133971291866</v>
      </c>
      <c r="T524" s="113">
        <f t="shared" si="60"/>
        <v>0</v>
      </c>
      <c r="U524" s="113">
        <f t="shared" si="61"/>
        <v>0.19373299559058074</v>
      </c>
    </row>
    <row r="525" spans="1:21" x14ac:dyDescent="0.45">
      <c r="A525" s="95">
        <v>45085</v>
      </c>
      <c r="B525" s="96">
        <v>3978</v>
      </c>
      <c r="C525" s="7">
        <v>930</v>
      </c>
      <c r="D525" s="7">
        <f t="shared" si="56"/>
        <v>3048</v>
      </c>
      <c r="E525" s="97">
        <v>2090</v>
      </c>
      <c r="F525" s="7">
        <v>600</v>
      </c>
      <c r="G525" s="7">
        <f t="shared" si="57"/>
        <v>1490</v>
      </c>
      <c r="H525" s="98">
        <v>0</v>
      </c>
      <c r="I525" s="7">
        <v>0</v>
      </c>
      <c r="J525" s="7"/>
      <c r="K525" s="99">
        <f t="shared" si="62"/>
        <v>6068</v>
      </c>
      <c r="L525" s="7">
        <v>300</v>
      </c>
      <c r="M525" s="7">
        <v>2000</v>
      </c>
      <c r="N525" s="7">
        <v>0</v>
      </c>
      <c r="O525" s="7">
        <v>0</v>
      </c>
      <c r="P525" s="7">
        <v>4872.8669744430754</v>
      </c>
      <c r="Q525" s="7">
        <v>5049.2931597669231</v>
      </c>
      <c r="R525" s="113">
        <f t="shared" si="58"/>
        <v>0.23378582202111614</v>
      </c>
      <c r="S525" s="113">
        <f t="shared" si="59"/>
        <v>0.28708133971291866</v>
      </c>
      <c r="T525" s="113">
        <f t="shared" si="60"/>
        <v>0</v>
      </c>
      <c r="U525" s="113">
        <f t="shared" si="61"/>
        <v>0.17362238724467827</v>
      </c>
    </row>
    <row r="526" spans="1:21" x14ac:dyDescent="0.45">
      <c r="A526" s="95">
        <v>45086</v>
      </c>
      <c r="B526" s="96">
        <v>3978</v>
      </c>
      <c r="C526" s="7">
        <v>930</v>
      </c>
      <c r="D526" s="7">
        <f t="shared" si="56"/>
        <v>3048</v>
      </c>
      <c r="E526" s="97">
        <v>2090</v>
      </c>
      <c r="F526" s="7">
        <v>600</v>
      </c>
      <c r="G526" s="7">
        <f t="shared" si="57"/>
        <v>1490</v>
      </c>
      <c r="H526" s="98">
        <v>0</v>
      </c>
      <c r="I526" s="7">
        <v>0</v>
      </c>
      <c r="J526" s="7"/>
      <c r="K526" s="99">
        <f t="shared" si="62"/>
        <v>6068</v>
      </c>
      <c r="L526" s="7">
        <v>300</v>
      </c>
      <c r="M526" s="7">
        <v>2000</v>
      </c>
      <c r="N526" s="7">
        <v>0</v>
      </c>
      <c r="O526" s="7">
        <v>0</v>
      </c>
      <c r="P526" s="7">
        <v>4872.8669744430754</v>
      </c>
      <c r="Q526" s="7">
        <v>6007.9459775169244</v>
      </c>
      <c r="R526" s="113">
        <f t="shared" si="58"/>
        <v>0.23378582202111614</v>
      </c>
      <c r="S526" s="113">
        <f t="shared" si="59"/>
        <v>0.28708133971291866</v>
      </c>
      <c r="T526" s="113">
        <f t="shared" si="60"/>
        <v>0</v>
      </c>
      <c r="U526" s="113">
        <f t="shared" si="61"/>
        <v>0.17362238724467827</v>
      </c>
    </row>
    <row r="527" spans="1:21" x14ac:dyDescent="0.45">
      <c r="A527" s="95">
        <v>45087</v>
      </c>
      <c r="B527" s="96">
        <v>3978</v>
      </c>
      <c r="C527" s="7">
        <v>930</v>
      </c>
      <c r="D527" s="7">
        <f t="shared" si="56"/>
        <v>3048</v>
      </c>
      <c r="E527" s="97">
        <v>2090</v>
      </c>
      <c r="F527" s="7">
        <v>600</v>
      </c>
      <c r="G527" s="7">
        <f t="shared" si="57"/>
        <v>1490</v>
      </c>
      <c r="H527" s="98">
        <v>0</v>
      </c>
      <c r="I527" s="7">
        <v>0</v>
      </c>
      <c r="J527" s="7"/>
      <c r="K527" s="99">
        <f t="shared" si="62"/>
        <v>6068</v>
      </c>
      <c r="L527" s="7">
        <v>300</v>
      </c>
      <c r="M527" s="7">
        <v>2000</v>
      </c>
      <c r="N527" s="7">
        <v>0</v>
      </c>
      <c r="O527" s="7">
        <v>0</v>
      </c>
      <c r="P527" s="7">
        <v>4872.8669744430754</v>
      </c>
      <c r="Q527" s="7">
        <v>6007.9459775169244</v>
      </c>
      <c r="R527" s="113">
        <f t="shared" si="58"/>
        <v>0.23378582202111614</v>
      </c>
      <c r="S527" s="113">
        <f t="shared" si="59"/>
        <v>0.28708133971291866</v>
      </c>
      <c r="T527" s="113">
        <f t="shared" si="60"/>
        <v>0</v>
      </c>
      <c r="U527" s="113">
        <f t="shared" si="61"/>
        <v>0.17362238724467827</v>
      </c>
    </row>
    <row r="528" spans="1:21" x14ac:dyDescent="0.45">
      <c r="A528" s="95">
        <v>45088</v>
      </c>
      <c r="B528" s="96">
        <v>3978</v>
      </c>
      <c r="C528" s="7">
        <v>930</v>
      </c>
      <c r="D528" s="7">
        <f t="shared" si="56"/>
        <v>3048</v>
      </c>
      <c r="E528" s="97">
        <v>2090</v>
      </c>
      <c r="F528" s="7">
        <v>600</v>
      </c>
      <c r="G528" s="7">
        <f t="shared" si="57"/>
        <v>1490</v>
      </c>
      <c r="H528" s="98">
        <v>0</v>
      </c>
      <c r="I528" s="7">
        <v>0</v>
      </c>
      <c r="J528" s="7"/>
      <c r="K528" s="99">
        <f t="shared" si="62"/>
        <v>6068</v>
      </c>
      <c r="L528" s="7">
        <v>300</v>
      </c>
      <c r="M528" s="7">
        <v>2000</v>
      </c>
      <c r="N528" s="7">
        <v>0</v>
      </c>
      <c r="O528" s="7">
        <v>0</v>
      </c>
      <c r="P528" s="7">
        <v>4872.8669744430754</v>
      </c>
      <c r="Q528" s="7">
        <v>6007.9459775169244</v>
      </c>
      <c r="R528" s="113">
        <f t="shared" si="58"/>
        <v>0.23378582202111614</v>
      </c>
      <c r="S528" s="113">
        <f t="shared" si="59"/>
        <v>0.28708133971291866</v>
      </c>
      <c r="T528" s="113">
        <f t="shared" si="60"/>
        <v>0</v>
      </c>
      <c r="U528" s="113">
        <f t="shared" si="61"/>
        <v>0.17362238724467827</v>
      </c>
    </row>
    <row r="529" spans="1:21" x14ac:dyDescent="0.45">
      <c r="A529" s="95">
        <v>45089</v>
      </c>
      <c r="B529" s="96">
        <v>3978</v>
      </c>
      <c r="C529" s="7">
        <v>930</v>
      </c>
      <c r="D529" s="7">
        <f t="shared" si="56"/>
        <v>3048</v>
      </c>
      <c r="E529" s="97">
        <v>2090</v>
      </c>
      <c r="F529" s="7">
        <v>600</v>
      </c>
      <c r="G529" s="7">
        <f t="shared" si="57"/>
        <v>1490</v>
      </c>
      <c r="H529" s="98">
        <v>0</v>
      </c>
      <c r="I529" s="7">
        <v>0</v>
      </c>
      <c r="J529" s="7"/>
      <c r="K529" s="99">
        <f t="shared" si="62"/>
        <v>6068</v>
      </c>
      <c r="L529" s="7">
        <v>300</v>
      </c>
      <c r="M529" s="7">
        <v>2000</v>
      </c>
      <c r="N529" s="7">
        <v>0</v>
      </c>
      <c r="O529" s="7">
        <v>0</v>
      </c>
      <c r="P529" s="7">
        <v>4906.1363947620284</v>
      </c>
      <c r="Q529" s="7">
        <v>6408.2813181279716</v>
      </c>
      <c r="R529" s="113">
        <f t="shared" si="58"/>
        <v>0.23378582202111614</v>
      </c>
      <c r="S529" s="113">
        <f t="shared" si="59"/>
        <v>0.28708133971291866</v>
      </c>
      <c r="T529" s="113">
        <f t="shared" si="60"/>
        <v>0</v>
      </c>
      <c r="U529" s="113">
        <f t="shared" si="61"/>
        <v>0.17362238724467827</v>
      </c>
    </row>
    <row r="530" spans="1:21" x14ac:dyDescent="0.45">
      <c r="A530" s="95">
        <v>45090</v>
      </c>
      <c r="B530" s="96">
        <v>3978</v>
      </c>
      <c r="C530" s="7">
        <v>930</v>
      </c>
      <c r="D530" s="7">
        <f t="shared" si="56"/>
        <v>3048</v>
      </c>
      <c r="E530" s="97">
        <v>2090</v>
      </c>
      <c r="F530" s="7">
        <v>600</v>
      </c>
      <c r="G530" s="7">
        <f t="shared" si="57"/>
        <v>1490</v>
      </c>
      <c r="H530" s="98">
        <v>0</v>
      </c>
      <c r="I530" s="7">
        <v>0</v>
      </c>
      <c r="J530" s="7"/>
      <c r="K530" s="99">
        <f t="shared" si="62"/>
        <v>6068</v>
      </c>
      <c r="L530" s="7">
        <v>300</v>
      </c>
      <c r="M530" s="7">
        <v>2000</v>
      </c>
      <c r="N530" s="7">
        <v>0</v>
      </c>
      <c r="O530" s="7">
        <v>0</v>
      </c>
      <c r="P530" s="7">
        <v>4906.1363947620284</v>
      </c>
      <c r="Q530" s="7">
        <v>6305.9845791979715</v>
      </c>
      <c r="R530" s="113">
        <f t="shared" si="58"/>
        <v>0.23378582202111614</v>
      </c>
      <c r="S530" s="113">
        <f t="shared" si="59"/>
        <v>0.28708133971291866</v>
      </c>
      <c r="T530" s="113">
        <f t="shared" si="60"/>
        <v>0</v>
      </c>
      <c r="U530" s="113">
        <f t="shared" si="61"/>
        <v>0.17362238724467827</v>
      </c>
    </row>
    <row r="531" spans="1:21" x14ac:dyDescent="0.45">
      <c r="A531" s="95">
        <v>45091</v>
      </c>
      <c r="B531" s="96">
        <v>4678</v>
      </c>
      <c r="C531" s="7">
        <v>930</v>
      </c>
      <c r="D531" s="7">
        <f t="shared" si="56"/>
        <v>3748</v>
      </c>
      <c r="E531" s="97">
        <v>2090</v>
      </c>
      <c r="F531" s="7">
        <v>600</v>
      </c>
      <c r="G531" s="7">
        <f t="shared" si="57"/>
        <v>1490</v>
      </c>
      <c r="H531" s="98">
        <v>0</v>
      </c>
      <c r="I531" s="7">
        <v>0</v>
      </c>
      <c r="J531" s="7"/>
      <c r="K531" s="99">
        <f t="shared" si="62"/>
        <v>6768</v>
      </c>
      <c r="L531" s="7">
        <v>300</v>
      </c>
      <c r="M531" s="7">
        <v>2000</v>
      </c>
      <c r="N531" s="7">
        <v>0</v>
      </c>
      <c r="O531" s="7">
        <v>0</v>
      </c>
      <c r="P531" s="7">
        <v>4906.1363947620284</v>
      </c>
      <c r="Q531" s="7">
        <v>6425.6708520079701</v>
      </c>
      <c r="R531" s="113">
        <f t="shared" si="58"/>
        <v>0.19880290722530997</v>
      </c>
      <c r="S531" s="113">
        <f t="shared" si="59"/>
        <v>0.28708133971291866</v>
      </c>
      <c r="T531" s="113">
        <f t="shared" si="60"/>
        <v>0</v>
      </c>
      <c r="U531" s="113">
        <f t="shared" si="61"/>
        <v>0.16196141564607622</v>
      </c>
    </row>
    <row r="532" spans="1:21" x14ac:dyDescent="0.45">
      <c r="A532" s="95">
        <v>45092</v>
      </c>
      <c r="B532" s="96">
        <v>4678</v>
      </c>
      <c r="C532" s="7">
        <v>1830</v>
      </c>
      <c r="D532" s="7">
        <f t="shared" si="56"/>
        <v>2848</v>
      </c>
      <c r="E532" s="97">
        <v>2090</v>
      </c>
      <c r="F532" s="7">
        <v>600</v>
      </c>
      <c r="G532" s="7">
        <f t="shared" si="57"/>
        <v>1490</v>
      </c>
      <c r="H532" s="98">
        <v>0</v>
      </c>
      <c r="I532" s="7">
        <v>0</v>
      </c>
      <c r="J532" s="7"/>
      <c r="K532" s="99">
        <f t="shared" si="62"/>
        <v>6768</v>
      </c>
      <c r="L532" s="7">
        <v>300</v>
      </c>
      <c r="M532" s="7">
        <v>2600</v>
      </c>
      <c r="N532" s="7">
        <v>0</v>
      </c>
      <c r="O532" s="7">
        <v>0</v>
      </c>
      <c r="P532" s="7">
        <v>4906.1363947620284</v>
      </c>
      <c r="Q532" s="7">
        <v>4884.4223829379716</v>
      </c>
      <c r="R532" s="113">
        <f t="shared" si="58"/>
        <v>0.39119281744335188</v>
      </c>
      <c r="S532" s="113">
        <f t="shared" si="59"/>
        <v>0.28708133971291866</v>
      </c>
      <c r="T532" s="113">
        <f t="shared" si="60"/>
        <v>0</v>
      </c>
      <c r="U532" s="113">
        <f t="shared" si="61"/>
        <v>0.22609138571875684</v>
      </c>
    </row>
    <row r="533" spans="1:21" x14ac:dyDescent="0.45">
      <c r="A533" s="95">
        <v>45093</v>
      </c>
      <c r="B533" s="96">
        <v>4678</v>
      </c>
      <c r="C533" s="7">
        <v>1830</v>
      </c>
      <c r="D533" s="7">
        <f t="shared" si="56"/>
        <v>2848</v>
      </c>
      <c r="E533" s="97">
        <v>2090</v>
      </c>
      <c r="F533" s="7">
        <v>600</v>
      </c>
      <c r="G533" s="7">
        <f t="shared" si="57"/>
        <v>1490</v>
      </c>
      <c r="H533" s="98">
        <v>0</v>
      </c>
      <c r="I533" s="7">
        <v>0</v>
      </c>
      <c r="J533" s="7"/>
      <c r="K533" s="99">
        <f t="shared" si="62"/>
        <v>6768</v>
      </c>
      <c r="L533" s="7">
        <v>300</v>
      </c>
      <c r="M533" s="7">
        <v>2600</v>
      </c>
      <c r="N533" s="7">
        <v>0</v>
      </c>
      <c r="O533" s="7">
        <v>0</v>
      </c>
      <c r="P533" s="7">
        <v>4906.1363947620284</v>
      </c>
      <c r="Q533" s="7">
        <v>5013.9780403679706</v>
      </c>
      <c r="R533" s="113">
        <f t="shared" si="58"/>
        <v>0.39119281744335188</v>
      </c>
      <c r="S533" s="113">
        <f t="shared" si="59"/>
        <v>0.28708133971291866</v>
      </c>
      <c r="T533" s="113">
        <f t="shared" si="60"/>
        <v>0</v>
      </c>
      <c r="U533" s="113">
        <f t="shared" si="61"/>
        <v>0.22609138571875684</v>
      </c>
    </row>
    <row r="534" spans="1:21" x14ac:dyDescent="0.45">
      <c r="A534" s="95">
        <v>45094</v>
      </c>
      <c r="B534" s="96">
        <v>4678</v>
      </c>
      <c r="C534" s="7">
        <v>1830</v>
      </c>
      <c r="D534" s="7">
        <f t="shared" si="56"/>
        <v>2848</v>
      </c>
      <c r="E534" s="97">
        <v>2090</v>
      </c>
      <c r="F534" s="7">
        <v>600</v>
      </c>
      <c r="G534" s="7">
        <f t="shared" si="57"/>
        <v>1490</v>
      </c>
      <c r="H534" s="98">
        <v>0</v>
      </c>
      <c r="I534" s="7">
        <v>0</v>
      </c>
      <c r="J534" s="7"/>
      <c r="K534" s="99">
        <f t="shared" si="62"/>
        <v>6768</v>
      </c>
      <c r="L534" s="7">
        <v>300</v>
      </c>
      <c r="M534" s="7">
        <v>2600</v>
      </c>
      <c r="N534" s="7">
        <v>0</v>
      </c>
      <c r="O534" s="7">
        <v>0</v>
      </c>
      <c r="P534" s="7">
        <v>4906.1363947620284</v>
      </c>
      <c r="Q534" s="7">
        <v>5013.9780403679706</v>
      </c>
      <c r="R534" s="113">
        <f t="shared" si="58"/>
        <v>0.39119281744335188</v>
      </c>
      <c r="S534" s="113">
        <f t="shared" si="59"/>
        <v>0.28708133971291866</v>
      </c>
      <c r="T534" s="113">
        <f t="shared" si="60"/>
        <v>0</v>
      </c>
      <c r="U534" s="113">
        <f t="shared" si="61"/>
        <v>0.22609138571875684</v>
      </c>
    </row>
    <row r="535" spans="1:21" x14ac:dyDescent="0.45">
      <c r="A535" s="95">
        <v>45095</v>
      </c>
      <c r="B535" s="96">
        <v>4678</v>
      </c>
      <c r="C535" s="7">
        <v>1830</v>
      </c>
      <c r="D535" s="7">
        <f t="shared" si="56"/>
        <v>2848</v>
      </c>
      <c r="E535" s="97">
        <v>2090</v>
      </c>
      <c r="F535" s="7">
        <v>600</v>
      </c>
      <c r="G535" s="7">
        <f t="shared" si="57"/>
        <v>1490</v>
      </c>
      <c r="H535" s="98">
        <v>0</v>
      </c>
      <c r="I535" s="7">
        <v>0</v>
      </c>
      <c r="J535" s="7"/>
      <c r="K535" s="99">
        <f t="shared" si="62"/>
        <v>6768</v>
      </c>
      <c r="L535" s="7">
        <v>300</v>
      </c>
      <c r="M535" s="7">
        <v>2600</v>
      </c>
      <c r="N535" s="7">
        <v>0</v>
      </c>
      <c r="O535" s="7">
        <v>0</v>
      </c>
      <c r="P535" s="7">
        <v>4906.1363947620284</v>
      </c>
      <c r="Q535" s="7">
        <v>5013.9780403679706</v>
      </c>
      <c r="R535" s="113">
        <f t="shared" si="58"/>
        <v>0.39119281744335188</v>
      </c>
      <c r="S535" s="113">
        <f t="shared" si="59"/>
        <v>0.28708133971291866</v>
      </c>
      <c r="T535" s="113">
        <f t="shared" si="60"/>
        <v>0</v>
      </c>
      <c r="U535" s="113">
        <f t="shared" si="61"/>
        <v>0.22609138571875684</v>
      </c>
    </row>
    <row r="536" spans="1:21" x14ac:dyDescent="0.45">
      <c r="A536" s="95">
        <v>45096</v>
      </c>
      <c r="B536" s="96">
        <v>4678</v>
      </c>
      <c r="C536" s="7">
        <v>1830</v>
      </c>
      <c r="D536" s="7">
        <f t="shared" si="56"/>
        <v>2848</v>
      </c>
      <c r="E536" s="97">
        <v>2090</v>
      </c>
      <c r="F536" s="7">
        <v>600</v>
      </c>
      <c r="G536" s="7">
        <f t="shared" si="57"/>
        <v>1490</v>
      </c>
      <c r="H536" s="98">
        <v>0</v>
      </c>
      <c r="I536" s="7">
        <v>0</v>
      </c>
      <c r="J536" s="7"/>
      <c r="K536" s="99">
        <f t="shared" si="62"/>
        <v>6768</v>
      </c>
      <c r="L536" s="7">
        <v>300</v>
      </c>
      <c r="M536" s="7">
        <v>2600</v>
      </c>
      <c r="N536" s="7">
        <v>0</v>
      </c>
      <c r="O536" s="7">
        <v>0</v>
      </c>
      <c r="P536" s="7">
        <v>4906.1363947620284</v>
      </c>
      <c r="Q536" s="7">
        <v>4976.6520997979715</v>
      </c>
      <c r="R536" s="113">
        <f t="shared" si="58"/>
        <v>0.39119281744335188</v>
      </c>
      <c r="S536" s="113">
        <f t="shared" si="59"/>
        <v>0.28708133971291866</v>
      </c>
      <c r="T536" s="113">
        <f t="shared" si="60"/>
        <v>0</v>
      </c>
      <c r="U536" s="113">
        <f t="shared" si="61"/>
        <v>0.22609138571875684</v>
      </c>
    </row>
    <row r="537" spans="1:21" x14ac:dyDescent="0.45">
      <c r="A537" s="95">
        <v>45097</v>
      </c>
      <c r="B537" s="96">
        <v>4678</v>
      </c>
      <c r="C537" s="7">
        <v>1830</v>
      </c>
      <c r="D537" s="7">
        <f t="shared" si="56"/>
        <v>2848</v>
      </c>
      <c r="E537" s="97">
        <v>2090</v>
      </c>
      <c r="F537" s="7">
        <v>600</v>
      </c>
      <c r="G537" s="7">
        <f t="shared" si="57"/>
        <v>1490</v>
      </c>
      <c r="H537" s="98">
        <v>0</v>
      </c>
      <c r="I537" s="7">
        <v>0</v>
      </c>
      <c r="J537" s="7"/>
      <c r="K537" s="99">
        <f t="shared" si="62"/>
        <v>6768</v>
      </c>
      <c r="L537" s="7">
        <v>300</v>
      </c>
      <c r="M537" s="7">
        <v>2600</v>
      </c>
      <c r="N537" s="7">
        <v>0</v>
      </c>
      <c r="O537" s="7">
        <v>0</v>
      </c>
      <c r="P537" s="7">
        <v>4906.1363947620284</v>
      </c>
      <c r="Q537" s="7">
        <v>5849.7174081379717</v>
      </c>
      <c r="R537" s="113">
        <f t="shared" si="58"/>
        <v>0.39119281744335188</v>
      </c>
      <c r="S537" s="113">
        <f t="shared" si="59"/>
        <v>0.28708133971291866</v>
      </c>
      <c r="T537" s="113">
        <f t="shared" si="60"/>
        <v>0</v>
      </c>
      <c r="U537" s="113">
        <f t="shared" si="61"/>
        <v>0.22609138571875684</v>
      </c>
    </row>
    <row r="538" spans="1:21" x14ac:dyDescent="0.45">
      <c r="A538" s="95">
        <v>45098</v>
      </c>
      <c r="B538" s="96">
        <v>4946</v>
      </c>
      <c r="C538" s="7">
        <v>1830</v>
      </c>
      <c r="D538" s="7">
        <f t="shared" si="56"/>
        <v>3116</v>
      </c>
      <c r="E538" s="97">
        <v>2090</v>
      </c>
      <c r="F538" s="7">
        <v>600</v>
      </c>
      <c r="G538" s="7">
        <f t="shared" si="57"/>
        <v>1490</v>
      </c>
      <c r="H538" s="98">
        <v>0</v>
      </c>
      <c r="I538" s="7">
        <v>0</v>
      </c>
      <c r="J538" s="7"/>
      <c r="K538" s="99">
        <f t="shared" si="62"/>
        <v>7036</v>
      </c>
      <c r="L538" s="7">
        <v>300</v>
      </c>
      <c r="M538" s="7">
        <v>2600</v>
      </c>
      <c r="N538" s="7">
        <v>0</v>
      </c>
      <c r="O538" s="7">
        <v>0</v>
      </c>
      <c r="P538" s="7">
        <v>4906.1363947620284</v>
      </c>
      <c r="Q538" s="7">
        <v>6124.3999778279704</v>
      </c>
      <c r="R538" s="113">
        <f t="shared" si="58"/>
        <v>0.36999595632834614</v>
      </c>
      <c r="S538" s="113">
        <f t="shared" si="59"/>
        <v>0.28708133971291866</v>
      </c>
      <c r="T538" s="113">
        <f t="shared" si="60"/>
        <v>0</v>
      </c>
      <c r="U538" s="113">
        <f t="shared" si="61"/>
        <v>0.21902576534708826</v>
      </c>
    </row>
    <row r="539" spans="1:21" x14ac:dyDescent="0.45">
      <c r="A539" s="95">
        <v>45099</v>
      </c>
      <c r="B539" s="96">
        <v>4946</v>
      </c>
      <c r="C539" s="7">
        <v>1990</v>
      </c>
      <c r="D539" s="7">
        <f t="shared" si="56"/>
        <v>2956</v>
      </c>
      <c r="E539" s="97">
        <v>2090</v>
      </c>
      <c r="F539" s="7">
        <v>600</v>
      </c>
      <c r="G539" s="7">
        <f t="shared" si="57"/>
        <v>1490</v>
      </c>
      <c r="H539" s="98">
        <v>0</v>
      </c>
      <c r="I539" s="7">
        <v>0</v>
      </c>
      <c r="J539" s="7"/>
      <c r="K539" s="99">
        <f t="shared" si="62"/>
        <v>7036</v>
      </c>
      <c r="L539" s="7">
        <v>1140</v>
      </c>
      <c r="M539" s="7">
        <v>3840</v>
      </c>
      <c r="N539" s="7">
        <v>0</v>
      </c>
      <c r="O539" s="7">
        <v>0</v>
      </c>
      <c r="P539" s="7">
        <v>4906.1363947620284</v>
      </c>
      <c r="Q539" s="7">
        <v>4727.294283347971</v>
      </c>
      <c r="R539" s="113">
        <f t="shared" si="58"/>
        <v>0.40234532955923979</v>
      </c>
      <c r="S539" s="113">
        <f t="shared" si="59"/>
        <v>0.28708133971291866</v>
      </c>
      <c r="T539" s="113">
        <f t="shared" si="60"/>
        <v>0</v>
      </c>
      <c r="U539" s="113">
        <f t="shared" si="61"/>
        <v>0.22980888975738614</v>
      </c>
    </row>
    <row r="540" spans="1:21" x14ac:dyDescent="0.45">
      <c r="A540" s="95">
        <v>45100</v>
      </c>
      <c r="B540" s="96">
        <v>4946</v>
      </c>
      <c r="C540" s="7">
        <v>1990</v>
      </c>
      <c r="D540" s="7">
        <f t="shared" si="56"/>
        <v>2956</v>
      </c>
      <c r="E540" s="97">
        <v>2090</v>
      </c>
      <c r="F540" s="7">
        <v>600</v>
      </c>
      <c r="G540" s="7">
        <f t="shared" si="57"/>
        <v>1490</v>
      </c>
      <c r="H540" s="98">
        <v>0</v>
      </c>
      <c r="I540" s="7">
        <v>0</v>
      </c>
      <c r="J540" s="7"/>
      <c r="K540" s="99">
        <f t="shared" si="62"/>
        <v>7036</v>
      </c>
      <c r="L540" s="7">
        <v>1140</v>
      </c>
      <c r="M540" s="7">
        <v>3840</v>
      </c>
      <c r="N540" s="7">
        <v>0</v>
      </c>
      <c r="O540" s="7">
        <v>0</v>
      </c>
      <c r="P540" s="7">
        <v>4906.1363947620284</v>
      </c>
      <c r="Q540" s="7">
        <v>4636.6934916979699</v>
      </c>
      <c r="R540" s="113">
        <f t="shared" si="58"/>
        <v>0.40234532955923979</v>
      </c>
      <c r="S540" s="113">
        <f t="shared" si="59"/>
        <v>0.28708133971291866</v>
      </c>
      <c r="T540" s="113">
        <f t="shared" si="60"/>
        <v>0</v>
      </c>
      <c r="U540" s="113">
        <f t="shared" si="61"/>
        <v>0.22980888975738614</v>
      </c>
    </row>
    <row r="541" spans="1:21" x14ac:dyDescent="0.45">
      <c r="A541" s="95">
        <v>45101</v>
      </c>
      <c r="B541" s="96">
        <v>4946</v>
      </c>
      <c r="C541" s="7">
        <v>1990</v>
      </c>
      <c r="D541" s="7">
        <f t="shared" si="56"/>
        <v>2956</v>
      </c>
      <c r="E541" s="97">
        <v>2090</v>
      </c>
      <c r="F541" s="7">
        <v>600</v>
      </c>
      <c r="G541" s="7">
        <f t="shared" si="57"/>
        <v>1490</v>
      </c>
      <c r="H541" s="98">
        <v>0</v>
      </c>
      <c r="I541" s="7">
        <v>0</v>
      </c>
      <c r="J541" s="7"/>
      <c r="K541" s="99">
        <f t="shared" si="62"/>
        <v>7036</v>
      </c>
      <c r="L541" s="7">
        <v>1140</v>
      </c>
      <c r="M541" s="7">
        <v>3840</v>
      </c>
      <c r="N541" s="7">
        <v>0</v>
      </c>
      <c r="O541" s="7">
        <v>0</v>
      </c>
      <c r="P541" s="7">
        <v>4906.1363947620284</v>
      </c>
      <c r="Q541" s="7">
        <v>4636.6934916979699</v>
      </c>
      <c r="R541" s="113">
        <f t="shared" si="58"/>
        <v>0.40234532955923979</v>
      </c>
      <c r="S541" s="113">
        <f t="shared" si="59"/>
        <v>0.28708133971291866</v>
      </c>
      <c r="T541" s="113">
        <f t="shared" si="60"/>
        <v>0</v>
      </c>
      <c r="U541" s="113">
        <f t="shared" si="61"/>
        <v>0.22980888975738614</v>
      </c>
    </row>
    <row r="542" spans="1:21" x14ac:dyDescent="0.45">
      <c r="A542" s="95">
        <v>45102</v>
      </c>
      <c r="B542" s="96">
        <v>4946</v>
      </c>
      <c r="C542" s="7">
        <v>1990</v>
      </c>
      <c r="D542" s="7">
        <f t="shared" si="56"/>
        <v>2956</v>
      </c>
      <c r="E542" s="97">
        <v>2090</v>
      </c>
      <c r="F542" s="7">
        <v>600</v>
      </c>
      <c r="G542" s="7">
        <f t="shared" si="57"/>
        <v>1490</v>
      </c>
      <c r="H542" s="98">
        <v>0</v>
      </c>
      <c r="I542" s="7">
        <v>0</v>
      </c>
      <c r="J542" s="7"/>
      <c r="K542" s="99">
        <f t="shared" si="62"/>
        <v>7036</v>
      </c>
      <c r="L542" s="7">
        <v>1140</v>
      </c>
      <c r="M542" s="7">
        <v>3840</v>
      </c>
      <c r="N542" s="7">
        <v>0</v>
      </c>
      <c r="O542" s="7">
        <v>0</v>
      </c>
      <c r="P542" s="7">
        <v>4906.1363947620284</v>
      </c>
      <c r="Q542" s="7">
        <v>4636.6934916979699</v>
      </c>
      <c r="R542" s="113">
        <f t="shared" si="58"/>
        <v>0.40234532955923979</v>
      </c>
      <c r="S542" s="113">
        <f t="shared" si="59"/>
        <v>0.28708133971291866</v>
      </c>
      <c r="T542" s="113">
        <f t="shared" si="60"/>
        <v>0</v>
      </c>
      <c r="U542" s="113">
        <f t="shared" si="61"/>
        <v>0.22980888975738614</v>
      </c>
    </row>
    <row r="543" spans="1:21" x14ac:dyDescent="0.45">
      <c r="A543" s="95">
        <v>45103</v>
      </c>
      <c r="B543" s="96">
        <v>4946</v>
      </c>
      <c r="C543" s="7">
        <v>1990</v>
      </c>
      <c r="D543" s="7">
        <f t="shared" si="56"/>
        <v>2956</v>
      </c>
      <c r="E543" s="97">
        <v>2090</v>
      </c>
      <c r="F543" s="7">
        <v>600</v>
      </c>
      <c r="G543" s="7">
        <f t="shared" si="57"/>
        <v>1490</v>
      </c>
      <c r="H543" s="98">
        <v>0</v>
      </c>
      <c r="I543" s="7">
        <v>0</v>
      </c>
      <c r="J543" s="7"/>
      <c r="K543" s="99">
        <f t="shared" si="62"/>
        <v>7036</v>
      </c>
      <c r="L543" s="7">
        <v>1140</v>
      </c>
      <c r="M543" s="7">
        <v>3840</v>
      </c>
      <c r="N543" s="7">
        <v>0</v>
      </c>
      <c r="O543" s="7">
        <v>0</v>
      </c>
      <c r="P543" s="7">
        <v>4906.1363947620284</v>
      </c>
      <c r="Q543" s="7">
        <v>4625.4185732379701</v>
      </c>
      <c r="R543" s="113">
        <f t="shared" si="58"/>
        <v>0.40234532955923979</v>
      </c>
      <c r="S543" s="113">
        <f t="shared" si="59"/>
        <v>0.28708133971291866</v>
      </c>
      <c r="T543" s="113">
        <f t="shared" si="60"/>
        <v>0</v>
      </c>
      <c r="U543" s="113">
        <f t="shared" si="61"/>
        <v>0.22980888975738614</v>
      </c>
    </row>
    <row r="544" spans="1:21" x14ac:dyDescent="0.45">
      <c r="A544" s="95">
        <v>45104</v>
      </c>
      <c r="B544" s="96">
        <v>4946</v>
      </c>
      <c r="C544" s="7">
        <v>1990</v>
      </c>
      <c r="D544" s="7">
        <f t="shared" si="56"/>
        <v>2956</v>
      </c>
      <c r="E544" s="97">
        <v>1950</v>
      </c>
      <c r="F544" s="7">
        <v>400</v>
      </c>
      <c r="G544" s="7">
        <f t="shared" si="57"/>
        <v>1550</v>
      </c>
      <c r="H544" s="98">
        <v>0</v>
      </c>
      <c r="I544" s="7">
        <v>0</v>
      </c>
      <c r="J544" s="7"/>
      <c r="K544" s="99">
        <f t="shared" si="62"/>
        <v>6896</v>
      </c>
      <c r="L544" s="7">
        <v>1140</v>
      </c>
      <c r="M544" s="7">
        <v>3840</v>
      </c>
      <c r="N544" s="7">
        <v>0</v>
      </c>
      <c r="O544" s="7">
        <v>0</v>
      </c>
      <c r="P544" s="7">
        <v>4906.1363947620284</v>
      </c>
      <c r="Q544" s="7">
        <v>5647.6272848579692</v>
      </c>
      <c r="R544" s="113">
        <f t="shared" si="58"/>
        <v>0.40234532955923979</v>
      </c>
      <c r="S544" s="113">
        <f t="shared" si="59"/>
        <v>0.20512820512820512</v>
      </c>
      <c r="T544" s="113">
        <f t="shared" si="60"/>
        <v>0</v>
      </c>
      <c r="U544" s="113">
        <f t="shared" si="61"/>
        <v>0.20249117822914831</v>
      </c>
    </row>
    <row r="545" spans="1:21" x14ac:dyDescent="0.45">
      <c r="A545" s="95">
        <v>45105</v>
      </c>
      <c r="B545" s="96">
        <v>4846</v>
      </c>
      <c r="C545" s="7">
        <v>1990</v>
      </c>
      <c r="D545" s="7">
        <f t="shared" si="56"/>
        <v>2856</v>
      </c>
      <c r="E545" s="97">
        <v>1950</v>
      </c>
      <c r="F545" s="7">
        <v>400</v>
      </c>
      <c r="G545" s="7">
        <f t="shared" si="57"/>
        <v>1550</v>
      </c>
      <c r="H545" s="98">
        <v>0</v>
      </c>
      <c r="I545" s="7">
        <v>0</v>
      </c>
      <c r="J545" s="7"/>
      <c r="K545" s="99">
        <f t="shared" si="62"/>
        <v>6796</v>
      </c>
      <c r="L545" s="7">
        <v>1060</v>
      </c>
      <c r="M545" s="7">
        <v>3840</v>
      </c>
      <c r="N545" s="7">
        <v>0</v>
      </c>
      <c r="O545" s="7">
        <v>0</v>
      </c>
      <c r="P545" s="7">
        <v>4906.1363947620284</v>
      </c>
      <c r="Q545" s="7">
        <v>5647.6272848579692</v>
      </c>
      <c r="R545" s="113">
        <f t="shared" si="58"/>
        <v>0.4106479570780025</v>
      </c>
      <c r="S545" s="113">
        <f t="shared" si="59"/>
        <v>0.20512820512820512</v>
      </c>
      <c r="T545" s="113">
        <f t="shared" si="60"/>
        <v>0</v>
      </c>
      <c r="U545" s="113">
        <f t="shared" si="61"/>
        <v>0.20525872073540255</v>
      </c>
    </row>
    <row r="546" spans="1:21" x14ac:dyDescent="0.45">
      <c r="A546" s="95">
        <v>45106</v>
      </c>
      <c r="B546" s="96">
        <v>4846</v>
      </c>
      <c r="C546" s="7">
        <v>1890</v>
      </c>
      <c r="D546" s="7">
        <f t="shared" si="56"/>
        <v>2956</v>
      </c>
      <c r="E546" s="97">
        <v>2350</v>
      </c>
      <c r="F546" s="7">
        <v>200</v>
      </c>
      <c r="G546" s="7">
        <f t="shared" si="57"/>
        <v>2150</v>
      </c>
      <c r="H546" s="98">
        <v>0</v>
      </c>
      <c r="I546" s="7">
        <v>0</v>
      </c>
      <c r="J546" s="7"/>
      <c r="K546" s="99">
        <f t="shared" si="62"/>
        <v>7196</v>
      </c>
      <c r="L546" s="7">
        <v>1060</v>
      </c>
      <c r="M546" s="7">
        <v>3840</v>
      </c>
      <c r="N546" s="7">
        <v>0</v>
      </c>
      <c r="O546" s="7">
        <v>0</v>
      </c>
      <c r="P546" s="7">
        <v>4906.1363947620284</v>
      </c>
      <c r="Q546" s="7">
        <v>5647.6272848579692</v>
      </c>
      <c r="R546" s="113">
        <f t="shared" si="58"/>
        <v>0.39001238134543953</v>
      </c>
      <c r="S546" s="113">
        <f t="shared" si="59"/>
        <v>8.5106382978723402E-2</v>
      </c>
      <c r="T546" s="113">
        <f t="shared" si="60"/>
        <v>0</v>
      </c>
      <c r="U546" s="113">
        <f t="shared" si="61"/>
        <v>0.15837292144138765</v>
      </c>
    </row>
    <row r="547" spans="1:21" x14ac:dyDescent="0.45">
      <c r="A547" s="95">
        <v>45107</v>
      </c>
      <c r="B547" s="96">
        <v>4846</v>
      </c>
      <c r="C547" s="7">
        <v>1890</v>
      </c>
      <c r="D547" s="7">
        <f t="shared" si="56"/>
        <v>2956</v>
      </c>
      <c r="E547" s="97">
        <v>2350</v>
      </c>
      <c r="F547" s="7">
        <v>200</v>
      </c>
      <c r="G547" s="7">
        <f t="shared" si="57"/>
        <v>2150</v>
      </c>
      <c r="H547" s="98">
        <v>0</v>
      </c>
      <c r="I547" s="7">
        <v>0</v>
      </c>
      <c r="J547" s="7"/>
      <c r="K547" s="99">
        <f t="shared" si="62"/>
        <v>7196</v>
      </c>
      <c r="L547" s="7">
        <v>1060</v>
      </c>
      <c r="M547" s="7">
        <v>3840</v>
      </c>
      <c r="N547" s="7">
        <v>0</v>
      </c>
      <c r="O547" s="7">
        <v>0</v>
      </c>
      <c r="P547" s="7">
        <v>4906.1363947620284</v>
      </c>
      <c r="Q547" s="7">
        <v>5647.6272848579692</v>
      </c>
      <c r="R547" s="113">
        <f t="shared" si="58"/>
        <v>0.39001238134543953</v>
      </c>
      <c r="S547" s="113">
        <f t="shared" si="59"/>
        <v>8.5106382978723402E-2</v>
      </c>
      <c r="T547" s="113">
        <f t="shared" si="60"/>
        <v>0</v>
      </c>
      <c r="U547" s="113">
        <f t="shared" si="61"/>
        <v>0.15837292144138765</v>
      </c>
    </row>
    <row r="548" spans="1:21" x14ac:dyDescent="0.45">
      <c r="A548" s="95">
        <v>45108</v>
      </c>
      <c r="B548" s="96">
        <v>4846</v>
      </c>
      <c r="C548" s="7">
        <v>1890</v>
      </c>
      <c r="D548" s="7">
        <f t="shared" si="56"/>
        <v>2956</v>
      </c>
      <c r="E548" s="97">
        <v>2350</v>
      </c>
      <c r="F548" s="7">
        <v>200</v>
      </c>
      <c r="G548" s="7">
        <f t="shared" si="57"/>
        <v>2150</v>
      </c>
      <c r="H548" s="98">
        <v>0</v>
      </c>
      <c r="I548" s="7">
        <v>0</v>
      </c>
      <c r="J548" s="7"/>
      <c r="K548" s="99">
        <f t="shared" si="62"/>
        <v>7196</v>
      </c>
      <c r="L548" s="7">
        <v>1060</v>
      </c>
      <c r="M548" s="7">
        <v>3840</v>
      </c>
      <c r="N548" s="7">
        <v>0</v>
      </c>
      <c r="O548" s="7">
        <v>0</v>
      </c>
      <c r="P548" s="7">
        <v>4906.1363947620284</v>
      </c>
      <c r="Q548" s="7">
        <v>5647.6272848579692</v>
      </c>
      <c r="R548" s="113">
        <f t="shared" si="58"/>
        <v>0.39001238134543953</v>
      </c>
      <c r="S548" s="113">
        <f t="shared" si="59"/>
        <v>8.5106382978723402E-2</v>
      </c>
      <c r="T548" s="113">
        <f t="shared" si="60"/>
        <v>0</v>
      </c>
      <c r="U548" s="113">
        <f t="shared" si="61"/>
        <v>0.15837292144138765</v>
      </c>
    </row>
    <row r="549" spans="1:21" x14ac:dyDescent="0.45">
      <c r="A549" s="95">
        <v>45109</v>
      </c>
      <c r="B549" s="96">
        <v>4846</v>
      </c>
      <c r="C549" s="7">
        <v>1890</v>
      </c>
      <c r="D549" s="7">
        <f t="shared" si="56"/>
        <v>2956</v>
      </c>
      <c r="E549" s="97">
        <v>2350</v>
      </c>
      <c r="F549" s="7">
        <v>200</v>
      </c>
      <c r="G549" s="7">
        <f t="shared" si="57"/>
        <v>2150</v>
      </c>
      <c r="H549" s="98">
        <v>0</v>
      </c>
      <c r="I549" s="7">
        <v>0</v>
      </c>
      <c r="J549" s="7"/>
      <c r="K549" s="99">
        <f t="shared" si="62"/>
        <v>7196</v>
      </c>
      <c r="L549" s="7">
        <v>1060</v>
      </c>
      <c r="M549" s="7">
        <v>3840</v>
      </c>
      <c r="N549" s="7">
        <v>0</v>
      </c>
      <c r="O549" s="7">
        <v>0</v>
      </c>
      <c r="P549" s="7">
        <v>4906.1363947620284</v>
      </c>
      <c r="Q549" s="7">
        <v>5647.6272848579692</v>
      </c>
      <c r="R549" s="113">
        <f t="shared" si="58"/>
        <v>0.39001238134543953</v>
      </c>
      <c r="S549" s="113">
        <f t="shared" si="59"/>
        <v>8.5106382978723402E-2</v>
      </c>
      <c r="T549" s="113">
        <f t="shared" si="60"/>
        <v>0</v>
      </c>
      <c r="U549" s="113">
        <f t="shared" si="61"/>
        <v>0.15837292144138765</v>
      </c>
    </row>
    <row r="550" spans="1:21" x14ac:dyDescent="0.45">
      <c r="A550" s="95">
        <v>45110</v>
      </c>
      <c r="B550" s="96">
        <v>4846</v>
      </c>
      <c r="C550" s="7">
        <v>1890</v>
      </c>
      <c r="D550" s="7">
        <f t="shared" si="56"/>
        <v>2956</v>
      </c>
      <c r="E550" s="97">
        <v>2350</v>
      </c>
      <c r="F550" s="7">
        <v>200</v>
      </c>
      <c r="G550" s="7">
        <f t="shared" si="57"/>
        <v>2150</v>
      </c>
      <c r="H550" s="98">
        <v>0</v>
      </c>
      <c r="I550" s="7">
        <v>0</v>
      </c>
      <c r="J550" s="7"/>
      <c r="K550" s="99">
        <f t="shared" si="62"/>
        <v>7196</v>
      </c>
      <c r="L550" s="7">
        <v>1060</v>
      </c>
      <c r="M550" s="7">
        <v>3840</v>
      </c>
      <c r="N550" s="7">
        <v>0</v>
      </c>
      <c r="O550" s="7">
        <v>0</v>
      </c>
      <c r="P550" s="7">
        <v>4906.1363947620284</v>
      </c>
      <c r="Q550" s="7">
        <v>5555.0196709279708</v>
      </c>
      <c r="R550" s="113">
        <f t="shared" si="58"/>
        <v>0.39001238134543953</v>
      </c>
      <c r="S550" s="113">
        <f t="shared" si="59"/>
        <v>8.5106382978723402E-2</v>
      </c>
      <c r="T550" s="113">
        <f t="shared" si="60"/>
        <v>0</v>
      </c>
      <c r="U550" s="113">
        <f t="shared" si="61"/>
        <v>0.15837292144138765</v>
      </c>
    </row>
    <row r="551" spans="1:21" x14ac:dyDescent="0.45">
      <c r="A551" s="95">
        <v>45111</v>
      </c>
      <c r="B551" s="96">
        <v>4846</v>
      </c>
      <c r="C551" s="7">
        <v>1890</v>
      </c>
      <c r="D551" s="7">
        <f t="shared" si="56"/>
        <v>2956</v>
      </c>
      <c r="E551" s="97">
        <v>2350</v>
      </c>
      <c r="F551" s="7">
        <v>200</v>
      </c>
      <c r="G551" s="7">
        <f t="shared" si="57"/>
        <v>2150</v>
      </c>
      <c r="H551" s="98">
        <v>0</v>
      </c>
      <c r="I551" s="7">
        <v>0</v>
      </c>
      <c r="J551" s="7"/>
      <c r="K551" s="99">
        <f t="shared" si="62"/>
        <v>7196</v>
      </c>
      <c r="L551" s="7">
        <v>1060</v>
      </c>
      <c r="M551" s="7">
        <v>3840</v>
      </c>
      <c r="N551" s="7">
        <v>0</v>
      </c>
      <c r="O551" s="7">
        <v>0</v>
      </c>
      <c r="P551" s="7">
        <v>4906.1363947620284</v>
      </c>
      <c r="Q551" s="7">
        <v>5472.9372691379713</v>
      </c>
      <c r="R551" s="113">
        <f t="shared" si="58"/>
        <v>0.39001238134543953</v>
      </c>
      <c r="S551" s="113">
        <f t="shared" si="59"/>
        <v>8.5106382978723402E-2</v>
      </c>
      <c r="T551" s="113">
        <f t="shared" si="60"/>
        <v>0</v>
      </c>
      <c r="U551" s="113">
        <f t="shared" si="61"/>
        <v>0.15837292144138765</v>
      </c>
    </row>
    <row r="552" spans="1:21" x14ac:dyDescent="0.45">
      <c r="A552" s="95">
        <v>45112</v>
      </c>
      <c r="B552" s="96">
        <v>4766</v>
      </c>
      <c r="C552" s="7">
        <v>1890</v>
      </c>
      <c r="D552" s="7">
        <f t="shared" si="56"/>
        <v>2876</v>
      </c>
      <c r="E552" s="97">
        <v>2350</v>
      </c>
      <c r="F552" s="7">
        <v>200</v>
      </c>
      <c r="G552" s="7">
        <f t="shared" si="57"/>
        <v>2150</v>
      </c>
      <c r="H552" s="98">
        <v>0</v>
      </c>
      <c r="I552" s="7">
        <v>0</v>
      </c>
      <c r="J552" s="7"/>
      <c r="K552" s="99">
        <f t="shared" si="62"/>
        <v>7116</v>
      </c>
      <c r="L552" s="7">
        <v>1060</v>
      </c>
      <c r="M552" s="7">
        <v>4600</v>
      </c>
      <c r="N552" s="7">
        <v>0</v>
      </c>
      <c r="O552" s="7">
        <v>0</v>
      </c>
      <c r="P552" s="7">
        <v>4906.1363947620284</v>
      </c>
      <c r="Q552" s="7">
        <v>5031.4708150179704</v>
      </c>
      <c r="R552" s="113">
        <f t="shared" si="58"/>
        <v>0.39655895929500629</v>
      </c>
      <c r="S552" s="113">
        <f t="shared" si="59"/>
        <v>8.5106382978723402E-2</v>
      </c>
      <c r="T552" s="113">
        <f t="shared" si="60"/>
        <v>0</v>
      </c>
      <c r="U552" s="113">
        <f t="shared" si="61"/>
        <v>0.16055511409124323</v>
      </c>
    </row>
    <row r="553" spans="1:21" x14ac:dyDescent="0.45">
      <c r="A553" s="95">
        <v>45113</v>
      </c>
      <c r="B553" s="96">
        <v>4766</v>
      </c>
      <c r="C553" s="7">
        <v>1810</v>
      </c>
      <c r="D553" s="7">
        <f t="shared" si="56"/>
        <v>2956</v>
      </c>
      <c r="E553" s="97">
        <v>2350</v>
      </c>
      <c r="F553" s="7">
        <v>200</v>
      </c>
      <c r="G553" s="7">
        <f t="shared" si="57"/>
        <v>2150</v>
      </c>
      <c r="H553" s="98">
        <v>0</v>
      </c>
      <c r="I553" s="7">
        <v>0</v>
      </c>
      <c r="J553" s="7"/>
      <c r="K553" s="99">
        <f t="shared" si="62"/>
        <v>7116</v>
      </c>
      <c r="L553" s="7">
        <v>1000</v>
      </c>
      <c r="M553" s="7">
        <v>4600</v>
      </c>
      <c r="N553" s="7">
        <v>0</v>
      </c>
      <c r="O553" s="7">
        <v>0</v>
      </c>
      <c r="P553" s="7">
        <v>4906.1363947620284</v>
      </c>
      <c r="Q553" s="7">
        <v>3580.5593461379713</v>
      </c>
      <c r="R553" s="113">
        <f t="shared" si="58"/>
        <v>0.37977339488040285</v>
      </c>
      <c r="S553" s="113">
        <f t="shared" si="59"/>
        <v>8.5106382978723402E-2</v>
      </c>
      <c r="T553" s="113">
        <f t="shared" si="60"/>
        <v>0</v>
      </c>
      <c r="U553" s="113">
        <f t="shared" si="61"/>
        <v>0.15495992595304209</v>
      </c>
    </row>
    <row r="554" spans="1:21" x14ac:dyDescent="0.45">
      <c r="A554" s="95">
        <v>45114</v>
      </c>
      <c r="B554" s="96">
        <v>4766</v>
      </c>
      <c r="C554" s="7">
        <v>1810</v>
      </c>
      <c r="D554" s="7">
        <f t="shared" si="56"/>
        <v>2956</v>
      </c>
      <c r="E554" s="97">
        <v>2350</v>
      </c>
      <c r="F554" s="7">
        <v>200</v>
      </c>
      <c r="G554" s="7">
        <f t="shared" si="57"/>
        <v>2150</v>
      </c>
      <c r="H554" s="98">
        <v>0</v>
      </c>
      <c r="I554" s="7">
        <v>0</v>
      </c>
      <c r="J554" s="7"/>
      <c r="K554" s="99">
        <f t="shared" si="62"/>
        <v>7116</v>
      </c>
      <c r="L554" s="7">
        <v>1000</v>
      </c>
      <c r="M554" s="7">
        <v>4600</v>
      </c>
      <c r="N554" s="7">
        <v>0</v>
      </c>
      <c r="O554" s="7">
        <v>0</v>
      </c>
      <c r="P554" s="7">
        <v>4906.1363947620284</v>
      </c>
      <c r="Q554" s="7">
        <v>3618.9689190279705</v>
      </c>
      <c r="R554" s="113">
        <f t="shared" si="58"/>
        <v>0.37977339488040285</v>
      </c>
      <c r="S554" s="113">
        <f t="shared" si="59"/>
        <v>8.5106382978723402E-2</v>
      </c>
      <c r="T554" s="113">
        <f t="shared" si="60"/>
        <v>0</v>
      </c>
      <c r="U554" s="113">
        <f t="shared" si="61"/>
        <v>0.15495992595304209</v>
      </c>
    </row>
    <row r="555" spans="1:21" x14ac:dyDescent="0.45">
      <c r="A555" s="95">
        <v>45115</v>
      </c>
      <c r="B555" s="96">
        <v>4766</v>
      </c>
      <c r="C555" s="7">
        <v>1810</v>
      </c>
      <c r="D555" s="7">
        <f t="shared" si="56"/>
        <v>2956</v>
      </c>
      <c r="E555" s="97">
        <v>2350</v>
      </c>
      <c r="F555" s="7">
        <v>200</v>
      </c>
      <c r="G555" s="7">
        <f t="shared" si="57"/>
        <v>2150</v>
      </c>
      <c r="H555" s="98">
        <v>0</v>
      </c>
      <c r="I555" s="7">
        <v>0</v>
      </c>
      <c r="J555" s="7"/>
      <c r="K555" s="99">
        <f t="shared" si="62"/>
        <v>7116</v>
      </c>
      <c r="L555" s="7">
        <v>1000</v>
      </c>
      <c r="M555" s="7">
        <v>4600</v>
      </c>
      <c r="N555" s="7">
        <v>0</v>
      </c>
      <c r="O555" s="7">
        <v>0</v>
      </c>
      <c r="P555" s="7">
        <v>4906.1363947620284</v>
      </c>
      <c r="Q555" s="7">
        <v>3618.9689190279705</v>
      </c>
      <c r="R555" s="113">
        <f t="shared" si="58"/>
        <v>0.37977339488040285</v>
      </c>
      <c r="S555" s="113">
        <f t="shared" si="59"/>
        <v>8.5106382978723402E-2</v>
      </c>
      <c r="T555" s="113">
        <f t="shared" si="60"/>
        <v>0</v>
      </c>
      <c r="U555" s="113">
        <f t="shared" si="61"/>
        <v>0.15495992595304209</v>
      </c>
    </row>
    <row r="556" spans="1:21" x14ac:dyDescent="0.45">
      <c r="A556" s="95">
        <v>45116</v>
      </c>
      <c r="B556" s="96">
        <v>4766</v>
      </c>
      <c r="C556" s="7">
        <v>1810</v>
      </c>
      <c r="D556" s="7">
        <f t="shared" si="56"/>
        <v>2956</v>
      </c>
      <c r="E556" s="97">
        <v>2350</v>
      </c>
      <c r="F556" s="7">
        <v>200</v>
      </c>
      <c r="G556" s="7">
        <f t="shared" si="57"/>
        <v>2150</v>
      </c>
      <c r="H556" s="98">
        <v>0</v>
      </c>
      <c r="I556" s="7">
        <v>0</v>
      </c>
      <c r="J556" s="7"/>
      <c r="K556" s="99">
        <f t="shared" si="62"/>
        <v>7116</v>
      </c>
      <c r="L556" s="7">
        <v>1000</v>
      </c>
      <c r="M556" s="7">
        <v>4600</v>
      </c>
      <c r="N556" s="7">
        <v>0</v>
      </c>
      <c r="O556" s="7">
        <v>0</v>
      </c>
      <c r="P556" s="7">
        <v>4906.1363947620284</v>
      </c>
      <c r="Q556" s="7">
        <v>3618.9689190279705</v>
      </c>
      <c r="R556" s="113">
        <f t="shared" si="58"/>
        <v>0.37977339488040285</v>
      </c>
      <c r="S556" s="113">
        <f t="shared" si="59"/>
        <v>8.5106382978723402E-2</v>
      </c>
      <c r="T556" s="113">
        <f t="shared" si="60"/>
        <v>0</v>
      </c>
      <c r="U556" s="113">
        <f t="shared" si="61"/>
        <v>0.15495992595304209</v>
      </c>
    </row>
    <row r="557" spans="1:21" x14ac:dyDescent="0.45">
      <c r="A557" s="95">
        <v>45117</v>
      </c>
      <c r="B557" s="96">
        <v>4766</v>
      </c>
      <c r="C557" s="7">
        <v>1810</v>
      </c>
      <c r="D557" s="7">
        <f t="shared" si="56"/>
        <v>2956</v>
      </c>
      <c r="E557" s="97">
        <v>2350</v>
      </c>
      <c r="F557" s="7">
        <v>200</v>
      </c>
      <c r="G557" s="7">
        <f t="shared" si="57"/>
        <v>2150</v>
      </c>
      <c r="H557" s="98">
        <v>0</v>
      </c>
      <c r="I557" s="7">
        <v>0</v>
      </c>
      <c r="J557" s="7"/>
      <c r="K557" s="99">
        <f t="shared" si="62"/>
        <v>7116</v>
      </c>
      <c r="L557" s="7">
        <v>1000</v>
      </c>
      <c r="M557" s="7">
        <v>4600</v>
      </c>
      <c r="N557" s="7">
        <v>0</v>
      </c>
      <c r="O557" s="7">
        <v>0</v>
      </c>
      <c r="P557" s="7">
        <v>5016.7333110486397</v>
      </c>
      <c r="Q557" s="7">
        <v>3607.6042236713602</v>
      </c>
      <c r="R557" s="113">
        <f t="shared" si="58"/>
        <v>0.37977339488040285</v>
      </c>
      <c r="S557" s="113">
        <f t="shared" si="59"/>
        <v>8.5106382978723402E-2</v>
      </c>
      <c r="T557" s="113">
        <f t="shared" si="60"/>
        <v>0</v>
      </c>
      <c r="U557" s="113">
        <f t="shared" si="61"/>
        <v>0.15495992595304209</v>
      </c>
    </row>
    <row r="558" spans="1:21" x14ac:dyDescent="0.45">
      <c r="A558" s="95">
        <v>45118</v>
      </c>
      <c r="B558" s="96">
        <v>4766</v>
      </c>
      <c r="C558" s="7">
        <v>1810</v>
      </c>
      <c r="D558" s="7">
        <f t="shared" si="56"/>
        <v>2956</v>
      </c>
      <c r="E558" s="97">
        <v>2350</v>
      </c>
      <c r="F558" s="7">
        <v>200</v>
      </c>
      <c r="G558" s="7">
        <f t="shared" si="57"/>
        <v>2150</v>
      </c>
      <c r="H558" s="98">
        <v>0</v>
      </c>
      <c r="I558" s="7">
        <v>0</v>
      </c>
      <c r="J558" s="7"/>
      <c r="K558" s="99">
        <f t="shared" si="62"/>
        <v>7116</v>
      </c>
      <c r="L558" s="7">
        <v>1000</v>
      </c>
      <c r="M558" s="7">
        <v>4600</v>
      </c>
      <c r="N558" s="7">
        <v>0</v>
      </c>
      <c r="O558" s="7">
        <v>0</v>
      </c>
      <c r="P558" s="7">
        <v>5016.7333110486397</v>
      </c>
      <c r="Q558" s="7">
        <v>4075.4279826913603</v>
      </c>
      <c r="R558" s="113">
        <f t="shared" si="58"/>
        <v>0.37977339488040285</v>
      </c>
      <c r="S558" s="113">
        <f t="shared" si="59"/>
        <v>8.5106382978723402E-2</v>
      </c>
      <c r="T558" s="113">
        <f t="shared" si="60"/>
        <v>0</v>
      </c>
      <c r="U558" s="113">
        <f t="shared" si="61"/>
        <v>0.15495992595304209</v>
      </c>
    </row>
    <row r="559" spans="1:21" x14ac:dyDescent="0.45">
      <c r="A559" s="95">
        <v>45119</v>
      </c>
      <c r="B559" s="96">
        <v>4441</v>
      </c>
      <c r="C559" s="7">
        <v>1810</v>
      </c>
      <c r="D559" s="7">
        <f t="shared" si="56"/>
        <v>2631</v>
      </c>
      <c r="E559" s="97">
        <v>2350</v>
      </c>
      <c r="F559" s="7">
        <v>200</v>
      </c>
      <c r="G559" s="7">
        <f t="shared" si="57"/>
        <v>2150</v>
      </c>
      <c r="H559" s="98">
        <v>0</v>
      </c>
      <c r="I559" s="7">
        <v>0</v>
      </c>
      <c r="J559" s="7"/>
      <c r="K559" s="99">
        <f t="shared" si="62"/>
        <v>6791</v>
      </c>
      <c r="L559" s="7">
        <v>1000</v>
      </c>
      <c r="M559" s="7">
        <v>4600</v>
      </c>
      <c r="N559" s="7">
        <v>0</v>
      </c>
      <c r="O559" s="7">
        <v>0</v>
      </c>
      <c r="P559" s="7">
        <v>5016.7333110486397</v>
      </c>
      <c r="Q559" s="7">
        <v>4099.7611062713595</v>
      </c>
      <c r="R559" s="113">
        <f t="shared" si="58"/>
        <v>0.40756586354424679</v>
      </c>
      <c r="S559" s="113">
        <f t="shared" si="59"/>
        <v>8.5106382978723402E-2</v>
      </c>
      <c r="T559" s="113">
        <f t="shared" si="60"/>
        <v>0</v>
      </c>
      <c r="U559" s="113">
        <f t="shared" si="61"/>
        <v>0.16422408217432341</v>
      </c>
    </row>
    <row r="560" spans="1:21" x14ac:dyDescent="0.45">
      <c r="A560" s="95">
        <v>45120</v>
      </c>
      <c r="B560" s="96">
        <v>4441</v>
      </c>
      <c r="C560" s="7">
        <v>1350</v>
      </c>
      <c r="D560" s="7">
        <f t="shared" si="56"/>
        <v>3091</v>
      </c>
      <c r="E560" s="97">
        <v>2350</v>
      </c>
      <c r="F560" s="7">
        <v>200</v>
      </c>
      <c r="G560" s="7">
        <f t="shared" si="57"/>
        <v>2150</v>
      </c>
      <c r="H560" s="98">
        <v>0</v>
      </c>
      <c r="I560" s="7">
        <v>0</v>
      </c>
      <c r="J560" s="7"/>
      <c r="K560" s="99">
        <f t="shared" si="62"/>
        <v>6791</v>
      </c>
      <c r="L560" s="7">
        <v>1200</v>
      </c>
      <c r="M560" s="7">
        <v>3900</v>
      </c>
      <c r="N560" s="7">
        <v>0</v>
      </c>
      <c r="O560" s="7">
        <v>0</v>
      </c>
      <c r="P560" s="7">
        <v>5016.7333110486397</v>
      </c>
      <c r="Q560" s="7">
        <v>4862.3223746913609</v>
      </c>
      <c r="R560" s="113">
        <f t="shared" si="58"/>
        <v>0.3039855888313443</v>
      </c>
      <c r="S560" s="113">
        <f t="shared" si="59"/>
        <v>8.5106382978723402E-2</v>
      </c>
      <c r="T560" s="113">
        <f t="shared" si="60"/>
        <v>0</v>
      </c>
      <c r="U560" s="113">
        <f t="shared" si="61"/>
        <v>0.12969732393668923</v>
      </c>
    </row>
    <row r="561" spans="1:21" x14ac:dyDescent="0.45">
      <c r="A561" s="95">
        <v>45121</v>
      </c>
      <c r="B561" s="96">
        <v>4441</v>
      </c>
      <c r="C561" s="7">
        <v>1350</v>
      </c>
      <c r="D561" s="7">
        <f t="shared" si="56"/>
        <v>3091</v>
      </c>
      <c r="E561" s="97">
        <v>2350</v>
      </c>
      <c r="F561" s="7">
        <v>200</v>
      </c>
      <c r="G561" s="7">
        <f t="shared" si="57"/>
        <v>2150</v>
      </c>
      <c r="H561" s="98">
        <v>0</v>
      </c>
      <c r="I561" s="7">
        <v>0</v>
      </c>
      <c r="J561" s="7"/>
      <c r="K561" s="99">
        <f t="shared" si="62"/>
        <v>6791</v>
      </c>
      <c r="L561" s="7">
        <v>1200</v>
      </c>
      <c r="M561" s="7">
        <v>3900</v>
      </c>
      <c r="N561" s="7">
        <v>0</v>
      </c>
      <c r="O561" s="7">
        <v>0</v>
      </c>
      <c r="P561" s="7">
        <v>5016.7333110486397</v>
      </c>
      <c r="Q561" s="7">
        <v>4952.5077550013602</v>
      </c>
      <c r="R561" s="113">
        <f t="shared" si="58"/>
        <v>0.3039855888313443</v>
      </c>
      <c r="S561" s="113">
        <f t="shared" si="59"/>
        <v>8.5106382978723402E-2</v>
      </c>
      <c r="T561" s="113">
        <f t="shared" si="60"/>
        <v>0</v>
      </c>
      <c r="U561" s="113">
        <f t="shared" si="61"/>
        <v>0.12969732393668923</v>
      </c>
    </row>
    <row r="562" spans="1:21" x14ac:dyDescent="0.45">
      <c r="A562" s="95">
        <v>45122</v>
      </c>
      <c r="B562" s="96">
        <v>4441</v>
      </c>
      <c r="C562" s="7">
        <v>1350</v>
      </c>
      <c r="D562" s="7">
        <f t="shared" si="56"/>
        <v>3091</v>
      </c>
      <c r="E562" s="97">
        <v>2350</v>
      </c>
      <c r="F562" s="7">
        <v>200</v>
      </c>
      <c r="G562" s="7">
        <f t="shared" si="57"/>
        <v>2150</v>
      </c>
      <c r="H562" s="98">
        <v>0</v>
      </c>
      <c r="I562" s="7">
        <v>0</v>
      </c>
      <c r="J562" s="7"/>
      <c r="K562" s="99">
        <f t="shared" si="62"/>
        <v>6791</v>
      </c>
      <c r="L562" s="7">
        <v>1200</v>
      </c>
      <c r="M562" s="7">
        <v>3900</v>
      </c>
      <c r="N562" s="7">
        <v>0</v>
      </c>
      <c r="O562" s="7">
        <v>0</v>
      </c>
      <c r="P562" s="7">
        <v>5016.7333110486397</v>
      </c>
      <c r="Q562" s="7">
        <v>4952.5077550013602</v>
      </c>
      <c r="R562" s="113">
        <f t="shared" si="58"/>
        <v>0.3039855888313443</v>
      </c>
      <c r="S562" s="113">
        <f t="shared" si="59"/>
        <v>8.5106382978723402E-2</v>
      </c>
      <c r="T562" s="113">
        <f t="shared" si="60"/>
        <v>0</v>
      </c>
      <c r="U562" s="113">
        <f t="shared" si="61"/>
        <v>0.12969732393668923</v>
      </c>
    </row>
    <row r="563" spans="1:21" x14ac:dyDescent="0.45">
      <c r="A563" s="95">
        <v>45123</v>
      </c>
      <c r="B563" s="96">
        <v>4441</v>
      </c>
      <c r="C563" s="7">
        <v>1350</v>
      </c>
      <c r="D563" s="7">
        <f t="shared" si="56"/>
        <v>3091</v>
      </c>
      <c r="E563" s="97">
        <v>2350</v>
      </c>
      <c r="F563" s="7">
        <v>200</v>
      </c>
      <c r="G563" s="7">
        <f t="shared" si="57"/>
        <v>2150</v>
      </c>
      <c r="H563" s="98">
        <v>0</v>
      </c>
      <c r="I563" s="7">
        <v>0</v>
      </c>
      <c r="J563" s="7"/>
      <c r="K563" s="99">
        <f t="shared" si="62"/>
        <v>6791</v>
      </c>
      <c r="L563" s="7">
        <v>1200</v>
      </c>
      <c r="M563" s="7">
        <v>3900</v>
      </c>
      <c r="N563" s="7">
        <v>0</v>
      </c>
      <c r="O563" s="7">
        <v>0</v>
      </c>
      <c r="P563" s="7">
        <v>5016.7333110486397</v>
      </c>
      <c r="Q563" s="7">
        <v>4952.5077550013602</v>
      </c>
      <c r="R563" s="113">
        <f t="shared" si="58"/>
        <v>0.3039855888313443</v>
      </c>
      <c r="S563" s="113">
        <f t="shared" si="59"/>
        <v>8.5106382978723402E-2</v>
      </c>
      <c r="T563" s="113">
        <f t="shared" si="60"/>
        <v>0</v>
      </c>
      <c r="U563" s="113">
        <f t="shared" si="61"/>
        <v>0.12969732393668923</v>
      </c>
    </row>
    <row r="564" spans="1:21" x14ac:dyDescent="0.45">
      <c r="A564" s="95">
        <v>45124</v>
      </c>
      <c r="B564" s="96">
        <v>4441</v>
      </c>
      <c r="C564" s="7">
        <v>1350</v>
      </c>
      <c r="D564" s="7">
        <f t="shared" si="56"/>
        <v>3091</v>
      </c>
      <c r="E564" s="97">
        <v>2350</v>
      </c>
      <c r="F564" s="7">
        <v>200</v>
      </c>
      <c r="G564" s="7">
        <f t="shared" si="57"/>
        <v>2150</v>
      </c>
      <c r="H564" s="98">
        <v>0</v>
      </c>
      <c r="I564" s="7">
        <v>0</v>
      </c>
      <c r="J564" s="7"/>
      <c r="K564" s="99">
        <f t="shared" si="62"/>
        <v>6791</v>
      </c>
      <c r="L564" s="7">
        <v>1200</v>
      </c>
      <c r="M564" s="7">
        <v>3900</v>
      </c>
      <c r="N564" s="7">
        <v>0</v>
      </c>
      <c r="O564" s="7">
        <v>0</v>
      </c>
      <c r="P564" s="7">
        <v>5016.7333110486397</v>
      </c>
      <c r="Q564" s="7">
        <v>4740.87520078136</v>
      </c>
      <c r="R564" s="113">
        <f t="shared" si="58"/>
        <v>0.3039855888313443</v>
      </c>
      <c r="S564" s="113">
        <f t="shared" si="59"/>
        <v>8.5106382978723402E-2</v>
      </c>
      <c r="T564" s="113">
        <f t="shared" si="60"/>
        <v>0</v>
      </c>
      <c r="U564" s="113">
        <f t="shared" si="61"/>
        <v>0.12969732393668923</v>
      </c>
    </row>
    <row r="565" spans="1:21" x14ac:dyDescent="0.45">
      <c r="A565" s="95">
        <v>45125</v>
      </c>
      <c r="B565" s="96">
        <v>4441</v>
      </c>
      <c r="C565" s="7">
        <v>1350</v>
      </c>
      <c r="D565" s="7">
        <f t="shared" si="56"/>
        <v>3091</v>
      </c>
      <c r="E565" s="97">
        <v>2350</v>
      </c>
      <c r="F565" s="7">
        <v>200</v>
      </c>
      <c r="G565" s="7">
        <f t="shared" si="57"/>
        <v>2150</v>
      </c>
      <c r="H565" s="98">
        <v>0</v>
      </c>
      <c r="I565" s="7">
        <v>0</v>
      </c>
      <c r="J565" s="7"/>
      <c r="K565" s="99">
        <f t="shared" si="62"/>
        <v>6791</v>
      </c>
      <c r="L565" s="7">
        <v>1200</v>
      </c>
      <c r="M565" s="7">
        <v>3900</v>
      </c>
      <c r="N565" s="7">
        <v>0</v>
      </c>
      <c r="O565" s="7">
        <v>0</v>
      </c>
      <c r="P565" s="7">
        <v>5016.7333110486397</v>
      </c>
      <c r="Q565" s="7">
        <v>4470.3994370813607</v>
      </c>
      <c r="R565" s="113">
        <f t="shared" si="58"/>
        <v>0.3039855888313443</v>
      </c>
      <c r="S565" s="113">
        <f t="shared" si="59"/>
        <v>8.5106382978723402E-2</v>
      </c>
      <c r="T565" s="113">
        <f t="shared" si="60"/>
        <v>0</v>
      </c>
      <c r="U565" s="113">
        <f t="shared" si="61"/>
        <v>0.12969732393668923</v>
      </c>
    </row>
    <row r="566" spans="1:21" x14ac:dyDescent="0.45">
      <c r="A566" s="95">
        <v>45126</v>
      </c>
      <c r="B566" s="96">
        <v>4401</v>
      </c>
      <c r="C566" s="7">
        <v>1350</v>
      </c>
      <c r="D566" s="7">
        <f t="shared" si="56"/>
        <v>3051</v>
      </c>
      <c r="E566" s="97">
        <v>2350</v>
      </c>
      <c r="F566" s="7">
        <v>200</v>
      </c>
      <c r="G566" s="7">
        <f t="shared" si="57"/>
        <v>2150</v>
      </c>
      <c r="H566" s="98">
        <v>0</v>
      </c>
      <c r="I566" s="7">
        <v>0</v>
      </c>
      <c r="J566" s="7"/>
      <c r="K566" s="99">
        <f t="shared" si="62"/>
        <v>6751</v>
      </c>
      <c r="L566" s="7">
        <v>1200</v>
      </c>
      <c r="M566" s="7">
        <v>3900</v>
      </c>
      <c r="N566" s="7">
        <v>0</v>
      </c>
      <c r="O566" s="7">
        <v>0</v>
      </c>
      <c r="P566" s="7">
        <v>5016.7333110486397</v>
      </c>
      <c r="Q566" s="7">
        <v>4470.3994370813607</v>
      </c>
      <c r="R566" s="113">
        <f t="shared" si="58"/>
        <v>0.30674846625766872</v>
      </c>
      <c r="S566" s="113">
        <f t="shared" si="59"/>
        <v>8.5106382978723402E-2</v>
      </c>
      <c r="T566" s="113">
        <f t="shared" si="60"/>
        <v>0</v>
      </c>
      <c r="U566" s="113">
        <f t="shared" si="61"/>
        <v>0.13061828307879739</v>
      </c>
    </row>
    <row r="567" spans="1:21" x14ac:dyDescent="0.45">
      <c r="A567" s="95">
        <v>45127</v>
      </c>
      <c r="B567" s="96">
        <v>4401</v>
      </c>
      <c r="C567" s="7">
        <v>1250</v>
      </c>
      <c r="D567" s="7">
        <f t="shared" si="56"/>
        <v>3151</v>
      </c>
      <c r="E567" s="97">
        <v>2350</v>
      </c>
      <c r="F567" s="7">
        <v>200</v>
      </c>
      <c r="G567" s="7">
        <f t="shared" si="57"/>
        <v>2150</v>
      </c>
      <c r="H567" s="98">
        <v>0</v>
      </c>
      <c r="I567" s="7">
        <v>0</v>
      </c>
      <c r="J567" s="7"/>
      <c r="K567" s="99">
        <f t="shared" si="62"/>
        <v>6751</v>
      </c>
      <c r="L567" s="7">
        <v>500</v>
      </c>
      <c r="M567" s="7">
        <v>3500</v>
      </c>
      <c r="N567" s="7">
        <v>0</v>
      </c>
      <c r="O567" s="7">
        <v>0</v>
      </c>
      <c r="P567" s="7">
        <v>5016.7333110486397</v>
      </c>
      <c r="Q567" s="7">
        <v>5501.7048539013604</v>
      </c>
      <c r="R567" s="113">
        <f t="shared" si="58"/>
        <v>0.28402635764598955</v>
      </c>
      <c r="S567" s="113">
        <f t="shared" si="59"/>
        <v>8.5106382978723402E-2</v>
      </c>
      <c r="T567" s="113">
        <f t="shared" si="60"/>
        <v>0</v>
      </c>
      <c r="U567" s="113">
        <f t="shared" si="61"/>
        <v>0.12304424687490433</v>
      </c>
    </row>
    <row r="568" spans="1:21" x14ac:dyDescent="0.45">
      <c r="A568" s="95">
        <v>45128</v>
      </c>
      <c r="B568" s="96">
        <v>4401</v>
      </c>
      <c r="C568" s="7">
        <v>1250</v>
      </c>
      <c r="D568" s="7">
        <f t="shared" si="56"/>
        <v>3151</v>
      </c>
      <c r="E568" s="97">
        <v>2350</v>
      </c>
      <c r="F568" s="7">
        <v>200</v>
      </c>
      <c r="G568" s="7">
        <f t="shared" si="57"/>
        <v>2150</v>
      </c>
      <c r="H568" s="98">
        <v>0</v>
      </c>
      <c r="I568" s="7">
        <v>0</v>
      </c>
      <c r="J568" s="7"/>
      <c r="K568" s="99">
        <f t="shared" si="62"/>
        <v>6751</v>
      </c>
      <c r="L568" s="7">
        <v>500</v>
      </c>
      <c r="M568" s="7">
        <v>3500</v>
      </c>
      <c r="N568" s="7">
        <v>0</v>
      </c>
      <c r="O568" s="7">
        <v>0</v>
      </c>
      <c r="P568" s="7">
        <v>5016.7333110486397</v>
      </c>
      <c r="Q568" s="7">
        <v>5754.4191978013605</v>
      </c>
      <c r="R568" s="113">
        <f t="shared" si="58"/>
        <v>0.28402635764598955</v>
      </c>
      <c r="S568" s="113">
        <f t="shared" si="59"/>
        <v>8.5106382978723402E-2</v>
      </c>
      <c r="T568" s="113">
        <f t="shared" si="60"/>
        <v>0</v>
      </c>
      <c r="U568" s="113">
        <f t="shared" si="61"/>
        <v>0.12304424687490433</v>
      </c>
    </row>
    <row r="569" spans="1:21" x14ac:dyDescent="0.45">
      <c r="A569" s="95">
        <v>45129</v>
      </c>
      <c r="B569" s="96">
        <v>4401</v>
      </c>
      <c r="C569" s="7">
        <v>1250</v>
      </c>
      <c r="D569" s="7">
        <f t="shared" si="56"/>
        <v>3151</v>
      </c>
      <c r="E569" s="97">
        <v>2350</v>
      </c>
      <c r="F569" s="7">
        <v>200</v>
      </c>
      <c r="G569" s="7">
        <f t="shared" si="57"/>
        <v>2150</v>
      </c>
      <c r="H569" s="98">
        <v>0</v>
      </c>
      <c r="I569" s="7">
        <v>0</v>
      </c>
      <c r="J569" s="7"/>
      <c r="K569" s="99">
        <f t="shared" si="62"/>
        <v>6751</v>
      </c>
      <c r="L569" s="7">
        <v>500</v>
      </c>
      <c r="M569" s="7">
        <v>3500</v>
      </c>
      <c r="N569" s="7">
        <v>0</v>
      </c>
      <c r="O569" s="7">
        <v>0</v>
      </c>
      <c r="P569" s="7">
        <v>5016.7333110486397</v>
      </c>
      <c r="Q569" s="7">
        <v>5754.4191978013605</v>
      </c>
      <c r="R569" s="113">
        <f t="shared" si="58"/>
        <v>0.28402635764598955</v>
      </c>
      <c r="S569" s="113">
        <f t="shared" si="59"/>
        <v>8.5106382978723402E-2</v>
      </c>
      <c r="T569" s="113">
        <f t="shared" si="60"/>
        <v>0</v>
      </c>
      <c r="U569" s="113">
        <f t="shared" si="61"/>
        <v>0.12304424687490433</v>
      </c>
    </row>
    <row r="570" spans="1:21" x14ac:dyDescent="0.45">
      <c r="A570" s="95">
        <v>45130</v>
      </c>
      <c r="B570" s="96">
        <v>4401</v>
      </c>
      <c r="C570" s="7">
        <v>1250</v>
      </c>
      <c r="D570" s="7">
        <f t="shared" si="56"/>
        <v>3151</v>
      </c>
      <c r="E570" s="97">
        <v>2350</v>
      </c>
      <c r="F570" s="7">
        <v>200</v>
      </c>
      <c r="G570" s="7">
        <f t="shared" si="57"/>
        <v>2150</v>
      </c>
      <c r="H570" s="98">
        <v>0</v>
      </c>
      <c r="I570" s="7">
        <v>0</v>
      </c>
      <c r="J570" s="7"/>
      <c r="K570" s="99">
        <f t="shared" si="62"/>
        <v>6751</v>
      </c>
      <c r="L570" s="7">
        <v>500</v>
      </c>
      <c r="M570" s="7">
        <v>3500</v>
      </c>
      <c r="N570" s="7">
        <v>0</v>
      </c>
      <c r="O570" s="7">
        <v>0</v>
      </c>
      <c r="P570" s="7">
        <v>5016.7333110486397</v>
      </c>
      <c r="Q570" s="7">
        <v>5754.4191978013605</v>
      </c>
      <c r="R570" s="113">
        <f t="shared" si="58"/>
        <v>0.28402635764598955</v>
      </c>
      <c r="S570" s="113">
        <f t="shared" si="59"/>
        <v>8.5106382978723402E-2</v>
      </c>
      <c r="T570" s="113">
        <f t="shared" si="60"/>
        <v>0</v>
      </c>
      <c r="U570" s="113">
        <f t="shared" si="61"/>
        <v>0.12304424687490433</v>
      </c>
    </row>
    <row r="571" spans="1:21" x14ac:dyDescent="0.45">
      <c r="A571" s="95">
        <v>45131</v>
      </c>
      <c r="B571" s="96">
        <v>4401</v>
      </c>
      <c r="C571" s="7">
        <v>1250</v>
      </c>
      <c r="D571" s="7">
        <f t="shared" si="56"/>
        <v>3151</v>
      </c>
      <c r="E571" s="97">
        <v>2350</v>
      </c>
      <c r="F571" s="7">
        <v>200</v>
      </c>
      <c r="G571" s="7">
        <f t="shared" si="57"/>
        <v>2150</v>
      </c>
      <c r="H571" s="98">
        <v>0</v>
      </c>
      <c r="I571" s="7">
        <v>0</v>
      </c>
      <c r="J571" s="7"/>
      <c r="K571" s="99">
        <f t="shared" si="62"/>
        <v>6751</v>
      </c>
      <c r="L571" s="7">
        <v>500</v>
      </c>
      <c r="M571" s="7">
        <v>3500</v>
      </c>
      <c r="N571" s="7">
        <v>0</v>
      </c>
      <c r="O571" s="7">
        <v>0</v>
      </c>
      <c r="P571" s="7">
        <v>5016.7333110486397</v>
      </c>
      <c r="Q571" s="7">
        <v>6258.3592332913595</v>
      </c>
      <c r="R571" s="113">
        <f t="shared" si="58"/>
        <v>0.28402635764598955</v>
      </c>
      <c r="S571" s="113">
        <f t="shared" si="59"/>
        <v>8.5106382978723402E-2</v>
      </c>
      <c r="T571" s="113">
        <f t="shared" si="60"/>
        <v>0</v>
      </c>
      <c r="U571" s="113">
        <f t="shared" si="61"/>
        <v>0.12304424687490433</v>
      </c>
    </row>
    <row r="572" spans="1:21" x14ac:dyDescent="0.45">
      <c r="A572" s="95">
        <v>45132</v>
      </c>
      <c r="B572" s="96">
        <v>4401</v>
      </c>
      <c r="C572" s="7">
        <v>1250</v>
      </c>
      <c r="D572" s="7">
        <f t="shared" si="56"/>
        <v>3151</v>
      </c>
      <c r="E572" s="97">
        <v>1850</v>
      </c>
      <c r="F572" s="7">
        <v>200</v>
      </c>
      <c r="G572" s="7">
        <f t="shared" si="57"/>
        <v>1650</v>
      </c>
      <c r="H572" s="98">
        <v>0</v>
      </c>
      <c r="I572" s="7">
        <v>0</v>
      </c>
      <c r="J572" s="7"/>
      <c r="K572" s="99">
        <f t="shared" si="62"/>
        <v>6251</v>
      </c>
      <c r="L572" s="7">
        <v>500</v>
      </c>
      <c r="M572" s="7">
        <v>3500</v>
      </c>
      <c r="N572" s="7">
        <v>0</v>
      </c>
      <c r="O572" s="7">
        <v>0</v>
      </c>
      <c r="P572" s="7">
        <v>5016.7333110486397</v>
      </c>
      <c r="Q572" s="7">
        <v>6079.4497096413616</v>
      </c>
      <c r="R572" s="113">
        <f t="shared" si="58"/>
        <v>0.28402635764598955</v>
      </c>
      <c r="S572" s="113">
        <f t="shared" si="59"/>
        <v>0.10810810810810811</v>
      </c>
      <c r="T572" s="113">
        <f t="shared" si="60"/>
        <v>0</v>
      </c>
      <c r="U572" s="113">
        <f t="shared" si="61"/>
        <v>0.13071148858469922</v>
      </c>
    </row>
    <row r="573" spans="1:21" x14ac:dyDescent="0.45">
      <c r="A573" s="95">
        <v>45133</v>
      </c>
      <c r="B573" s="96">
        <v>4461</v>
      </c>
      <c r="C573" s="7">
        <v>1250</v>
      </c>
      <c r="D573" s="7">
        <f t="shared" si="56"/>
        <v>3211</v>
      </c>
      <c r="E573" s="97">
        <v>1850</v>
      </c>
      <c r="F573" s="7">
        <v>200</v>
      </c>
      <c r="G573" s="7">
        <f t="shared" si="57"/>
        <v>1650</v>
      </c>
      <c r="H573" s="98">
        <v>0</v>
      </c>
      <c r="I573" s="7">
        <v>0</v>
      </c>
      <c r="J573" s="7"/>
      <c r="K573" s="99">
        <f t="shared" si="62"/>
        <v>6311</v>
      </c>
      <c r="L573" s="7">
        <v>500</v>
      </c>
      <c r="M573" s="7">
        <v>3500</v>
      </c>
      <c r="N573" s="7">
        <v>0</v>
      </c>
      <c r="O573" s="7">
        <v>0</v>
      </c>
      <c r="P573" s="7">
        <v>5016.7333110486397</v>
      </c>
      <c r="Q573" s="7">
        <v>5696.1434498413591</v>
      </c>
      <c r="R573" s="113">
        <f t="shared" si="58"/>
        <v>0.28020623178659493</v>
      </c>
      <c r="S573" s="113">
        <f t="shared" si="59"/>
        <v>0.10810810810810811</v>
      </c>
      <c r="T573" s="113">
        <f t="shared" si="60"/>
        <v>0</v>
      </c>
      <c r="U573" s="113">
        <f t="shared" si="61"/>
        <v>0.12943811329823435</v>
      </c>
    </row>
    <row r="574" spans="1:21" x14ac:dyDescent="0.45">
      <c r="A574" s="95">
        <v>45134</v>
      </c>
      <c r="B574" s="96">
        <v>4461</v>
      </c>
      <c r="C574" s="7">
        <v>1310</v>
      </c>
      <c r="D574" s="7">
        <f t="shared" si="56"/>
        <v>3151</v>
      </c>
      <c r="E574" s="97">
        <v>2350</v>
      </c>
      <c r="F574" s="7">
        <v>900</v>
      </c>
      <c r="G574" s="7">
        <f t="shared" si="57"/>
        <v>1450</v>
      </c>
      <c r="H574" s="98">
        <v>0</v>
      </c>
      <c r="I574" s="7">
        <v>0</v>
      </c>
      <c r="J574" s="7"/>
      <c r="K574" s="99">
        <f t="shared" si="62"/>
        <v>6811</v>
      </c>
      <c r="L574" s="7">
        <v>500</v>
      </c>
      <c r="M574" s="7">
        <v>3500</v>
      </c>
      <c r="N574" s="7">
        <v>0</v>
      </c>
      <c r="O574" s="7">
        <v>0</v>
      </c>
      <c r="P574" s="7">
        <v>5016.7333110486397</v>
      </c>
      <c r="Q574" s="7">
        <v>3507.7533525613603</v>
      </c>
      <c r="R574" s="113">
        <f t="shared" si="58"/>
        <v>0.29365613091235149</v>
      </c>
      <c r="S574" s="113">
        <f t="shared" si="59"/>
        <v>0.38297872340425532</v>
      </c>
      <c r="T574" s="113">
        <f t="shared" si="60"/>
        <v>0</v>
      </c>
      <c r="U574" s="113">
        <f t="shared" si="61"/>
        <v>0.22554495143886891</v>
      </c>
    </row>
    <row r="575" spans="1:21" x14ac:dyDescent="0.45">
      <c r="A575" s="95">
        <v>45135</v>
      </c>
      <c r="B575" s="96">
        <v>4461</v>
      </c>
      <c r="C575" s="7">
        <v>1310</v>
      </c>
      <c r="D575" s="7">
        <f t="shared" si="56"/>
        <v>3151</v>
      </c>
      <c r="E575" s="97">
        <v>2350</v>
      </c>
      <c r="F575" s="7">
        <v>900</v>
      </c>
      <c r="G575" s="7">
        <f t="shared" si="57"/>
        <v>1450</v>
      </c>
      <c r="H575" s="98">
        <v>0</v>
      </c>
      <c r="I575" s="7">
        <v>0</v>
      </c>
      <c r="J575" s="7"/>
      <c r="K575" s="99">
        <f t="shared" si="62"/>
        <v>6811</v>
      </c>
      <c r="L575" s="7">
        <v>500</v>
      </c>
      <c r="M575" s="7">
        <v>3500</v>
      </c>
      <c r="N575" s="7">
        <v>0</v>
      </c>
      <c r="O575" s="7">
        <v>0</v>
      </c>
      <c r="P575" s="7">
        <v>5016.7333110486397</v>
      </c>
      <c r="Q575" s="7">
        <v>3610.1603562513615</v>
      </c>
      <c r="R575" s="113">
        <f t="shared" si="58"/>
        <v>0.29365613091235149</v>
      </c>
      <c r="S575" s="113">
        <f t="shared" si="59"/>
        <v>0.38297872340425532</v>
      </c>
      <c r="T575" s="113">
        <f t="shared" si="60"/>
        <v>0</v>
      </c>
      <c r="U575" s="113">
        <f t="shared" si="61"/>
        <v>0.22554495143886891</v>
      </c>
    </row>
    <row r="576" spans="1:21" x14ac:dyDescent="0.45">
      <c r="A576" s="95">
        <v>45136</v>
      </c>
      <c r="B576" s="96">
        <v>4461</v>
      </c>
      <c r="C576" s="7">
        <v>1310</v>
      </c>
      <c r="D576" s="7">
        <f t="shared" si="56"/>
        <v>3151</v>
      </c>
      <c r="E576" s="97">
        <v>2350</v>
      </c>
      <c r="F576" s="7">
        <v>900</v>
      </c>
      <c r="G576" s="7">
        <f t="shared" si="57"/>
        <v>1450</v>
      </c>
      <c r="H576" s="98">
        <v>0</v>
      </c>
      <c r="I576" s="7">
        <v>0</v>
      </c>
      <c r="J576" s="7"/>
      <c r="K576" s="99">
        <f t="shared" si="62"/>
        <v>6811</v>
      </c>
      <c r="L576" s="7">
        <v>500</v>
      </c>
      <c r="M576" s="7">
        <v>3500</v>
      </c>
      <c r="N576" s="7">
        <v>0</v>
      </c>
      <c r="O576" s="7">
        <v>0</v>
      </c>
      <c r="P576" s="7">
        <v>5016.7333110486397</v>
      </c>
      <c r="Q576" s="7">
        <v>3610.1603562513615</v>
      </c>
      <c r="R576" s="113">
        <f t="shared" si="58"/>
        <v>0.29365613091235149</v>
      </c>
      <c r="S576" s="113">
        <f t="shared" si="59"/>
        <v>0.38297872340425532</v>
      </c>
      <c r="T576" s="113">
        <f t="shared" si="60"/>
        <v>0</v>
      </c>
      <c r="U576" s="113">
        <f t="shared" si="61"/>
        <v>0.22554495143886891</v>
      </c>
    </row>
    <row r="577" spans="1:21" x14ac:dyDescent="0.45">
      <c r="A577" s="95">
        <v>45137</v>
      </c>
      <c r="B577" s="96">
        <v>4461</v>
      </c>
      <c r="C577" s="7">
        <v>1310</v>
      </c>
      <c r="D577" s="7">
        <f t="shared" si="56"/>
        <v>3151</v>
      </c>
      <c r="E577" s="97">
        <v>2350</v>
      </c>
      <c r="F577" s="7">
        <v>900</v>
      </c>
      <c r="G577" s="7">
        <f t="shared" si="57"/>
        <v>1450</v>
      </c>
      <c r="H577" s="98">
        <v>0</v>
      </c>
      <c r="I577" s="7">
        <v>0</v>
      </c>
      <c r="J577" s="7"/>
      <c r="K577" s="99">
        <f t="shared" si="62"/>
        <v>6811</v>
      </c>
      <c r="L577" s="7">
        <v>500</v>
      </c>
      <c r="M577" s="7">
        <v>3500</v>
      </c>
      <c r="N577" s="7">
        <v>0</v>
      </c>
      <c r="O577" s="7">
        <v>0</v>
      </c>
      <c r="P577" s="7">
        <v>5016.7333110486397</v>
      </c>
      <c r="Q577" s="7">
        <v>3610.1603562513615</v>
      </c>
      <c r="R577" s="113">
        <f t="shared" si="58"/>
        <v>0.29365613091235149</v>
      </c>
      <c r="S577" s="113">
        <f t="shared" si="59"/>
        <v>0.38297872340425532</v>
      </c>
      <c r="T577" s="113">
        <f t="shared" si="60"/>
        <v>0</v>
      </c>
      <c r="U577" s="113">
        <f t="shared" si="61"/>
        <v>0.22554495143886891</v>
      </c>
    </row>
    <row r="578" spans="1:21" x14ac:dyDescent="0.45">
      <c r="A578" s="95">
        <v>45138</v>
      </c>
      <c r="B578" s="96">
        <v>4461</v>
      </c>
      <c r="C578" s="7">
        <v>1310</v>
      </c>
      <c r="D578" s="7">
        <f t="shared" ref="D578:D641" si="63">B578-C578</f>
        <v>3151</v>
      </c>
      <c r="E578" s="97">
        <v>2350</v>
      </c>
      <c r="F578" s="7">
        <v>900</v>
      </c>
      <c r="G578" s="7">
        <f t="shared" ref="G578:G641" si="64">E578-F578</f>
        <v>1450</v>
      </c>
      <c r="H578" s="98">
        <v>0</v>
      </c>
      <c r="I578" s="7">
        <v>0</v>
      </c>
      <c r="J578" s="7"/>
      <c r="K578" s="99">
        <f t="shared" si="62"/>
        <v>6811</v>
      </c>
      <c r="L578" s="7">
        <v>500</v>
      </c>
      <c r="M578" s="7">
        <v>3500</v>
      </c>
      <c r="N578" s="7">
        <v>0</v>
      </c>
      <c r="O578" s="7">
        <v>0</v>
      </c>
      <c r="P578" s="7">
        <v>5016.7333110486397</v>
      </c>
      <c r="Q578" s="7">
        <v>3064.0010963413597</v>
      </c>
      <c r="R578" s="113">
        <f t="shared" si="58"/>
        <v>0.29365613091235149</v>
      </c>
      <c r="S578" s="113">
        <f t="shared" si="59"/>
        <v>0.38297872340425532</v>
      </c>
      <c r="T578" s="113">
        <f t="shared" si="60"/>
        <v>0</v>
      </c>
      <c r="U578" s="113">
        <f t="shared" si="61"/>
        <v>0.22554495143886891</v>
      </c>
    </row>
    <row r="579" spans="1:21" x14ac:dyDescent="0.45">
      <c r="A579" s="95">
        <v>45139</v>
      </c>
      <c r="B579" s="96">
        <v>4461</v>
      </c>
      <c r="C579" s="7">
        <v>1310</v>
      </c>
      <c r="D579" s="7">
        <f t="shared" si="63"/>
        <v>3151</v>
      </c>
      <c r="E579" s="97">
        <v>2350</v>
      </c>
      <c r="F579" s="7">
        <v>900</v>
      </c>
      <c r="G579" s="7">
        <f t="shared" si="64"/>
        <v>1450</v>
      </c>
      <c r="H579" s="98">
        <v>0</v>
      </c>
      <c r="I579" s="7">
        <v>0</v>
      </c>
      <c r="J579" s="7"/>
      <c r="K579" s="99">
        <f t="shared" si="62"/>
        <v>6811</v>
      </c>
      <c r="L579" s="7">
        <v>500</v>
      </c>
      <c r="M579" s="7">
        <v>3500</v>
      </c>
      <c r="N579" s="7">
        <v>0</v>
      </c>
      <c r="O579" s="7">
        <v>0</v>
      </c>
      <c r="P579" s="7">
        <v>6839.2101204415922</v>
      </c>
      <c r="Q579" s="7">
        <v>1834.1827092284072</v>
      </c>
      <c r="R579" s="113">
        <f t="shared" ref="R579:R642" si="65">C579/B579</f>
        <v>0.29365613091235149</v>
      </c>
      <c r="S579" s="113">
        <f t="shared" ref="S579:S642" si="66">F579/E579</f>
        <v>0.38297872340425532</v>
      </c>
      <c r="T579" s="113">
        <f t="shared" ref="T579:T642" si="67">IF(H579=0,0,I579/H579)</f>
        <v>0</v>
      </c>
      <c r="U579" s="113">
        <f t="shared" ref="U579:U642" si="68">AVERAGE(R579:T579)</f>
        <v>0.22554495143886891</v>
      </c>
    </row>
    <row r="580" spans="1:21" x14ac:dyDescent="0.45">
      <c r="A580" s="95">
        <v>45140</v>
      </c>
      <c r="B580" s="96">
        <v>4556</v>
      </c>
      <c r="C580" s="7">
        <v>1310</v>
      </c>
      <c r="D580" s="7">
        <f t="shared" si="63"/>
        <v>3246</v>
      </c>
      <c r="E580" s="97">
        <v>2350</v>
      </c>
      <c r="F580" s="7">
        <v>900</v>
      </c>
      <c r="G580" s="7">
        <f t="shared" si="64"/>
        <v>1450</v>
      </c>
      <c r="H580" s="98">
        <v>0</v>
      </c>
      <c r="I580" s="7">
        <v>0</v>
      </c>
      <c r="J580" s="7"/>
      <c r="K580" s="99">
        <f t="shared" ref="K580:K643" si="69">B580+E580+H580</f>
        <v>6906</v>
      </c>
      <c r="L580" s="7">
        <v>500</v>
      </c>
      <c r="M580" s="7">
        <v>3500</v>
      </c>
      <c r="N580" s="7">
        <v>0</v>
      </c>
      <c r="O580" s="7">
        <v>0</v>
      </c>
      <c r="P580" s="7">
        <v>6839.2101204415922</v>
      </c>
      <c r="Q580" s="7">
        <v>1610.3918597484076</v>
      </c>
      <c r="R580" s="113">
        <f t="shared" si="65"/>
        <v>0.28753292361720806</v>
      </c>
      <c r="S580" s="113">
        <f t="shared" si="66"/>
        <v>0.38297872340425532</v>
      </c>
      <c r="T580" s="113">
        <f t="shared" si="67"/>
        <v>0</v>
      </c>
      <c r="U580" s="113">
        <f t="shared" si="68"/>
        <v>0.22350388234048779</v>
      </c>
    </row>
    <row r="581" spans="1:21" x14ac:dyDescent="0.45">
      <c r="A581" s="95">
        <v>45141</v>
      </c>
      <c r="B581" s="96">
        <v>4556</v>
      </c>
      <c r="C581" s="7">
        <v>1360</v>
      </c>
      <c r="D581" s="7">
        <f t="shared" si="63"/>
        <v>3196</v>
      </c>
      <c r="E581" s="97">
        <v>2350</v>
      </c>
      <c r="F581" s="7">
        <v>900</v>
      </c>
      <c r="G581" s="7">
        <f t="shared" si="64"/>
        <v>1450</v>
      </c>
      <c r="H581" s="98">
        <v>0</v>
      </c>
      <c r="I581" s="7">
        <v>0</v>
      </c>
      <c r="J581" s="7"/>
      <c r="K581" s="99">
        <f t="shared" si="69"/>
        <v>6906</v>
      </c>
      <c r="L581" s="7">
        <v>620</v>
      </c>
      <c r="M581" s="7">
        <v>3000</v>
      </c>
      <c r="N581" s="7">
        <v>0</v>
      </c>
      <c r="O581" s="7">
        <v>0</v>
      </c>
      <c r="P581" s="7">
        <v>6839.2101204415922</v>
      </c>
      <c r="Q581" s="7">
        <v>1912.2007992484077</v>
      </c>
      <c r="R581" s="113">
        <f t="shared" si="65"/>
        <v>0.29850746268656714</v>
      </c>
      <c r="S581" s="113">
        <f t="shared" si="66"/>
        <v>0.38297872340425532</v>
      </c>
      <c r="T581" s="113">
        <f t="shared" si="67"/>
        <v>0</v>
      </c>
      <c r="U581" s="113">
        <f t="shared" si="68"/>
        <v>0.22716206203027414</v>
      </c>
    </row>
    <row r="582" spans="1:21" x14ac:dyDescent="0.45">
      <c r="A582" s="95">
        <v>45142</v>
      </c>
      <c r="B582" s="96">
        <v>4556</v>
      </c>
      <c r="C582" s="7">
        <v>1360</v>
      </c>
      <c r="D582" s="7">
        <f t="shared" si="63"/>
        <v>3196</v>
      </c>
      <c r="E582" s="97">
        <v>2350</v>
      </c>
      <c r="F582" s="7">
        <v>900</v>
      </c>
      <c r="G582" s="7">
        <f t="shared" si="64"/>
        <v>1450</v>
      </c>
      <c r="H582" s="98">
        <v>0</v>
      </c>
      <c r="I582" s="7">
        <v>0</v>
      </c>
      <c r="J582" s="7"/>
      <c r="K582" s="99">
        <f t="shared" si="69"/>
        <v>6906</v>
      </c>
      <c r="L582" s="7">
        <v>620</v>
      </c>
      <c r="M582" s="7">
        <v>3000</v>
      </c>
      <c r="N582" s="7">
        <v>0</v>
      </c>
      <c r="O582" s="7">
        <v>0</v>
      </c>
      <c r="P582" s="7">
        <v>6839.2101204415922</v>
      </c>
      <c r="Q582" s="7">
        <v>1985.6407459184079</v>
      </c>
      <c r="R582" s="113">
        <f t="shared" si="65"/>
        <v>0.29850746268656714</v>
      </c>
      <c r="S582" s="113">
        <f t="shared" si="66"/>
        <v>0.38297872340425532</v>
      </c>
      <c r="T582" s="113">
        <f t="shared" si="67"/>
        <v>0</v>
      </c>
      <c r="U582" s="113">
        <f t="shared" si="68"/>
        <v>0.22716206203027414</v>
      </c>
    </row>
    <row r="583" spans="1:21" x14ac:dyDescent="0.45">
      <c r="A583" s="95">
        <v>45143</v>
      </c>
      <c r="B583" s="96">
        <v>4556</v>
      </c>
      <c r="C583" s="7">
        <v>1360</v>
      </c>
      <c r="D583" s="7">
        <f t="shared" si="63"/>
        <v>3196</v>
      </c>
      <c r="E583" s="97">
        <v>2350</v>
      </c>
      <c r="F583" s="7">
        <v>900</v>
      </c>
      <c r="G583" s="7">
        <f t="shared" si="64"/>
        <v>1450</v>
      </c>
      <c r="H583" s="98">
        <v>0</v>
      </c>
      <c r="I583" s="7">
        <v>0</v>
      </c>
      <c r="J583" s="7"/>
      <c r="K583" s="99">
        <f t="shared" si="69"/>
        <v>6906</v>
      </c>
      <c r="L583" s="7">
        <v>620</v>
      </c>
      <c r="M583" s="7">
        <v>3000</v>
      </c>
      <c r="N583" s="7">
        <v>0</v>
      </c>
      <c r="O583" s="7">
        <v>0</v>
      </c>
      <c r="P583" s="7">
        <v>6839.2101204415922</v>
      </c>
      <c r="Q583" s="7">
        <v>1985.6407459184079</v>
      </c>
      <c r="R583" s="113">
        <f t="shared" si="65"/>
        <v>0.29850746268656714</v>
      </c>
      <c r="S583" s="113">
        <f t="shared" si="66"/>
        <v>0.38297872340425532</v>
      </c>
      <c r="T583" s="113">
        <f t="shared" si="67"/>
        <v>0</v>
      </c>
      <c r="U583" s="113">
        <f t="shared" si="68"/>
        <v>0.22716206203027414</v>
      </c>
    </row>
    <row r="584" spans="1:21" x14ac:dyDescent="0.45">
      <c r="A584" s="95">
        <v>45144</v>
      </c>
      <c r="B584" s="96">
        <v>4556</v>
      </c>
      <c r="C584" s="7">
        <v>1360</v>
      </c>
      <c r="D584" s="7">
        <f t="shared" si="63"/>
        <v>3196</v>
      </c>
      <c r="E584" s="97">
        <v>2350</v>
      </c>
      <c r="F584" s="7">
        <v>900</v>
      </c>
      <c r="G584" s="7">
        <f t="shared" si="64"/>
        <v>1450</v>
      </c>
      <c r="H584" s="98">
        <v>0</v>
      </c>
      <c r="I584" s="7">
        <v>0</v>
      </c>
      <c r="J584" s="7"/>
      <c r="K584" s="99">
        <f t="shared" si="69"/>
        <v>6906</v>
      </c>
      <c r="L584" s="7">
        <v>620</v>
      </c>
      <c r="M584" s="7">
        <v>3000</v>
      </c>
      <c r="N584" s="7">
        <v>0</v>
      </c>
      <c r="O584" s="7">
        <v>0</v>
      </c>
      <c r="P584" s="7">
        <v>6839.2101204415922</v>
      </c>
      <c r="Q584" s="7">
        <v>1985.6407459184079</v>
      </c>
      <c r="R584" s="113">
        <f t="shared" si="65"/>
        <v>0.29850746268656714</v>
      </c>
      <c r="S584" s="113">
        <f t="shared" si="66"/>
        <v>0.38297872340425532</v>
      </c>
      <c r="T584" s="113">
        <f t="shared" si="67"/>
        <v>0</v>
      </c>
      <c r="U584" s="113">
        <f t="shared" si="68"/>
        <v>0.22716206203027414</v>
      </c>
    </row>
    <row r="585" spans="1:21" x14ac:dyDescent="0.45">
      <c r="A585" s="95">
        <v>45145</v>
      </c>
      <c r="B585" s="96">
        <v>4556</v>
      </c>
      <c r="C585" s="7">
        <v>1360</v>
      </c>
      <c r="D585" s="7">
        <f t="shared" si="63"/>
        <v>3196</v>
      </c>
      <c r="E585" s="97">
        <v>2350</v>
      </c>
      <c r="F585" s="7">
        <v>900</v>
      </c>
      <c r="G585" s="7">
        <f t="shared" si="64"/>
        <v>1450</v>
      </c>
      <c r="H585" s="98">
        <v>0</v>
      </c>
      <c r="I585" s="7">
        <v>0</v>
      </c>
      <c r="J585" s="7"/>
      <c r="K585" s="99">
        <f t="shared" si="69"/>
        <v>6906</v>
      </c>
      <c r="L585" s="7">
        <v>620</v>
      </c>
      <c r="M585" s="7">
        <v>3000</v>
      </c>
      <c r="N585" s="7">
        <v>0</v>
      </c>
      <c r="O585" s="7">
        <v>0</v>
      </c>
      <c r="P585" s="7">
        <v>6839.2101204415922</v>
      </c>
      <c r="Q585" s="7">
        <v>1622.2489542884077</v>
      </c>
      <c r="R585" s="113">
        <f t="shared" si="65"/>
        <v>0.29850746268656714</v>
      </c>
      <c r="S585" s="113">
        <f t="shared" si="66"/>
        <v>0.38297872340425532</v>
      </c>
      <c r="T585" s="113">
        <f t="shared" si="67"/>
        <v>0</v>
      </c>
      <c r="U585" s="113">
        <f t="shared" si="68"/>
        <v>0.22716206203027414</v>
      </c>
    </row>
    <row r="586" spans="1:21" x14ac:dyDescent="0.45">
      <c r="A586" s="95">
        <v>45146</v>
      </c>
      <c r="B586" s="96">
        <v>4556</v>
      </c>
      <c r="C586" s="7">
        <v>1360</v>
      </c>
      <c r="D586" s="7">
        <f t="shared" si="63"/>
        <v>3196</v>
      </c>
      <c r="E586" s="97">
        <v>2350</v>
      </c>
      <c r="F586" s="7">
        <v>900</v>
      </c>
      <c r="G586" s="7">
        <f t="shared" si="64"/>
        <v>1450</v>
      </c>
      <c r="H586" s="98">
        <v>0</v>
      </c>
      <c r="I586" s="7">
        <v>0</v>
      </c>
      <c r="J586" s="7"/>
      <c r="K586" s="99">
        <f t="shared" si="69"/>
        <v>6906</v>
      </c>
      <c r="L586" s="7">
        <v>620</v>
      </c>
      <c r="M586" s="7">
        <v>3000</v>
      </c>
      <c r="N586" s="7">
        <v>0</v>
      </c>
      <c r="O586" s="7">
        <v>0</v>
      </c>
      <c r="P586" s="7">
        <v>6839.2101204415922</v>
      </c>
      <c r="Q586" s="7">
        <v>2145.5869403784081</v>
      </c>
      <c r="R586" s="113">
        <f t="shared" si="65"/>
        <v>0.29850746268656714</v>
      </c>
      <c r="S586" s="113">
        <f t="shared" si="66"/>
        <v>0.38297872340425532</v>
      </c>
      <c r="T586" s="113">
        <f t="shared" si="67"/>
        <v>0</v>
      </c>
      <c r="U586" s="113">
        <f t="shared" si="68"/>
        <v>0.22716206203027414</v>
      </c>
    </row>
    <row r="587" spans="1:21" x14ac:dyDescent="0.45">
      <c r="A587" s="95">
        <v>45147</v>
      </c>
      <c r="B587" s="96">
        <v>4176</v>
      </c>
      <c r="C587" s="7">
        <v>1360</v>
      </c>
      <c r="D587" s="7">
        <f t="shared" si="63"/>
        <v>2816</v>
      </c>
      <c r="E587" s="97">
        <v>2350</v>
      </c>
      <c r="F587" s="7">
        <v>900</v>
      </c>
      <c r="G587" s="7">
        <f t="shared" si="64"/>
        <v>1450</v>
      </c>
      <c r="H587" s="98">
        <v>0</v>
      </c>
      <c r="I587" s="7">
        <v>0</v>
      </c>
      <c r="J587" s="7"/>
      <c r="K587" s="99">
        <f t="shared" si="69"/>
        <v>6526</v>
      </c>
      <c r="L587" s="7">
        <v>620</v>
      </c>
      <c r="M587" s="7">
        <v>3000</v>
      </c>
      <c r="N587" s="7">
        <v>0</v>
      </c>
      <c r="O587" s="7">
        <v>0</v>
      </c>
      <c r="P587" s="7">
        <v>6839.2101204415922</v>
      </c>
      <c r="Q587" s="7">
        <v>2016.961043188408</v>
      </c>
      <c r="R587" s="113">
        <f t="shared" si="65"/>
        <v>0.32567049808429116</v>
      </c>
      <c r="S587" s="113">
        <f t="shared" si="66"/>
        <v>0.38297872340425532</v>
      </c>
      <c r="T587" s="113">
        <f t="shared" si="67"/>
        <v>0</v>
      </c>
      <c r="U587" s="113">
        <f t="shared" si="68"/>
        <v>0.23621640716284883</v>
      </c>
    </row>
    <row r="588" spans="1:21" x14ac:dyDescent="0.45">
      <c r="A588" s="95">
        <v>45148</v>
      </c>
      <c r="B588" s="96">
        <v>4176</v>
      </c>
      <c r="C588" s="7">
        <v>1320</v>
      </c>
      <c r="D588" s="7">
        <f t="shared" si="63"/>
        <v>2856</v>
      </c>
      <c r="E588" s="97">
        <v>2350</v>
      </c>
      <c r="F588" s="7">
        <v>900</v>
      </c>
      <c r="G588" s="7">
        <f t="shared" si="64"/>
        <v>1450</v>
      </c>
      <c r="H588" s="98">
        <v>0</v>
      </c>
      <c r="I588" s="7">
        <v>0</v>
      </c>
      <c r="J588" s="7"/>
      <c r="K588" s="99">
        <f t="shared" si="69"/>
        <v>6526</v>
      </c>
      <c r="L588" s="7">
        <v>800</v>
      </c>
      <c r="M588" s="7">
        <v>3000</v>
      </c>
      <c r="N588" s="7">
        <v>0</v>
      </c>
      <c r="O588" s="7">
        <v>0</v>
      </c>
      <c r="P588" s="7">
        <v>6839.2101204415922</v>
      </c>
      <c r="Q588" s="7">
        <v>1402.9488245784073</v>
      </c>
      <c r="R588" s="113">
        <f t="shared" si="65"/>
        <v>0.31609195402298851</v>
      </c>
      <c r="S588" s="113">
        <f t="shared" si="66"/>
        <v>0.38297872340425532</v>
      </c>
      <c r="T588" s="113">
        <f t="shared" si="67"/>
        <v>0</v>
      </c>
      <c r="U588" s="113">
        <f t="shared" si="68"/>
        <v>0.2330235591424146</v>
      </c>
    </row>
    <row r="589" spans="1:21" x14ac:dyDescent="0.45">
      <c r="A589" s="95">
        <v>45149</v>
      </c>
      <c r="B589" s="96">
        <v>4176</v>
      </c>
      <c r="C589" s="7">
        <v>1320</v>
      </c>
      <c r="D589" s="7">
        <f t="shared" si="63"/>
        <v>2856</v>
      </c>
      <c r="E589" s="97">
        <v>2350</v>
      </c>
      <c r="F589" s="7">
        <v>900</v>
      </c>
      <c r="G589" s="7">
        <f t="shared" si="64"/>
        <v>1450</v>
      </c>
      <c r="H589" s="98">
        <v>0</v>
      </c>
      <c r="I589" s="7">
        <v>0</v>
      </c>
      <c r="J589" s="7"/>
      <c r="K589" s="99">
        <f t="shared" si="69"/>
        <v>6526</v>
      </c>
      <c r="L589" s="7">
        <v>800</v>
      </c>
      <c r="M589" s="7">
        <v>3000</v>
      </c>
      <c r="N589" s="7">
        <v>0</v>
      </c>
      <c r="O589" s="7">
        <v>0</v>
      </c>
      <c r="P589" s="7">
        <v>6839.2101204415922</v>
      </c>
      <c r="Q589" s="7">
        <v>1876.4623811784074</v>
      </c>
      <c r="R589" s="113">
        <f t="shared" si="65"/>
        <v>0.31609195402298851</v>
      </c>
      <c r="S589" s="113">
        <f t="shared" si="66"/>
        <v>0.38297872340425532</v>
      </c>
      <c r="T589" s="113">
        <f t="shared" si="67"/>
        <v>0</v>
      </c>
      <c r="U589" s="113">
        <f t="shared" si="68"/>
        <v>0.2330235591424146</v>
      </c>
    </row>
    <row r="590" spans="1:21" x14ac:dyDescent="0.45">
      <c r="A590" s="95">
        <v>45150</v>
      </c>
      <c r="B590" s="96">
        <v>4176</v>
      </c>
      <c r="C590" s="7">
        <v>1320</v>
      </c>
      <c r="D590" s="7">
        <f t="shared" si="63"/>
        <v>2856</v>
      </c>
      <c r="E590" s="97">
        <v>2350</v>
      </c>
      <c r="F590" s="7">
        <v>900</v>
      </c>
      <c r="G590" s="7">
        <f t="shared" si="64"/>
        <v>1450</v>
      </c>
      <c r="H590" s="98">
        <v>0</v>
      </c>
      <c r="I590" s="7">
        <v>0</v>
      </c>
      <c r="J590" s="7"/>
      <c r="K590" s="99">
        <f t="shared" si="69"/>
        <v>6526</v>
      </c>
      <c r="L590" s="7">
        <v>800</v>
      </c>
      <c r="M590" s="7">
        <v>3000</v>
      </c>
      <c r="N590" s="7">
        <v>0</v>
      </c>
      <c r="O590" s="7">
        <v>0</v>
      </c>
      <c r="P590" s="7">
        <v>6839.2101204415922</v>
      </c>
      <c r="Q590" s="7">
        <v>1876.4623811784074</v>
      </c>
      <c r="R590" s="113">
        <f t="shared" si="65"/>
        <v>0.31609195402298851</v>
      </c>
      <c r="S590" s="113">
        <f t="shared" si="66"/>
        <v>0.38297872340425532</v>
      </c>
      <c r="T590" s="113">
        <f t="shared" si="67"/>
        <v>0</v>
      </c>
      <c r="U590" s="113">
        <f t="shared" si="68"/>
        <v>0.2330235591424146</v>
      </c>
    </row>
    <row r="591" spans="1:21" x14ac:dyDescent="0.45">
      <c r="A591" s="95">
        <v>45151</v>
      </c>
      <c r="B591" s="96">
        <v>4176</v>
      </c>
      <c r="C591" s="7">
        <v>1320</v>
      </c>
      <c r="D591" s="7">
        <f t="shared" si="63"/>
        <v>2856</v>
      </c>
      <c r="E591" s="97">
        <v>2350</v>
      </c>
      <c r="F591" s="7">
        <v>900</v>
      </c>
      <c r="G591" s="7">
        <f t="shared" si="64"/>
        <v>1450</v>
      </c>
      <c r="H591" s="98">
        <v>0</v>
      </c>
      <c r="I591" s="7">
        <v>0</v>
      </c>
      <c r="J591" s="7"/>
      <c r="K591" s="99">
        <f t="shared" si="69"/>
        <v>6526</v>
      </c>
      <c r="L591" s="7">
        <v>800</v>
      </c>
      <c r="M591" s="7">
        <v>3000</v>
      </c>
      <c r="N591" s="7">
        <v>0</v>
      </c>
      <c r="O591" s="7">
        <v>0</v>
      </c>
      <c r="P591" s="7">
        <v>6839.2101204415922</v>
      </c>
      <c r="Q591" s="7">
        <v>1876.4623811784074</v>
      </c>
      <c r="R591" s="113">
        <f t="shared" si="65"/>
        <v>0.31609195402298851</v>
      </c>
      <c r="S591" s="113">
        <f t="shared" si="66"/>
        <v>0.38297872340425532</v>
      </c>
      <c r="T591" s="113">
        <f t="shared" si="67"/>
        <v>0</v>
      </c>
      <c r="U591" s="113">
        <f t="shared" si="68"/>
        <v>0.2330235591424146</v>
      </c>
    </row>
    <row r="592" spans="1:21" x14ac:dyDescent="0.45">
      <c r="A592" s="95">
        <v>45152</v>
      </c>
      <c r="B592" s="96">
        <v>4176</v>
      </c>
      <c r="C592" s="7">
        <v>1320</v>
      </c>
      <c r="D592" s="7">
        <f t="shared" si="63"/>
        <v>2856</v>
      </c>
      <c r="E592" s="97">
        <v>2350</v>
      </c>
      <c r="F592" s="7">
        <v>900</v>
      </c>
      <c r="G592" s="7">
        <f t="shared" si="64"/>
        <v>1450</v>
      </c>
      <c r="H592" s="98">
        <v>0</v>
      </c>
      <c r="I592" s="7">
        <v>0</v>
      </c>
      <c r="J592" s="7"/>
      <c r="K592" s="99">
        <f t="shared" si="69"/>
        <v>6526</v>
      </c>
      <c r="L592" s="7">
        <v>800</v>
      </c>
      <c r="M592" s="7">
        <v>3000</v>
      </c>
      <c r="N592" s="7">
        <v>0</v>
      </c>
      <c r="O592" s="7">
        <v>0</v>
      </c>
      <c r="P592" s="7">
        <v>6839.2101204415922</v>
      </c>
      <c r="Q592" s="7">
        <v>2240.3849577784072</v>
      </c>
      <c r="R592" s="113">
        <f t="shared" si="65"/>
        <v>0.31609195402298851</v>
      </c>
      <c r="S592" s="113">
        <f t="shared" si="66"/>
        <v>0.38297872340425532</v>
      </c>
      <c r="T592" s="113">
        <f t="shared" si="67"/>
        <v>0</v>
      </c>
      <c r="U592" s="113">
        <f t="shared" si="68"/>
        <v>0.2330235591424146</v>
      </c>
    </row>
    <row r="593" spans="1:21" x14ac:dyDescent="0.45">
      <c r="A593" s="95">
        <v>45153</v>
      </c>
      <c r="B593" s="96">
        <v>4176</v>
      </c>
      <c r="C593" s="7">
        <v>1320</v>
      </c>
      <c r="D593" s="7">
        <f t="shared" si="63"/>
        <v>2856</v>
      </c>
      <c r="E593" s="97">
        <v>2350</v>
      </c>
      <c r="F593" s="7">
        <v>900</v>
      </c>
      <c r="G593" s="7">
        <f t="shared" si="64"/>
        <v>1450</v>
      </c>
      <c r="H593" s="98">
        <v>0</v>
      </c>
      <c r="I593" s="7">
        <v>0</v>
      </c>
      <c r="J593" s="7"/>
      <c r="K593" s="99">
        <f t="shared" si="69"/>
        <v>6526</v>
      </c>
      <c r="L593" s="7">
        <v>800</v>
      </c>
      <c r="M593" s="7">
        <v>3000</v>
      </c>
      <c r="N593" s="7">
        <v>0</v>
      </c>
      <c r="O593" s="7">
        <v>0</v>
      </c>
      <c r="P593" s="7">
        <v>6839.2101204415922</v>
      </c>
      <c r="Q593" s="7">
        <v>1878.0173444884085</v>
      </c>
      <c r="R593" s="113">
        <f t="shared" si="65"/>
        <v>0.31609195402298851</v>
      </c>
      <c r="S593" s="113">
        <f t="shared" si="66"/>
        <v>0.38297872340425532</v>
      </c>
      <c r="T593" s="113">
        <f t="shared" si="67"/>
        <v>0</v>
      </c>
      <c r="U593" s="113">
        <f t="shared" si="68"/>
        <v>0.2330235591424146</v>
      </c>
    </row>
    <row r="594" spans="1:21" x14ac:dyDescent="0.45">
      <c r="A594" s="95">
        <v>45154</v>
      </c>
      <c r="B594" s="96">
        <v>4029</v>
      </c>
      <c r="C594" s="7">
        <v>1320</v>
      </c>
      <c r="D594" s="7">
        <f t="shared" si="63"/>
        <v>2709</v>
      </c>
      <c r="E594" s="97">
        <v>2350</v>
      </c>
      <c r="F594" s="7">
        <v>900</v>
      </c>
      <c r="G594" s="7">
        <f t="shared" si="64"/>
        <v>1450</v>
      </c>
      <c r="H594" s="98">
        <v>0</v>
      </c>
      <c r="I594" s="7">
        <v>0</v>
      </c>
      <c r="J594" s="7"/>
      <c r="K594" s="99">
        <f t="shared" si="69"/>
        <v>6379</v>
      </c>
      <c r="L594" s="7">
        <v>800</v>
      </c>
      <c r="M594" s="7">
        <v>3000</v>
      </c>
      <c r="N594" s="7">
        <v>0</v>
      </c>
      <c r="O594" s="7">
        <v>0</v>
      </c>
      <c r="P594" s="7">
        <v>6839.2101204415922</v>
      </c>
      <c r="Q594" s="7">
        <v>1825.8018543284072</v>
      </c>
      <c r="R594" s="113">
        <f t="shared" si="65"/>
        <v>0.3276247207743857</v>
      </c>
      <c r="S594" s="113">
        <f t="shared" si="66"/>
        <v>0.38297872340425532</v>
      </c>
      <c r="T594" s="113">
        <f t="shared" si="67"/>
        <v>0</v>
      </c>
      <c r="U594" s="113">
        <f t="shared" si="68"/>
        <v>0.23686781472621368</v>
      </c>
    </row>
    <row r="595" spans="1:21" x14ac:dyDescent="0.45">
      <c r="A595" s="95">
        <v>45155</v>
      </c>
      <c r="B595" s="96">
        <v>4029</v>
      </c>
      <c r="C595" s="7">
        <v>1170</v>
      </c>
      <c r="D595" s="7">
        <f t="shared" si="63"/>
        <v>2859</v>
      </c>
      <c r="E595" s="97">
        <v>2350</v>
      </c>
      <c r="F595" s="7">
        <v>900</v>
      </c>
      <c r="G595" s="7">
        <f t="shared" si="64"/>
        <v>1450</v>
      </c>
      <c r="H595" s="98">
        <v>0</v>
      </c>
      <c r="I595" s="7">
        <v>0</v>
      </c>
      <c r="J595" s="7"/>
      <c r="K595" s="99">
        <f t="shared" si="69"/>
        <v>6379</v>
      </c>
      <c r="L595" s="7">
        <v>400</v>
      </c>
      <c r="M595" s="7">
        <v>3000</v>
      </c>
      <c r="N595" s="7">
        <v>0</v>
      </c>
      <c r="O595" s="7">
        <v>0</v>
      </c>
      <c r="P595" s="7">
        <v>6839.2101204415922</v>
      </c>
      <c r="Q595" s="7">
        <v>2372.6770098484076</v>
      </c>
      <c r="R595" s="113">
        <f t="shared" si="65"/>
        <v>0.29039463886820549</v>
      </c>
      <c r="S595" s="113">
        <f t="shared" si="66"/>
        <v>0.38297872340425532</v>
      </c>
      <c r="T595" s="113">
        <f t="shared" si="67"/>
        <v>0</v>
      </c>
      <c r="U595" s="113">
        <f t="shared" si="68"/>
        <v>0.22445778742415359</v>
      </c>
    </row>
    <row r="596" spans="1:21" x14ac:dyDescent="0.45">
      <c r="A596" s="95">
        <v>45156</v>
      </c>
      <c r="B596" s="96">
        <v>4029</v>
      </c>
      <c r="C596" s="7">
        <v>1170</v>
      </c>
      <c r="D596" s="7">
        <f t="shared" si="63"/>
        <v>2859</v>
      </c>
      <c r="E596" s="97">
        <v>2350</v>
      </c>
      <c r="F596" s="7">
        <v>900</v>
      </c>
      <c r="G596" s="7">
        <f t="shared" si="64"/>
        <v>1450</v>
      </c>
      <c r="H596" s="98">
        <v>0</v>
      </c>
      <c r="I596" s="7">
        <v>0</v>
      </c>
      <c r="J596" s="7"/>
      <c r="K596" s="99">
        <f t="shared" si="69"/>
        <v>6379</v>
      </c>
      <c r="L596" s="7">
        <v>400</v>
      </c>
      <c r="M596" s="7">
        <v>3000</v>
      </c>
      <c r="N596" s="7">
        <v>0</v>
      </c>
      <c r="O596" s="7">
        <v>0</v>
      </c>
      <c r="P596" s="7">
        <v>6839.2101204415922</v>
      </c>
      <c r="Q596" s="7">
        <v>2419.1682015284073</v>
      </c>
      <c r="R596" s="113">
        <f t="shared" si="65"/>
        <v>0.29039463886820549</v>
      </c>
      <c r="S596" s="113">
        <f t="shared" si="66"/>
        <v>0.38297872340425532</v>
      </c>
      <c r="T596" s="113">
        <f t="shared" si="67"/>
        <v>0</v>
      </c>
      <c r="U596" s="113">
        <f t="shared" si="68"/>
        <v>0.22445778742415359</v>
      </c>
    </row>
    <row r="597" spans="1:21" x14ac:dyDescent="0.45">
      <c r="A597" s="95">
        <v>45157</v>
      </c>
      <c r="B597" s="96">
        <v>4029</v>
      </c>
      <c r="C597" s="7">
        <v>1170</v>
      </c>
      <c r="D597" s="7">
        <f t="shared" si="63"/>
        <v>2859</v>
      </c>
      <c r="E597" s="97">
        <v>2350</v>
      </c>
      <c r="F597" s="7">
        <v>900</v>
      </c>
      <c r="G597" s="7">
        <f t="shared" si="64"/>
        <v>1450</v>
      </c>
      <c r="H597" s="98">
        <v>0</v>
      </c>
      <c r="I597" s="7">
        <v>0</v>
      </c>
      <c r="J597" s="7"/>
      <c r="K597" s="99">
        <f t="shared" si="69"/>
        <v>6379</v>
      </c>
      <c r="L597" s="7">
        <v>400</v>
      </c>
      <c r="M597" s="7">
        <v>3000</v>
      </c>
      <c r="N597" s="7">
        <v>0</v>
      </c>
      <c r="O597" s="7">
        <v>0</v>
      </c>
      <c r="P597" s="7">
        <v>6839.2101204415922</v>
      </c>
      <c r="Q597" s="7">
        <v>2419.1682015284073</v>
      </c>
      <c r="R597" s="113">
        <f t="shared" si="65"/>
        <v>0.29039463886820549</v>
      </c>
      <c r="S597" s="113">
        <f t="shared" si="66"/>
        <v>0.38297872340425532</v>
      </c>
      <c r="T597" s="113">
        <f t="shared" si="67"/>
        <v>0</v>
      </c>
      <c r="U597" s="113">
        <f t="shared" si="68"/>
        <v>0.22445778742415359</v>
      </c>
    </row>
    <row r="598" spans="1:21" x14ac:dyDescent="0.45">
      <c r="A598" s="95">
        <v>45158</v>
      </c>
      <c r="B598" s="96">
        <v>4029</v>
      </c>
      <c r="C598" s="7">
        <v>1170</v>
      </c>
      <c r="D598" s="7">
        <f t="shared" si="63"/>
        <v>2859</v>
      </c>
      <c r="E598" s="97">
        <v>2350</v>
      </c>
      <c r="F598" s="7">
        <v>900</v>
      </c>
      <c r="G598" s="7">
        <f t="shared" si="64"/>
        <v>1450</v>
      </c>
      <c r="H598" s="98">
        <v>0</v>
      </c>
      <c r="I598" s="7">
        <v>0</v>
      </c>
      <c r="J598" s="7"/>
      <c r="K598" s="99">
        <f t="shared" si="69"/>
        <v>6379</v>
      </c>
      <c r="L598" s="7">
        <v>400</v>
      </c>
      <c r="M598" s="7">
        <v>3000</v>
      </c>
      <c r="N598" s="7">
        <v>0</v>
      </c>
      <c r="O598" s="7">
        <v>0</v>
      </c>
      <c r="P598" s="7">
        <v>6839.2101204415922</v>
      </c>
      <c r="Q598" s="7">
        <v>2419.1682015284073</v>
      </c>
      <c r="R598" s="113">
        <f t="shared" si="65"/>
        <v>0.29039463886820549</v>
      </c>
      <c r="S598" s="113">
        <f t="shared" si="66"/>
        <v>0.38297872340425532</v>
      </c>
      <c r="T598" s="113">
        <f t="shared" si="67"/>
        <v>0</v>
      </c>
      <c r="U598" s="113">
        <f t="shared" si="68"/>
        <v>0.22445778742415359</v>
      </c>
    </row>
    <row r="599" spans="1:21" x14ac:dyDescent="0.45">
      <c r="A599" s="95">
        <v>45159</v>
      </c>
      <c r="B599" s="96">
        <v>4029</v>
      </c>
      <c r="C599" s="7">
        <v>1170</v>
      </c>
      <c r="D599" s="7">
        <f t="shared" si="63"/>
        <v>2859</v>
      </c>
      <c r="E599" s="97">
        <v>2350</v>
      </c>
      <c r="F599" s="7">
        <v>900</v>
      </c>
      <c r="G599" s="7">
        <f t="shared" si="64"/>
        <v>1450</v>
      </c>
      <c r="H599" s="98">
        <v>0</v>
      </c>
      <c r="I599" s="7">
        <v>0</v>
      </c>
      <c r="J599" s="7"/>
      <c r="K599" s="99">
        <f t="shared" si="69"/>
        <v>6379</v>
      </c>
      <c r="L599" s="7">
        <v>400</v>
      </c>
      <c r="M599" s="7">
        <v>3000</v>
      </c>
      <c r="N599" s="7">
        <v>0</v>
      </c>
      <c r="O599" s="7">
        <v>0</v>
      </c>
      <c r="P599" s="7">
        <v>6839.2101204415922</v>
      </c>
      <c r="Q599" s="7">
        <v>2446.6233794884074</v>
      </c>
      <c r="R599" s="113">
        <f t="shared" si="65"/>
        <v>0.29039463886820549</v>
      </c>
      <c r="S599" s="113">
        <f t="shared" si="66"/>
        <v>0.38297872340425532</v>
      </c>
      <c r="T599" s="113">
        <f t="shared" si="67"/>
        <v>0</v>
      </c>
      <c r="U599" s="113">
        <f t="shared" si="68"/>
        <v>0.22445778742415359</v>
      </c>
    </row>
    <row r="600" spans="1:21" x14ac:dyDescent="0.45">
      <c r="A600" s="95">
        <v>45160</v>
      </c>
      <c r="B600" s="96">
        <v>4029</v>
      </c>
      <c r="C600" s="7">
        <v>1170</v>
      </c>
      <c r="D600" s="7">
        <f t="shared" si="63"/>
        <v>2859</v>
      </c>
      <c r="E600" s="97">
        <v>2350</v>
      </c>
      <c r="F600" s="7">
        <v>900</v>
      </c>
      <c r="G600" s="7">
        <f t="shared" si="64"/>
        <v>1450</v>
      </c>
      <c r="H600" s="98">
        <v>0</v>
      </c>
      <c r="I600" s="7">
        <v>0</v>
      </c>
      <c r="J600" s="7"/>
      <c r="K600" s="99">
        <f t="shared" si="69"/>
        <v>6379</v>
      </c>
      <c r="L600" s="7">
        <v>400</v>
      </c>
      <c r="M600" s="7">
        <v>3000</v>
      </c>
      <c r="N600" s="7">
        <v>0</v>
      </c>
      <c r="O600" s="7">
        <v>0</v>
      </c>
      <c r="P600" s="7">
        <v>6839.2101204415922</v>
      </c>
      <c r="Q600" s="7">
        <v>2926.0900857084084</v>
      </c>
      <c r="R600" s="113">
        <f t="shared" si="65"/>
        <v>0.29039463886820549</v>
      </c>
      <c r="S600" s="113">
        <f t="shared" si="66"/>
        <v>0.38297872340425532</v>
      </c>
      <c r="T600" s="113">
        <f t="shared" si="67"/>
        <v>0</v>
      </c>
      <c r="U600" s="113">
        <f t="shared" si="68"/>
        <v>0.22445778742415359</v>
      </c>
    </row>
    <row r="601" spans="1:21" x14ac:dyDescent="0.45">
      <c r="A601" s="95">
        <v>45161</v>
      </c>
      <c r="B601" s="96">
        <v>4669</v>
      </c>
      <c r="C601" s="7">
        <v>1170</v>
      </c>
      <c r="D601" s="7">
        <f t="shared" si="63"/>
        <v>3499</v>
      </c>
      <c r="E601" s="97">
        <v>2350</v>
      </c>
      <c r="F601" s="7">
        <v>900</v>
      </c>
      <c r="G601" s="7">
        <f t="shared" si="64"/>
        <v>1450</v>
      </c>
      <c r="H601" s="98">
        <v>0</v>
      </c>
      <c r="I601" s="7">
        <v>0</v>
      </c>
      <c r="J601" s="7"/>
      <c r="K601" s="99">
        <f t="shared" si="69"/>
        <v>7019</v>
      </c>
      <c r="L601" s="7">
        <v>400</v>
      </c>
      <c r="M601" s="7">
        <v>3000</v>
      </c>
      <c r="N601" s="7">
        <v>0</v>
      </c>
      <c r="O601" s="7">
        <v>0</v>
      </c>
      <c r="P601" s="7">
        <v>6839.2101204415922</v>
      </c>
      <c r="Q601" s="7">
        <v>3528.0517883684083</v>
      </c>
      <c r="R601" s="113">
        <f t="shared" si="65"/>
        <v>0.25058899121867639</v>
      </c>
      <c r="S601" s="113">
        <f t="shared" si="66"/>
        <v>0.38297872340425532</v>
      </c>
      <c r="T601" s="113">
        <f t="shared" si="67"/>
        <v>0</v>
      </c>
      <c r="U601" s="113">
        <f t="shared" si="68"/>
        <v>0.2111892382076439</v>
      </c>
    </row>
    <row r="602" spans="1:21" x14ac:dyDescent="0.45">
      <c r="A602" s="95">
        <v>45162</v>
      </c>
      <c r="B602" s="96">
        <v>4669</v>
      </c>
      <c r="C602" s="7">
        <v>1510</v>
      </c>
      <c r="D602" s="7">
        <f t="shared" si="63"/>
        <v>3159</v>
      </c>
      <c r="E602" s="97">
        <v>2350</v>
      </c>
      <c r="F602" s="7">
        <v>900</v>
      </c>
      <c r="G602" s="7">
        <f t="shared" si="64"/>
        <v>1450</v>
      </c>
      <c r="H602" s="98">
        <v>0</v>
      </c>
      <c r="I602" s="7">
        <v>0</v>
      </c>
      <c r="J602" s="7"/>
      <c r="K602" s="99">
        <f t="shared" si="69"/>
        <v>7019</v>
      </c>
      <c r="L602" s="7">
        <v>650</v>
      </c>
      <c r="M602" s="7">
        <v>3000</v>
      </c>
      <c r="N602" s="7">
        <v>0</v>
      </c>
      <c r="O602" s="7">
        <v>0</v>
      </c>
      <c r="P602" s="7">
        <v>6839.2101204415922</v>
      </c>
      <c r="Q602" s="7">
        <v>2677.4402882784075</v>
      </c>
      <c r="R602" s="113">
        <f t="shared" si="65"/>
        <v>0.32340972370957377</v>
      </c>
      <c r="S602" s="113">
        <f t="shared" si="66"/>
        <v>0.38297872340425532</v>
      </c>
      <c r="T602" s="113">
        <f t="shared" si="67"/>
        <v>0</v>
      </c>
      <c r="U602" s="113">
        <f t="shared" si="68"/>
        <v>0.2354628157046097</v>
      </c>
    </row>
    <row r="603" spans="1:21" x14ac:dyDescent="0.45">
      <c r="A603" s="95">
        <v>45163</v>
      </c>
      <c r="B603" s="96">
        <v>4669</v>
      </c>
      <c r="C603" s="7">
        <v>1510</v>
      </c>
      <c r="D603" s="7">
        <f t="shared" si="63"/>
        <v>3159</v>
      </c>
      <c r="E603" s="97">
        <v>2350</v>
      </c>
      <c r="F603" s="7">
        <v>900</v>
      </c>
      <c r="G603" s="7">
        <f t="shared" si="64"/>
        <v>1450</v>
      </c>
      <c r="H603" s="98">
        <v>0</v>
      </c>
      <c r="I603" s="7">
        <v>0</v>
      </c>
      <c r="J603" s="7"/>
      <c r="K603" s="99">
        <f t="shared" si="69"/>
        <v>7019</v>
      </c>
      <c r="L603" s="7">
        <v>650</v>
      </c>
      <c r="M603" s="7">
        <v>3000</v>
      </c>
      <c r="N603" s="7">
        <v>0</v>
      </c>
      <c r="O603" s="7">
        <v>0</v>
      </c>
      <c r="P603" s="7">
        <v>6839.2101204415922</v>
      </c>
      <c r="Q603" s="7">
        <v>3409.3694318484072</v>
      </c>
      <c r="R603" s="113">
        <f t="shared" si="65"/>
        <v>0.32340972370957377</v>
      </c>
      <c r="S603" s="113">
        <f t="shared" si="66"/>
        <v>0.38297872340425532</v>
      </c>
      <c r="T603" s="113">
        <f t="shared" si="67"/>
        <v>0</v>
      </c>
      <c r="U603" s="113">
        <f t="shared" si="68"/>
        <v>0.2354628157046097</v>
      </c>
    </row>
    <row r="604" spans="1:21" x14ac:dyDescent="0.45">
      <c r="A604" s="95">
        <v>45164</v>
      </c>
      <c r="B604" s="96">
        <v>4669</v>
      </c>
      <c r="C604" s="7">
        <v>1510</v>
      </c>
      <c r="D604" s="7">
        <f t="shared" si="63"/>
        <v>3159</v>
      </c>
      <c r="E604" s="97">
        <v>2350</v>
      </c>
      <c r="F604" s="7">
        <v>900</v>
      </c>
      <c r="G604" s="7">
        <f t="shared" si="64"/>
        <v>1450</v>
      </c>
      <c r="H604" s="98">
        <v>0</v>
      </c>
      <c r="I604" s="7">
        <v>0</v>
      </c>
      <c r="J604" s="7"/>
      <c r="K604" s="99">
        <f t="shared" si="69"/>
        <v>7019</v>
      </c>
      <c r="L604" s="7">
        <v>650</v>
      </c>
      <c r="M604" s="7">
        <v>3000</v>
      </c>
      <c r="N604" s="7">
        <v>0</v>
      </c>
      <c r="O604" s="7">
        <v>0</v>
      </c>
      <c r="P604" s="7">
        <v>6839.2101204415922</v>
      </c>
      <c r="Q604" s="7">
        <v>3409.3694318484072</v>
      </c>
      <c r="R604" s="113">
        <f t="shared" si="65"/>
        <v>0.32340972370957377</v>
      </c>
      <c r="S604" s="113">
        <f t="shared" si="66"/>
        <v>0.38297872340425532</v>
      </c>
      <c r="T604" s="113">
        <f t="shared" si="67"/>
        <v>0</v>
      </c>
      <c r="U604" s="113">
        <f t="shared" si="68"/>
        <v>0.2354628157046097</v>
      </c>
    </row>
    <row r="605" spans="1:21" x14ac:dyDescent="0.45">
      <c r="A605" s="95">
        <v>45165</v>
      </c>
      <c r="B605" s="96">
        <v>4669</v>
      </c>
      <c r="C605" s="7">
        <v>1510</v>
      </c>
      <c r="D605" s="7">
        <f t="shared" si="63"/>
        <v>3159</v>
      </c>
      <c r="E605" s="97">
        <v>2350</v>
      </c>
      <c r="F605" s="7">
        <v>900</v>
      </c>
      <c r="G605" s="7">
        <f t="shared" si="64"/>
        <v>1450</v>
      </c>
      <c r="H605" s="98">
        <v>0</v>
      </c>
      <c r="I605" s="7">
        <v>0</v>
      </c>
      <c r="J605" s="7"/>
      <c r="K605" s="99">
        <f t="shared" si="69"/>
        <v>7019</v>
      </c>
      <c r="L605" s="7">
        <v>650</v>
      </c>
      <c r="M605" s="7">
        <v>3000</v>
      </c>
      <c r="N605" s="7">
        <v>0</v>
      </c>
      <c r="O605" s="7">
        <v>0</v>
      </c>
      <c r="P605" s="7">
        <v>6839.2101204415922</v>
      </c>
      <c r="Q605" s="7">
        <v>3409.3694318484072</v>
      </c>
      <c r="R605" s="113">
        <f t="shared" si="65"/>
        <v>0.32340972370957377</v>
      </c>
      <c r="S605" s="113">
        <f t="shared" si="66"/>
        <v>0.38297872340425532</v>
      </c>
      <c r="T605" s="113">
        <f t="shared" si="67"/>
        <v>0</v>
      </c>
      <c r="U605" s="113">
        <f t="shared" si="68"/>
        <v>0.2354628157046097</v>
      </c>
    </row>
    <row r="606" spans="1:21" x14ac:dyDescent="0.45">
      <c r="A606" s="95">
        <v>45166</v>
      </c>
      <c r="B606" s="96">
        <v>4669</v>
      </c>
      <c r="C606" s="7">
        <v>1510</v>
      </c>
      <c r="D606" s="7">
        <f t="shared" si="63"/>
        <v>3159</v>
      </c>
      <c r="E606" s="97">
        <v>2350</v>
      </c>
      <c r="F606" s="7">
        <v>900</v>
      </c>
      <c r="G606" s="7">
        <f t="shared" si="64"/>
        <v>1450</v>
      </c>
      <c r="H606" s="98">
        <v>0</v>
      </c>
      <c r="I606" s="7">
        <v>0</v>
      </c>
      <c r="J606" s="7"/>
      <c r="K606" s="99">
        <f t="shared" si="69"/>
        <v>7019</v>
      </c>
      <c r="L606" s="7">
        <v>650</v>
      </c>
      <c r="M606" s="7">
        <v>3000</v>
      </c>
      <c r="N606" s="7">
        <v>0</v>
      </c>
      <c r="O606" s="7">
        <v>0</v>
      </c>
      <c r="P606" s="7">
        <v>6839.2101204415922</v>
      </c>
      <c r="Q606" s="7">
        <v>3257.2637506584074</v>
      </c>
      <c r="R606" s="113">
        <f t="shared" si="65"/>
        <v>0.32340972370957377</v>
      </c>
      <c r="S606" s="113">
        <f t="shared" si="66"/>
        <v>0.38297872340425532</v>
      </c>
      <c r="T606" s="113">
        <f t="shared" si="67"/>
        <v>0</v>
      </c>
      <c r="U606" s="113">
        <f t="shared" si="68"/>
        <v>0.2354628157046097</v>
      </c>
    </row>
    <row r="607" spans="1:21" x14ac:dyDescent="0.45">
      <c r="A607" s="95">
        <v>45167</v>
      </c>
      <c r="B607" s="96">
        <v>4669</v>
      </c>
      <c r="C607" s="7">
        <v>1510</v>
      </c>
      <c r="D607" s="7">
        <f t="shared" si="63"/>
        <v>3159</v>
      </c>
      <c r="E607" s="97">
        <v>2350</v>
      </c>
      <c r="F607" s="7">
        <v>900</v>
      </c>
      <c r="G607" s="7">
        <f t="shared" si="64"/>
        <v>1450</v>
      </c>
      <c r="H607" s="98">
        <v>0</v>
      </c>
      <c r="I607" s="7">
        <v>0</v>
      </c>
      <c r="J607" s="7"/>
      <c r="K607" s="99">
        <f t="shared" si="69"/>
        <v>7019</v>
      </c>
      <c r="L607" s="7">
        <v>650</v>
      </c>
      <c r="M607" s="7">
        <v>3000</v>
      </c>
      <c r="N607" s="7">
        <v>0</v>
      </c>
      <c r="O607" s="7">
        <v>0</v>
      </c>
      <c r="P607" s="7">
        <v>6839.2101204415922</v>
      </c>
      <c r="Q607" s="7">
        <v>3337.9979208984078</v>
      </c>
      <c r="R607" s="113">
        <f t="shared" si="65"/>
        <v>0.32340972370957377</v>
      </c>
      <c r="S607" s="113">
        <f t="shared" si="66"/>
        <v>0.38297872340425532</v>
      </c>
      <c r="T607" s="113">
        <f t="shared" si="67"/>
        <v>0</v>
      </c>
      <c r="U607" s="113">
        <f t="shared" si="68"/>
        <v>0.2354628157046097</v>
      </c>
    </row>
    <row r="608" spans="1:21" x14ac:dyDescent="0.45">
      <c r="A608" s="95">
        <v>45168</v>
      </c>
      <c r="B608" s="96">
        <v>5249</v>
      </c>
      <c r="C608" s="7">
        <v>1510</v>
      </c>
      <c r="D608" s="7">
        <f t="shared" si="63"/>
        <v>3739</v>
      </c>
      <c r="E608" s="97">
        <v>2350</v>
      </c>
      <c r="F608" s="7">
        <v>900</v>
      </c>
      <c r="G608" s="7">
        <f t="shared" si="64"/>
        <v>1450</v>
      </c>
      <c r="H608" s="98">
        <v>0</v>
      </c>
      <c r="I608" s="7">
        <v>0</v>
      </c>
      <c r="J608" s="7"/>
      <c r="K608" s="99">
        <f t="shared" si="69"/>
        <v>7599</v>
      </c>
      <c r="L608" s="7">
        <v>650</v>
      </c>
      <c r="M608" s="7">
        <v>3000</v>
      </c>
      <c r="N608" s="7">
        <v>0</v>
      </c>
      <c r="O608" s="7">
        <v>0</v>
      </c>
      <c r="P608" s="7">
        <v>6839.2101204415885</v>
      </c>
      <c r="Q608" s="7">
        <v>3426.7072066784112</v>
      </c>
      <c r="R608" s="113">
        <f t="shared" si="65"/>
        <v>0.28767384263669271</v>
      </c>
      <c r="S608" s="113">
        <f t="shared" si="66"/>
        <v>0.38297872340425532</v>
      </c>
      <c r="T608" s="113">
        <f t="shared" si="67"/>
        <v>0</v>
      </c>
      <c r="U608" s="113">
        <f t="shared" si="68"/>
        <v>0.22355085534698269</v>
      </c>
    </row>
    <row r="609" spans="1:21" x14ac:dyDescent="0.45">
      <c r="A609" s="95">
        <v>45169</v>
      </c>
      <c r="B609" s="96">
        <v>5249</v>
      </c>
      <c r="C609" s="7">
        <v>1850</v>
      </c>
      <c r="D609" s="7">
        <f t="shared" si="63"/>
        <v>3399</v>
      </c>
      <c r="E609" s="97">
        <v>2350</v>
      </c>
      <c r="F609" s="7">
        <v>500</v>
      </c>
      <c r="G609" s="7">
        <f t="shared" si="64"/>
        <v>1850</v>
      </c>
      <c r="H609" s="98">
        <v>0</v>
      </c>
      <c r="I609" s="7">
        <v>0</v>
      </c>
      <c r="J609" s="7"/>
      <c r="K609" s="99">
        <f t="shared" si="69"/>
        <v>7599</v>
      </c>
      <c r="L609" s="7">
        <v>850</v>
      </c>
      <c r="M609" s="7">
        <v>4260</v>
      </c>
      <c r="N609" s="7">
        <v>0</v>
      </c>
      <c r="O609" s="7">
        <v>0</v>
      </c>
      <c r="P609" s="7">
        <v>6839.2101204415885</v>
      </c>
      <c r="Q609" s="7">
        <v>1554.0994882884124</v>
      </c>
      <c r="R609" s="113">
        <f t="shared" si="65"/>
        <v>0.35244808534959038</v>
      </c>
      <c r="S609" s="113">
        <f t="shared" si="66"/>
        <v>0.21276595744680851</v>
      </c>
      <c r="T609" s="113">
        <f t="shared" si="67"/>
        <v>0</v>
      </c>
      <c r="U609" s="113">
        <f t="shared" si="68"/>
        <v>0.18840468093213295</v>
      </c>
    </row>
    <row r="610" spans="1:21" x14ac:dyDescent="0.45">
      <c r="A610" s="95">
        <v>45170</v>
      </c>
      <c r="B610" s="96">
        <v>5249</v>
      </c>
      <c r="C610" s="7">
        <v>1850</v>
      </c>
      <c r="D610" s="7">
        <f t="shared" si="63"/>
        <v>3399</v>
      </c>
      <c r="E610" s="97">
        <v>2350</v>
      </c>
      <c r="F610" s="7">
        <v>500</v>
      </c>
      <c r="G610" s="7">
        <f t="shared" si="64"/>
        <v>1850</v>
      </c>
      <c r="H610" s="98">
        <v>0</v>
      </c>
      <c r="I610" s="7">
        <v>0</v>
      </c>
      <c r="J610" s="7"/>
      <c r="K610" s="99">
        <f t="shared" si="69"/>
        <v>7599</v>
      </c>
      <c r="L610" s="7">
        <v>850</v>
      </c>
      <c r="M610" s="7">
        <v>4260</v>
      </c>
      <c r="N610" s="7">
        <v>0</v>
      </c>
      <c r="O610" s="7">
        <v>0</v>
      </c>
      <c r="P610" s="7">
        <v>6839.2101204415885</v>
      </c>
      <c r="Q610" s="7">
        <v>1641.9627465484116</v>
      </c>
      <c r="R610" s="113">
        <f t="shared" si="65"/>
        <v>0.35244808534959038</v>
      </c>
      <c r="S610" s="113">
        <f t="shared" si="66"/>
        <v>0.21276595744680851</v>
      </c>
      <c r="T610" s="113">
        <f t="shared" si="67"/>
        <v>0</v>
      </c>
      <c r="U610" s="113">
        <f t="shared" si="68"/>
        <v>0.18840468093213295</v>
      </c>
    </row>
    <row r="611" spans="1:21" x14ac:dyDescent="0.45">
      <c r="A611" s="95">
        <v>45171</v>
      </c>
      <c r="B611" s="96">
        <v>5249</v>
      </c>
      <c r="C611" s="7">
        <v>1850</v>
      </c>
      <c r="D611" s="7">
        <f t="shared" si="63"/>
        <v>3399</v>
      </c>
      <c r="E611" s="97">
        <v>2350</v>
      </c>
      <c r="F611" s="7">
        <v>500</v>
      </c>
      <c r="G611" s="7">
        <f t="shared" si="64"/>
        <v>1850</v>
      </c>
      <c r="H611" s="98">
        <v>0</v>
      </c>
      <c r="I611" s="7">
        <v>0</v>
      </c>
      <c r="J611" s="7"/>
      <c r="K611" s="99">
        <f t="shared" si="69"/>
        <v>7599</v>
      </c>
      <c r="L611" s="7">
        <v>850</v>
      </c>
      <c r="M611" s="7">
        <v>4260</v>
      </c>
      <c r="N611" s="7">
        <v>0</v>
      </c>
      <c r="O611" s="7">
        <v>0</v>
      </c>
      <c r="P611" s="7">
        <v>6839.2101204415885</v>
      </c>
      <c r="Q611" s="7">
        <v>1641.9627465484116</v>
      </c>
      <c r="R611" s="113">
        <f t="shared" si="65"/>
        <v>0.35244808534959038</v>
      </c>
      <c r="S611" s="113">
        <f t="shared" si="66"/>
        <v>0.21276595744680851</v>
      </c>
      <c r="T611" s="113">
        <f t="shared" si="67"/>
        <v>0</v>
      </c>
      <c r="U611" s="113">
        <f t="shared" si="68"/>
        <v>0.18840468093213295</v>
      </c>
    </row>
    <row r="612" spans="1:21" x14ac:dyDescent="0.45">
      <c r="A612" s="95">
        <v>45172</v>
      </c>
      <c r="B612" s="96">
        <v>5249</v>
      </c>
      <c r="C612" s="7">
        <v>1850</v>
      </c>
      <c r="D612" s="7">
        <f t="shared" si="63"/>
        <v>3399</v>
      </c>
      <c r="E612" s="97">
        <v>2350</v>
      </c>
      <c r="F612" s="7">
        <v>500</v>
      </c>
      <c r="G612" s="7">
        <f t="shared" si="64"/>
        <v>1850</v>
      </c>
      <c r="H612" s="98">
        <v>0</v>
      </c>
      <c r="I612" s="7">
        <v>0</v>
      </c>
      <c r="J612" s="7"/>
      <c r="K612" s="99">
        <f t="shared" si="69"/>
        <v>7599</v>
      </c>
      <c r="L612" s="7">
        <v>850</v>
      </c>
      <c r="M612" s="7">
        <v>4260</v>
      </c>
      <c r="N612" s="7">
        <v>0</v>
      </c>
      <c r="O612" s="7">
        <v>0</v>
      </c>
      <c r="P612" s="7">
        <v>6839.2101204415885</v>
      </c>
      <c r="Q612" s="7">
        <v>1641.9627465484116</v>
      </c>
      <c r="R612" s="113">
        <f t="shared" si="65"/>
        <v>0.35244808534959038</v>
      </c>
      <c r="S612" s="113">
        <f t="shared" si="66"/>
        <v>0.21276595744680851</v>
      </c>
      <c r="T612" s="113">
        <f t="shared" si="67"/>
        <v>0</v>
      </c>
      <c r="U612" s="113">
        <f t="shared" si="68"/>
        <v>0.18840468093213295</v>
      </c>
    </row>
    <row r="613" spans="1:21" x14ac:dyDescent="0.45">
      <c r="A613" s="95">
        <v>45173</v>
      </c>
      <c r="B613" s="96">
        <v>5249</v>
      </c>
      <c r="C613" s="7">
        <v>1850</v>
      </c>
      <c r="D613" s="7">
        <f t="shared" si="63"/>
        <v>3399</v>
      </c>
      <c r="E613" s="97">
        <v>2350</v>
      </c>
      <c r="F613" s="7">
        <v>500</v>
      </c>
      <c r="G613" s="7">
        <f t="shared" si="64"/>
        <v>1850</v>
      </c>
      <c r="H613" s="98">
        <v>0</v>
      </c>
      <c r="I613" s="7">
        <v>0</v>
      </c>
      <c r="J613" s="7"/>
      <c r="K613" s="99">
        <f t="shared" si="69"/>
        <v>7599</v>
      </c>
      <c r="L613" s="7">
        <v>850</v>
      </c>
      <c r="M613" s="7">
        <v>4260</v>
      </c>
      <c r="N613" s="7">
        <v>0</v>
      </c>
      <c r="O613" s="7">
        <v>0</v>
      </c>
      <c r="P613" s="7">
        <v>6783.7792497586524</v>
      </c>
      <c r="Q613" s="7">
        <v>1770.4513574313473</v>
      </c>
      <c r="R613" s="113">
        <f t="shared" si="65"/>
        <v>0.35244808534959038</v>
      </c>
      <c r="S613" s="113">
        <f t="shared" si="66"/>
        <v>0.21276595744680851</v>
      </c>
      <c r="T613" s="113">
        <f t="shared" si="67"/>
        <v>0</v>
      </c>
      <c r="U613" s="113">
        <f t="shared" si="68"/>
        <v>0.18840468093213295</v>
      </c>
    </row>
    <row r="614" spans="1:21" x14ac:dyDescent="0.45">
      <c r="A614" s="95">
        <v>45174</v>
      </c>
      <c r="B614" s="96">
        <v>5249</v>
      </c>
      <c r="C614" s="7">
        <v>1850</v>
      </c>
      <c r="D614" s="7">
        <f t="shared" si="63"/>
        <v>3399</v>
      </c>
      <c r="E614" s="97">
        <v>2350</v>
      </c>
      <c r="F614" s="7">
        <v>500</v>
      </c>
      <c r="G614" s="7">
        <f t="shared" si="64"/>
        <v>1850</v>
      </c>
      <c r="H614" s="98">
        <v>0</v>
      </c>
      <c r="I614" s="7">
        <v>0</v>
      </c>
      <c r="J614" s="7"/>
      <c r="K614" s="99">
        <f t="shared" si="69"/>
        <v>7599</v>
      </c>
      <c r="L614" s="7">
        <v>850</v>
      </c>
      <c r="M614" s="7">
        <v>4260</v>
      </c>
      <c r="N614" s="7">
        <v>0</v>
      </c>
      <c r="O614" s="7">
        <v>0</v>
      </c>
      <c r="P614" s="7">
        <v>6783.7792497586524</v>
      </c>
      <c r="Q614" s="7">
        <v>1920.2828825613474</v>
      </c>
      <c r="R614" s="113">
        <f t="shared" si="65"/>
        <v>0.35244808534959038</v>
      </c>
      <c r="S614" s="113">
        <f t="shared" si="66"/>
        <v>0.21276595744680851</v>
      </c>
      <c r="T614" s="113">
        <f t="shared" si="67"/>
        <v>0</v>
      </c>
      <c r="U614" s="113">
        <f t="shared" si="68"/>
        <v>0.18840468093213295</v>
      </c>
    </row>
    <row r="615" spans="1:21" x14ac:dyDescent="0.45">
      <c r="A615" s="95">
        <v>45175</v>
      </c>
      <c r="B615" s="96">
        <v>4999</v>
      </c>
      <c r="C615" s="7">
        <v>1850</v>
      </c>
      <c r="D615" s="7">
        <f t="shared" si="63"/>
        <v>3149</v>
      </c>
      <c r="E615" s="97">
        <v>2350</v>
      </c>
      <c r="F615" s="7">
        <v>500</v>
      </c>
      <c r="G615" s="7">
        <f t="shared" si="64"/>
        <v>1850</v>
      </c>
      <c r="H615" s="98">
        <v>0</v>
      </c>
      <c r="I615" s="7">
        <v>0</v>
      </c>
      <c r="J615" s="7"/>
      <c r="K615" s="99">
        <f t="shared" si="69"/>
        <v>7349</v>
      </c>
      <c r="L615" s="7">
        <v>850</v>
      </c>
      <c r="M615" s="7">
        <v>4260</v>
      </c>
      <c r="N615" s="7">
        <v>0</v>
      </c>
      <c r="O615" s="7">
        <v>0</v>
      </c>
      <c r="P615" s="7">
        <v>6783.7792497586524</v>
      </c>
      <c r="Q615" s="7">
        <v>2083.9128147413467</v>
      </c>
      <c r="R615" s="113">
        <f t="shared" si="65"/>
        <v>0.37007401480296059</v>
      </c>
      <c r="S615" s="113">
        <f t="shared" si="66"/>
        <v>0.21276595744680851</v>
      </c>
      <c r="T615" s="113">
        <f t="shared" si="67"/>
        <v>0</v>
      </c>
      <c r="U615" s="113">
        <f t="shared" si="68"/>
        <v>0.19427999074992305</v>
      </c>
    </row>
    <row r="616" spans="1:21" x14ac:dyDescent="0.45">
      <c r="A616" s="95">
        <v>45176</v>
      </c>
      <c r="B616" s="96">
        <v>4999</v>
      </c>
      <c r="C616" s="7">
        <v>1600</v>
      </c>
      <c r="D616" s="7">
        <f t="shared" si="63"/>
        <v>3399</v>
      </c>
      <c r="E616" s="97">
        <v>2350</v>
      </c>
      <c r="F616" s="7">
        <v>500</v>
      </c>
      <c r="G616" s="7">
        <f t="shared" si="64"/>
        <v>1850</v>
      </c>
      <c r="H616" s="98">
        <v>0</v>
      </c>
      <c r="I616" s="7">
        <v>0</v>
      </c>
      <c r="J616" s="7"/>
      <c r="K616" s="99">
        <f t="shared" si="69"/>
        <v>7349</v>
      </c>
      <c r="L616" s="7">
        <v>850</v>
      </c>
      <c r="M616" s="7">
        <v>4060</v>
      </c>
      <c r="N616" s="7">
        <v>0</v>
      </c>
      <c r="O616" s="7">
        <v>0</v>
      </c>
      <c r="P616" s="7">
        <v>6783.7792497586524</v>
      </c>
      <c r="Q616" s="7">
        <v>2288.7897500513473</v>
      </c>
      <c r="R616" s="113">
        <f t="shared" si="65"/>
        <v>0.32006401280256053</v>
      </c>
      <c r="S616" s="113">
        <f t="shared" si="66"/>
        <v>0.21276595744680851</v>
      </c>
      <c r="T616" s="113">
        <f t="shared" si="67"/>
        <v>0</v>
      </c>
      <c r="U616" s="113">
        <f t="shared" si="68"/>
        <v>0.17760999008312303</v>
      </c>
    </row>
    <row r="617" spans="1:21" x14ac:dyDescent="0.45">
      <c r="A617" s="95">
        <v>45177</v>
      </c>
      <c r="B617" s="96">
        <v>4999</v>
      </c>
      <c r="C617" s="7">
        <v>1600</v>
      </c>
      <c r="D617" s="7">
        <f t="shared" si="63"/>
        <v>3399</v>
      </c>
      <c r="E617" s="97">
        <v>2350</v>
      </c>
      <c r="F617" s="7">
        <v>500</v>
      </c>
      <c r="G617" s="7">
        <f t="shared" si="64"/>
        <v>1850</v>
      </c>
      <c r="H617" s="98">
        <v>0</v>
      </c>
      <c r="I617" s="7">
        <v>0</v>
      </c>
      <c r="J617" s="7"/>
      <c r="K617" s="99">
        <f t="shared" si="69"/>
        <v>7349</v>
      </c>
      <c r="L617" s="7">
        <v>850</v>
      </c>
      <c r="M617" s="7">
        <v>4060</v>
      </c>
      <c r="N617" s="7">
        <v>0</v>
      </c>
      <c r="O617" s="7">
        <v>0</v>
      </c>
      <c r="P617" s="7">
        <v>6783.7792497586524</v>
      </c>
      <c r="Q617" s="7">
        <v>2235.531029231347</v>
      </c>
      <c r="R617" s="113">
        <f t="shared" si="65"/>
        <v>0.32006401280256053</v>
      </c>
      <c r="S617" s="113">
        <f t="shared" si="66"/>
        <v>0.21276595744680851</v>
      </c>
      <c r="T617" s="113">
        <f t="shared" si="67"/>
        <v>0</v>
      </c>
      <c r="U617" s="113">
        <f t="shared" si="68"/>
        <v>0.17760999008312303</v>
      </c>
    </row>
    <row r="618" spans="1:21" x14ac:dyDescent="0.45">
      <c r="A618" s="95">
        <v>45178</v>
      </c>
      <c r="B618" s="96">
        <v>4999</v>
      </c>
      <c r="C618" s="7">
        <v>1600</v>
      </c>
      <c r="D618" s="7">
        <f t="shared" si="63"/>
        <v>3399</v>
      </c>
      <c r="E618" s="97">
        <v>2350</v>
      </c>
      <c r="F618" s="7">
        <v>500</v>
      </c>
      <c r="G618" s="7">
        <f t="shared" si="64"/>
        <v>1850</v>
      </c>
      <c r="H618" s="98">
        <v>0</v>
      </c>
      <c r="I618" s="7">
        <v>0</v>
      </c>
      <c r="J618" s="7"/>
      <c r="K618" s="99">
        <f t="shared" si="69"/>
        <v>7349</v>
      </c>
      <c r="L618" s="7">
        <v>850</v>
      </c>
      <c r="M618" s="7">
        <v>4060</v>
      </c>
      <c r="N618" s="7">
        <v>0</v>
      </c>
      <c r="O618" s="7">
        <v>0</v>
      </c>
      <c r="P618" s="7">
        <v>6783.7792497586524</v>
      </c>
      <c r="Q618" s="7">
        <v>2235.531029231347</v>
      </c>
      <c r="R618" s="113">
        <f t="shared" si="65"/>
        <v>0.32006401280256053</v>
      </c>
      <c r="S618" s="113">
        <f t="shared" si="66"/>
        <v>0.21276595744680851</v>
      </c>
      <c r="T618" s="113">
        <f t="shared" si="67"/>
        <v>0</v>
      </c>
      <c r="U618" s="113">
        <f t="shared" si="68"/>
        <v>0.17760999008312303</v>
      </c>
    </row>
    <row r="619" spans="1:21" x14ac:dyDescent="0.45">
      <c r="A619" s="95">
        <v>45179</v>
      </c>
      <c r="B619" s="96">
        <v>4999</v>
      </c>
      <c r="C619" s="7">
        <v>1600</v>
      </c>
      <c r="D619" s="7">
        <f t="shared" si="63"/>
        <v>3399</v>
      </c>
      <c r="E619" s="97">
        <v>2350</v>
      </c>
      <c r="F619" s="7">
        <v>500</v>
      </c>
      <c r="G619" s="7">
        <f t="shared" si="64"/>
        <v>1850</v>
      </c>
      <c r="H619" s="98">
        <v>0</v>
      </c>
      <c r="I619" s="7">
        <v>0</v>
      </c>
      <c r="J619" s="7"/>
      <c r="K619" s="99">
        <f t="shared" si="69"/>
        <v>7349</v>
      </c>
      <c r="L619" s="7">
        <v>850</v>
      </c>
      <c r="M619" s="7">
        <v>4060</v>
      </c>
      <c r="N619" s="7">
        <v>0</v>
      </c>
      <c r="O619" s="7">
        <v>0</v>
      </c>
      <c r="P619" s="7">
        <v>6783.7792497586524</v>
      </c>
      <c r="Q619" s="7">
        <v>2235.531029231347</v>
      </c>
      <c r="R619" s="113">
        <f t="shared" si="65"/>
        <v>0.32006401280256053</v>
      </c>
      <c r="S619" s="113">
        <f t="shared" si="66"/>
        <v>0.21276595744680851</v>
      </c>
      <c r="T619" s="113">
        <f t="shared" si="67"/>
        <v>0</v>
      </c>
      <c r="U619" s="113">
        <f t="shared" si="68"/>
        <v>0.17760999008312303</v>
      </c>
    </row>
    <row r="620" spans="1:21" x14ac:dyDescent="0.45">
      <c r="A620" s="95">
        <v>45180</v>
      </c>
      <c r="B620" s="96">
        <v>4999</v>
      </c>
      <c r="C620" s="7">
        <v>1600</v>
      </c>
      <c r="D620" s="7">
        <f t="shared" si="63"/>
        <v>3399</v>
      </c>
      <c r="E620" s="97">
        <v>2350</v>
      </c>
      <c r="F620" s="7">
        <v>500</v>
      </c>
      <c r="G620" s="7">
        <f t="shared" si="64"/>
        <v>1850</v>
      </c>
      <c r="H620" s="98">
        <v>0</v>
      </c>
      <c r="I620" s="7">
        <v>0</v>
      </c>
      <c r="J620" s="7"/>
      <c r="K620" s="99">
        <f t="shared" si="69"/>
        <v>7349</v>
      </c>
      <c r="L620" s="7">
        <v>850</v>
      </c>
      <c r="M620" s="7">
        <v>4060</v>
      </c>
      <c r="N620" s="7">
        <v>0</v>
      </c>
      <c r="O620" s="7">
        <v>0</v>
      </c>
      <c r="P620" s="7">
        <v>6783.7792497586524</v>
      </c>
      <c r="Q620" s="7">
        <v>1425.1100074213473</v>
      </c>
      <c r="R620" s="113">
        <f t="shared" si="65"/>
        <v>0.32006401280256053</v>
      </c>
      <c r="S620" s="113">
        <f t="shared" si="66"/>
        <v>0.21276595744680851</v>
      </c>
      <c r="T620" s="113">
        <f t="shared" si="67"/>
        <v>0</v>
      </c>
      <c r="U620" s="113">
        <f t="shared" si="68"/>
        <v>0.17760999008312303</v>
      </c>
    </row>
    <row r="621" spans="1:21" x14ac:dyDescent="0.45">
      <c r="A621" s="95">
        <v>45181</v>
      </c>
      <c r="B621" s="96">
        <v>4999</v>
      </c>
      <c r="C621" s="7">
        <v>1600</v>
      </c>
      <c r="D621" s="7">
        <f t="shared" si="63"/>
        <v>3399</v>
      </c>
      <c r="E621" s="97">
        <v>2350</v>
      </c>
      <c r="F621" s="7">
        <v>500</v>
      </c>
      <c r="G621" s="7">
        <f t="shared" si="64"/>
        <v>1850</v>
      </c>
      <c r="H621" s="98">
        <v>0</v>
      </c>
      <c r="I621" s="7">
        <v>0</v>
      </c>
      <c r="J621" s="7"/>
      <c r="K621" s="99">
        <f t="shared" si="69"/>
        <v>7349</v>
      </c>
      <c r="L621" s="7">
        <v>850</v>
      </c>
      <c r="M621" s="7">
        <v>4060</v>
      </c>
      <c r="N621" s="7">
        <v>0</v>
      </c>
      <c r="O621" s="7">
        <v>0</v>
      </c>
      <c r="P621" s="7">
        <v>6783.7792497586524</v>
      </c>
      <c r="Q621" s="7">
        <v>1851.0740794513472</v>
      </c>
      <c r="R621" s="113">
        <f t="shared" si="65"/>
        <v>0.32006401280256053</v>
      </c>
      <c r="S621" s="113">
        <f t="shared" si="66"/>
        <v>0.21276595744680851</v>
      </c>
      <c r="T621" s="113">
        <f t="shared" si="67"/>
        <v>0</v>
      </c>
      <c r="U621" s="113">
        <f t="shared" si="68"/>
        <v>0.17760999008312303</v>
      </c>
    </row>
    <row r="622" spans="1:21" x14ac:dyDescent="0.45">
      <c r="A622" s="95">
        <v>45182</v>
      </c>
      <c r="B622" s="96">
        <v>5099</v>
      </c>
      <c r="C622" s="7">
        <v>1600</v>
      </c>
      <c r="D622" s="7">
        <f t="shared" si="63"/>
        <v>3499</v>
      </c>
      <c r="E622" s="97">
        <v>2350</v>
      </c>
      <c r="F622" s="7">
        <v>500</v>
      </c>
      <c r="G622" s="7">
        <f t="shared" si="64"/>
        <v>1850</v>
      </c>
      <c r="H622" s="98">
        <v>0</v>
      </c>
      <c r="I622" s="7">
        <v>0</v>
      </c>
      <c r="J622" s="7"/>
      <c r="K622" s="99">
        <f t="shared" si="69"/>
        <v>7449</v>
      </c>
      <c r="L622" s="7">
        <v>850</v>
      </c>
      <c r="M622" s="7">
        <v>4060</v>
      </c>
      <c r="N622" s="7">
        <v>0</v>
      </c>
      <c r="O622" s="7">
        <v>0</v>
      </c>
      <c r="P622" s="7">
        <v>6783.7792497586524</v>
      </c>
      <c r="Q622" s="7">
        <v>1177.7366150613473</v>
      </c>
      <c r="R622" s="113">
        <f t="shared" si="65"/>
        <v>0.31378701706216905</v>
      </c>
      <c r="S622" s="113">
        <f t="shared" si="66"/>
        <v>0.21276595744680851</v>
      </c>
      <c r="T622" s="113">
        <f t="shared" si="67"/>
        <v>0</v>
      </c>
      <c r="U622" s="113">
        <f t="shared" si="68"/>
        <v>0.17551765816965917</v>
      </c>
    </row>
    <row r="623" spans="1:21" x14ac:dyDescent="0.45">
      <c r="A623" s="95">
        <v>45183</v>
      </c>
      <c r="B623" s="96">
        <v>5099</v>
      </c>
      <c r="C623" s="7">
        <v>1700</v>
      </c>
      <c r="D623" s="7">
        <f t="shared" si="63"/>
        <v>3399</v>
      </c>
      <c r="E623" s="97">
        <v>2350</v>
      </c>
      <c r="F623" s="7">
        <v>500</v>
      </c>
      <c r="G623" s="7">
        <f t="shared" si="64"/>
        <v>1850</v>
      </c>
      <c r="H623" s="98">
        <v>0</v>
      </c>
      <c r="I623" s="7">
        <v>0</v>
      </c>
      <c r="J623" s="7"/>
      <c r="K623" s="99">
        <f t="shared" si="69"/>
        <v>7449</v>
      </c>
      <c r="L623" s="7">
        <v>400</v>
      </c>
      <c r="M623" s="7">
        <v>4000</v>
      </c>
      <c r="N623" s="7">
        <v>0</v>
      </c>
      <c r="O623" s="7">
        <v>0</v>
      </c>
      <c r="P623" s="7">
        <v>6783.7792497586524</v>
      </c>
      <c r="Q623" s="7">
        <v>1957.6565770413476</v>
      </c>
      <c r="R623" s="113">
        <f t="shared" si="65"/>
        <v>0.33339870562855461</v>
      </c>
      <c r="S623" s="113">
        <f t="shared" si="66"/>
        <v>0.21276595744680851</v>
      </c>
      <c r="T623" s="113">
        <f t="shared" si="67"/>
        <v>0</v>
      </c>
      <c r="U623" s="113">
        <f t="shared" si="68"/>
        <v>0.18205488769178771</v>
      </c>
    </row>
    <row r="624" spans="1:21" x14ac:dyDescent="0.45">
      <c r="A624" s="95">
        <v>45184</v>
      </c>
      <c r="B624" s="96">
        <v>5099</v>
      </c>
      <c r="C624" s="7">
        <v>1700</v>
      </c>
      <c r="D624" s="7">
        <f t="shared" si="63"/>
        <v>3399</v>
      </c>
      <c r="E624" s="97">
        <v>2350</v>
      </c>
      <c r="F624" s="7">
        <v>500</v>
      </c>
      <c r="G624" s="7">
        <f t="shared" si="64"/>
        <v>1850</v>
      </c>
      <c r="H624" s="98">
        <v>0</v>
      </c>
      <c r="I624" s="7">
        <v>0</v>
      </c>
      <c r="J624" s="7"/>
      <c r="K624" s="99">
        <f t="shared" si="69"/>
        <v>7449</v>
      </c>
      <c r="L624" s="7">
        <v>400</v>
      </c>
      <c r="M624" s="7">
        <v>4000</v>
      </c>
      <c r="N624" s="7">
        <v>0</v>
      </c>
      <c r="O624" s="7">
        <v>0</v>
      </c>
      <c r="P624" s="7">
        <v>6783.7792497586524</v>
      </c>
      <c r="Q624" s="7">
        <v>2212.0060335113467</v>
      </c>
      <c r="R624" s="113">
        <f t="shared" si="65"/>
        <v>0.33339870562855461</v>
      </c>
      <c r="S624" s="113">
        <f t="shared" si="66"/>
        <v>0.21276595744680851</v>
      </c>
      <c r="T624" s="113">
        <f t="shared" si="67"/>
        <v>0</v>
      </c>
      <c r="U624" s="113">
        <f t="shared" si="68"/>
        <v>0.18205488769178771</v>
      </c>
    </row>
    <row r="625" spans="1:21" x14ac:dyDescent="0.45">
      <c r="A625" s="95">
        <v>45185</v>
      </c>
      <c r="B625" s="96">
        <v>5099</v>
      </c>
      <c r="C625" s="7">
        <v>1700</v>
      </c>
      <c r="D625" s="7">
        <f t="shared" si="63"/>
        <v>3399</v>
      </c>
      <c r="E625" s="97">
        <v>2350</v>
      </c>
      <c r="F625" s="7">
        <v>500</v>
      </c>
      <c r="G625" s="7">
        <f t="shared" si="64"/>
        <v>1850</v>
      </c>
      <c r="H625" s="98">
        <v>0</v>
      </c>
      <c r="I625" s="7">
        <v>0</v>
      </c>
      <c r="J625" s="7"/>
      <c r="K625" s="99">
        <f t="shared" si="69"/>
        <v>7449</v>
      </c>
      <c r="L625" s="7">
        <v>400</v>
      </c>
      <c r="M625" s="7">
        <v>4000</v>
      </c>
      <c r="N625" s="7">
        <v>0</v>
      </c>
      <c r="O625" s="7">
        <v>0</v>
      </c>
      <c r="P625" s="7">
        <v>6783.7792497586524</v>
      </c>
      <c r="Q625" s="7">
        <v>2212.0060335113467</v>
      </c>
      <c r="R625" s="113">
        <f t="shared" si="65"/>
        <v>0.33339870562855461</v>
      </c>
      <c r="S625" s="113">
        <f t="shared" si="66"/>
        <v>0.21276595744680851</v>
      </c>
      <c r="T625" s="113">
        <f t="shared" si="67"/>
        <v>0</v>
      </c>
      <c r="U625" s="113">
        <f t="shared" si="68"/>
        <v>0.18205488769178771</v>
      </c>
    </row>
    <row r="626" spans="1:21" x14ac:dyDescent="0.45">
      <c r="A626" s="95">
        <v>45186</v>
      </c>
      <c r="B626" s="96">
        <v>5099</v>
      </c>
      <c r="C626" s="7">
        <v>1700</v>
      </c>
      <c r="D626" s="7">
        <f t="shared" si="63"/>
        <v>3399</v>
      </c>
      <c r="E626" s="97">
        <v>2350</v>
      </c>
      <c r="F626" s="7">
        <v>500</v>
      </c>
      <c r="G626" s="7">
        <f t="shared" si="64"/>
        <v>1850</v>
      </c>
      <c r="H626" s="98">
        <v>0</v>
      </c>
      <c r="I626" s="7">
        <v>0</v>
      </c>
      <c r="J626" s="7"/>
      <c r="K626" s="99">
        <f t="shared" si="69"/>
        <v>7449</v>
      </c>
      <c r="L626" s="7">
        <v>400</v>
      </c>
      <c r="M626" s="7">
        <v>4000</v>
      </c>
      <c r="N626" s="7">
        <v>0</v>
      </c>
      <c r="O626" s="7">
        <v>0</v>
      </c>
      <c r="P626" s="7">
        <v>6783.7792497586524</v>
      </c>
      <c r="Q626" s="7">
        <v>2212.0060335113467</v>
      </c>
      <c r="R626" s="113">
        <f t="shared" si="65"/>
        <v>0.33339870562855461</v>
      </c>
      <c r="S626" s="113">
        <f t="shared" si="66"/>
        <v>0.21276595744680851</v>
      </c>
      <c r="T626" s="113">
        <f t="shared" si="67"/>
        <v>0</v>
      </c>
      <c r="U626" s="113">
        <f t="shared" si="68"/>
        <v>0.18205488769178771</v>
      </c>
    </row>
    <row r="627" spans="1:21" x14ac:dyDescent="0.45">
      <c r="A627" s="95">
        <v>45187</v>
      </c>
      <c r="B627" s="96">
        <v>5099</v>
      </c>
      <c r="C627" s="7">
        <v>1700</v>
      </c>
      <c r="D627" s="7">
        <f t="shared" si="63"/>
        <v>3399</v>
      </c>
      <c r="E627" s="97">
        <v>2350</v>
      </c>
      <c r="F627" s="7">
        <v>500</v>
      </c>
      <c r="G627" s="7">
        <f t="shared" si="64"/>
        <v>1850</v>
      </c>
      <c r="H627" s="98">
        <v>0</v>
      </c>
      <c r="I627" s="7">
        <v>0</v>
      </c>
      <c r="J627" s="7"/>
      <c r="K627" s="99">
        <f t="shared" si="69"/>
        <v>7449</v>
      </c>
      <c r="L627" s="7">
        <v>400</v>
      </c>
      <c r="M627" s="7">
        <v>4000</v>
      </c>
      <c r="N627" s="7">
        <v>0</v>
      </c>
      <c r="O627" s="7">
        <v>0</v>
      </c>
      <c r="P627" s="7">
        <v>6783.7792497586524</v>
      </c>
      <c r="Q627" s="7">
        <v>1558.1502744013471</v>
      </c>
      <c r="R627" s="113">
        <f t="shared" si="65"/>
        <v>0.33339870562855461</v>
      </c>
      <c r="S627" s="113">
        <f t="shared" si="66"/>
        <v>0.21276595744680851</v>
      </c>
      <c r="T627" s="113">
        <f t="shared" si="67"/>
        <v>0</v>
      </c>
      <c r="U627" s="113">
        <f t="shared" si="68"/>
        <v>0.18205488769178771</v>
      </c>
    </row>
    <row r="628" spans="1:21" x14ac:dyDescent="0.45">
      <c r="A628" s="95">
        <v>45188</v>
      </c>
      <c r="B628" s="96">
        <v>5099</v>
      </c>
      <c r="C628" s="7">
        <v>1700</v>
      </c>
      <c r="D628" s="7">
        <f t="shared" si="63"/>
        <v>3399</v>
      </c>
      <c r="E628" s="97">
        <v>2350</v>
      </c>
      <c r="F628" s="7">
        <v>500</v>
      </c>
      <c r="G628" s="7">
        <f t="shared" si="64"/>
        <v>1850</v>
      </c>
      <c r="H628" s="98">
        <v>0</v>
      </c>
      <c r="I628" s="7">
        <v>0</v>
      </c>
      <c r="J628" s="7"/>
      <c r="K628" s="99">
        <f t="shared" si="69"/>
        <v>7449</v>
      </c>
      <c r="L628" s="7">
        <v>400</v>
      </c>
      <c r="M628" s="7">
        <v>4000</v>
      </c>
      <c r="N628" s="7">
        <v>0</v>
      </c>
      <c r="O628" s="7">
        <v>0</v>
      </c>
      <c r="P628" s="7">
        <v>6783.7792497586524</v>
      </c>
      <c r="Q628" s="7">
        <v>2731.4217378613475</v>
      </c>
      <c r="R628" s="113">
        <f t="shared" si="65"/>
        <v>0.33339870562855461</v>
      </c>
      <c r="S628" s="113">
        <f t="shared" si="66"/>
        <v>0.21276595744680851</v>
      </c>
      <c r="T628" s="113">
        <f t="shared" si="67"/>
        <v>0</v>
      </c>
      <c r="U628" s="113">
        <f t="shared" si="68"/>
        <v>0.18205488769178771</v>
      </c>
    </row>
    <row r="629" spans="1:21" x14ac:dyDescent="0.45">
      <c r="A629" s="95">
        <v>45189</v>
      </c>
      <c r="B629" s="96">
        <v>5299</v>
      </c>
      <c r="C629" s="7">
        <v>1700</v>
      </c>
      <c r="D629" s="7">
        <f t="shared" si="63"/>
        <v>3599</v>
      </c>
      <c r="E629" s="97">
        <v>2350</v>
      </c>
      <c r="F629" s="7">
        <v>500</v>
      </c>
      <c r="G629" s="7">
        <f t="shared" si="64"/>
        <v>1850</v>
      </c>
      <c r="H629" s="98">
        <v>0</v>
      </c>
      <c r="I629" s="7">
        <v>0</v>
      </c>
      <c r="J629" s="7"/>
      <c r="K629" s="99">
        <f t="shared" si="69"/>
        <v>7649</v>
      </c>
      <c r="L629" s="7">
        <v>400</v>
      </c>
      <c r="M629" s="7">
        <v>4000</v>
      </c>
      <c r="N629" s="7">
        <v>0</v>
      </c>
      <c r="O629" s="7">
        <v>0</v>
      </c>
      <c r="P629" s="7">
        <v>6783.7792497586524</v>
      </c>
      <c r="Q629" s="7">
        <v>3146.9973660013475</v>
      </c>
      <c r="R629" s="113">
        <f t="shared" si="65"/>
        <v>0.32081524816003021</v>
      </c>
      <c r="S629" s="113">
        <f t="shared" si="66"/>
        <v>0.21276595744680851</v>
      </c>
      <c r="T629" s="113">
        <f t="shared" si="67"/>
        <v>0</v>
      </c>
      <c r="U629" s="113">
        <f t="shared" si="68"/>
        <v>0.17786040186894625</v>
      </c>
    </row>
    <row r="630" spans="1:21" x14ac:dyDescent="0.45">
      <c r="A630" s="95">
        <v>45190</v>
      </c>
      <c r="B630" s="96">
        <v>5299</v>
      </c>
      <c r="C630" s="7">
        <v>1900</v>
      </c>
      <c r="D630" s="7">
        <f t="shared" si="63"/>
        <v>3399</v>
      </c>
      <c r="E630" s="97">
        <v>2350</v>
      </c>
      <c r="F630" s="7">
        <v>500</v>
      </c>
      <c r="G630" s="7">
        <f t="shared" si="64"/>
        <v>1850</v>
      </c>
      <c r="H630" s="98">
        <v>0</v>
      </c>
      <c r="I630" s="7">
        <v>0</v>
      </c>
      <c r="J630" s="7"/>
      <c r="K630" s="99">
        <f t="shared" si="69"/>
        <v>7649</v>
      </c>
      <c r="L630" s="7">
        <v>400</v>
      </c>
      <c r="M630" s="7">
        <v>4930</v>
      </c>
      <c r="N630" s="7">
        <v>0</v>
      </c>
      <c r="O630" s="7">
        <v>0</v>
      </c>
      <c r="P630" s="7">
        <v>6783.7792497586524</v>
      </c>
      <c r="Q630" s="7">
        <v>3159.5573828313481</v>
      </c>
      <c r="R630" s="113">
        <f t="shared" si="65"/>
        <v>0.35855821853179848</v>
      </c>
      <c r="S630" s="113">
        <f t="shared" si="66"/>
        <v>0.21276595744680851</v>
      </c>
      <c r="T630" s="113">
        <f t="shared" si="67"/>
        <v>0</v>
      </c>
      <c r="U630" s="113">
        <f t="shared" si="68"/>
        <v>0.190441391992869</v>
      </c>
    </row>
    <row r="631" spans="1:21" x14ac:dyDescent="0.45">
      <c r="A631" s="95">
        <v>45191</v>
      </c>
      <c r="B631" s="96">
        <v>5299</v>
      </c>
      <c r="C631" s="7">
        <v>1900</v>
      </c>
      <c r="D631" s="7">
        <f t="shared" si="63"/>
        <v>3399</v>
      </c>
      <c r="E631" s="97">
        <v>2350</v>
      </c>
      <c r="F631" s="7">
        <v>500</v>
      </c>
      <c r="G631" s="7">
        <f t="shared" si="64"/>
        <v>1850</v>
      </c>
      <c r="H631" s="98">
        <v>0</v>
      </c>
      <c r="I631" s="7">
        <v>0</v>
      </c>
      <c r="J631" s="7"/>
      <c r="K631" s="99">
        <f t="shared" si="69"/>
        <v>7649</v>
      </c>
      <c r="L631" s="7">
        <v>400</v>
      </c>
      <c r="M631" s="7">
        <v>4930</v>
      </c>
      <c r="N631" s="7">
        <v>0</v>
      </c>
      <c r="O631" s="7">
        <v>0</v>
      </c>
      <c r="P631" s="7">
        <v>6783.7792497586524</v>
      </c>
      <c r="Q631" s="7">
        <v>3483.2976768813469</v>
      </c>
      <c r="R631" s="113">
        <f t="shared" si="65"/>
        <v>0.35855821853179848</v>
      </c>
      <c r="S631" s="113">
        <f t="shared" si="66"/>
        <v>0.21276595744680851</v>
      </c>
      <c r="T631" s="113">
        <f t="shared" si="67"/>
        <v>0</v>
      </c>
      <c r="U631" s="113">
        <f t="shared" si="68"/>
        <v>0.190441391992869</v>
      </c>
    </row>
    <row r="632" spans="1:21" x14ac:dyDescent="0.45">
      <c r="A632" s="95">
        <v>45192</v>
      </c>
      <c r="B632" s="96">
        <v>5299</v>
      </c>
      <c r="C632" s="7">
        <v>1900</v>
      </c>
      <c r="D632" s="7">
        <f t="shared" si="63"/>
        <v>3399</v>
      </c>
      <c r="E632" s="97">
        <v>2350</v>
      </c>
      <c r="F632" s="7">
        <v>500</v>
      </c>
      <c r="G632" s="7">
        <f t="shared" si="64"/>
        <v>1850</v>
      </c>
      <c r="H632" s="98">
        <v>0</v>
      </c>
      <c r="I632" s="7">
        <v>0</v>
      </c>
      <c r="J632" s="7"/>
      <c r="K632" s="99">
        <f t="shared" si="69"/>
        <v>7649</v>
      </c>
      <c r="L632" s="7">
        <v>400</v>
      </c>
      <c r="M632" s="7">
        <v>4930</v>
      </c>
      <c r="N632" s="7">
        <v>0</v>
      </c>
      <c r="O632" s="7">
        <v>0</v>
      </c>
      <c r="P632" s="7">
        <v>6783.7792497586524</v>
      </c>
      <c r="Q632" s="7">
        <v>3483.2976768813469</v>
      </c>
      <c r="R632" s="113">
        <f t="shared" si="65"/>
        <v>0.35855821853179848</v>
      </c>
      <c r="S632" s="113">
        <f t="shared" si="66"/>
        <v>0.21276595744680851</v>
      </c>
      <c r="T632" s="113">
        <f t="shared" si="67"/>
        <v>0</v>
      </c>
      <c r="U632" s="113">
        <f t="shared" si="68"/>
        <v>0.190441391992869</v>
      </c>
    </row>
    <row r="633" spans="1:21" x14ac:dyDescent="0.45">
      <c r="A633" s="95">
        <v>45193</v>
      </c>
      <c r="B633" s="96">
        <v>5299</v>
      </c>
      <c r="C633" s="7">
        <v>1900</v>
      </c>
      <c r="D633" s="7">
        <f t="shared" si="63"/>
        <v>3399</v>
      </c>
      <c r="E633" s="97">
        <v>2350</v>
      </c>
      <c r="F633" s="7">
        <v>500</v>
      </c>
      <c r="G633" s="7">
        <f t="shared" si="64"/>
        <v>1850</v>
      </c>
      <c r="H633" s="98">
        <v>0</v>
      </c>
      <c r="I633" s="7">
        <v>0</v>
      </c>
      <c r="J633" s="7"/>
      <c r="K633" s="99">
        <f t="shared" si="69"/>
        <v>7649</v>
      </c>
      <c r="L633" s="7">
        <v>400</v>
      </c>
      <c r="M633" s="7">
        <v>4930</v>
      </c>
      <c r="N633" s="7">
        <v>0</v>
      </c>
      <c r="O633" s="7">
        <v>0</v>
      </c>
      <c r="P633" s="7">
        <v>6783.7792497586524</v>
      </c>
      <c r="Q633" s="7">
        <v>3483.2976768813469</v>
      </c>
      <c r="R633" s="113">
        <f t="shared" si="65"/>
        <v>0.35855821853179848</v>
      </c>
      <c r="S633" s="113">
        <f t="shared" si="66"/>
        <v>0.21276595744680851</v>
      </c>
      <c r="T633" s="113">
        <f t="shared" si="67"/>
        <v>0</v>
      </c>
      <c r="U633" s="113">
        <f t="shared" si="68"/>
        <v>0.190441391992869</v>
      </c>
    </row>
    <row r="634" spans="1:21" x14ac:dyDescent="0.45">
      <c r="A634" s="95">
        <v>45194</v>
      </c>
      <c r="B634" s="96">
        <v>5299</v>
      </c>
      <c r="C634" s="7">
        <v>1900</v>
      </c>
      <c r="D634" s="7">
        <f t="shared" si="63"/>
        <v>3399</v>
      </c>
      <c r="E634" s="97">
        <v>2350</v>
      </c>
      <c r="F634" s="7">
        <v>500</v>
      </c>
      <c r="G634" s="7">
        <f t="shared" si="64"/>
        <v>1850</v>
      </c>
      <c r="H634" s="98">
        <v>0</v>
      </c>
      <c r="I634" s="7">
        <v>0</v>
      </c>
      <c r="J634" s="7"/>
      <c r="K634" s="99">
        <f t="shared" si="69"/>
        <v>7649</v>
      </c>
      <c r="L634" s="7">
        <v>400</v>
      </c>
      <c r="M634" s="7">
        <v>4930</v>
      </c>
      <c r="N634" s="7">
        <v>0</v>
      </c>
      <c r="O634" s="7">
        <v>0</v>
      </c>
      <c r="P634" s="7">
        <v>6783.7792497586524</v>
      </c>
      <c r="Q634" s="7">
        <v>4379.9624200313465</v>
      </c>
      <c r="R634" s="113">
        <f t="shared" si="65"/>
        <v>0.35855821853179848</v>
      </c>
      <c r="S634" s="113">
        <f t="shared" si="66"/>
        <v>0.21276595744680851</v>
      </c>
      <c r="T634" s="113">
        <f t="shared" si="67"/>
        <v>0</v>
      </c>
      <c r="U634" s="113">
        <f t="shared" si="68"/>
        <v>0.190441391992869</v>
      </c>
    </row>
    <row r="635" spans="1:21" x14ac:dyDescent="0.45">
      <c r="A635" s="95">
        <v>45195</v>
      </c>
      <c r="B635" s="96">
        <v>5299</v>
      </c>
      <c r="C635" s="7">
        <v>1900</v>
      </c>
      <c r="D635" s="7">
        <f t="shared" si="63"/>
        <v>3399</v>
      </c>
      <c r="E635" s="97">
        <v>2350</v>
      </c>
      <c r="F635" s="7">
        <v>500</v>
      </c>
      <c r="G635" s="7">
        <f t="shared" si="64"/>
        <v>1850</v>
      </c>
      <c r="H635" s="98">
        <v>0</v>
      </c>
      <c r="I635" s="7">
        <v>0</v>
      </c>
      <c r="J635" s="7"/>
      <c r="K635" s="99">
        <f t="shared" si="69"/>
        <v>7649</v>
      </c>
      <c r="L635" s="7">
        <v>400</v>
      </c>
      <c r="M635" s="7">
        <v>4930</v>
      </c>
      <c r="N635" s="7">
        <v>0</v>
      </c>
      <c r="O635" s="7">
        <v>0</v>
      </c>
      <c r="P635" s="7">
        <v>6783.7792497586524</v>
      </c>
      <c r="Q635" s="7">
        <v>4589.8030310913473</v>
      </c>
      <c r="R635" s="113">
        <f t="shared" si="65"/>
        <v>0.35855821853179848</v>
      </c>
      <c r="S635" s="113">
        <f t="shared" si="66"/>
        <v>0.21276595744680851</v>
      </c>
      <c r="T635" s="113">
        <f t="shared" si="67"/>
        <v>0</v>
      </c>
      <c r="U635" s="113">
        <f t="shared" si="68"/>
        <v>0.190441391992869</v>
      </c>
    </row>
    <row r="636" spans="1:21" x14ac:dyDescent="0.45">
      <c r="A636" s="95">
        <v>45196</v>
      </c>
      <c r="B636" s="96">
        <v>5514</v>
      </c>
      <c r="C636" s="7">
        <v>1900</v>
      </c>
      <c r="D636" s="7">
        <f t="shared" si="63"/>
        <v>3614</v>
      </c>
      <c r="E636" s="97">
        <v>2350</v>
      </c>
      <c r="F636" s="7">
        <v>500</v>
      </c>
      <c r="G636" s="7">
        <f t="shared" si="64"/>
        <v>1850</v>
      </c>
      <c r="H636" s="98">
        <v>0</v>
      </c>
      <c r="I636" s="7">
        <v>0</v>
      </c>
      <c r="J636" s="7"/>
      <c r="K636" s="99">
        <f t="shared" si="69"/>
        <v>7864</v>
      </c>
      <c r="L636" s="7">
        <v>400</v>
      </c>
      <c r="M636" s="7">
        <v>4930</v>
      </c>
      <c r="N636" s="7">
        <v>0</v>
      </c>
      <c r="O636" s="7">
        <v>0</v>
      </c>
      <c r="P636" s="7">
        <v>6783.7792497586524</v>
      </c>
      <c r="Q636" s="7">
        <v>4028.4954760913479</v>
      </c>
      <c r="R636" s="113">
        <f t="shared" si="65"/>
        <v>0.34457743924555678</v>
      </c>
      <c r="S636" s="113">
        <f t="shared" si="66"/>
        <v>0.21276595744680851</v>
      </c>
      <c r="T636" s="113">
        <f t="shared" si="67"/>
        <v>0</v>
      </c>
      <c r="U636" s="113">
        <f t="shared" si="68"/>
        <v>0.18578113223078843</v>
      </c>
    </row>
    <row r="637" spans="1:21" x14ac:dyDescent="0.45">
      <c r="A637" s="95">
        <v>45197</v>
      </c>
      <c r="B637" s="96">
        <v>5514</v>
      </c>
      <c r="C637" s="7">
        <v>2200</v>
      </c>
      <c r="D637" s="7">
        <f t="shared" si="63"/>
        <v>3314</v>
      </c>
      <c r="E637" s="97">
        <v>2350</v>
      </c>
      <c r="F637" s="7">
        <v>500</v>
      </c>
      <c r="G637" s="7">
        <f t="shared" si="64"/>
        <v>1850</v>
      </c>
      <c r="H637" s="98">
        <v>0</v>
      </c>
      <c r="I637" s="7">
        <v>0</v>
      </c>
      <c r="J637" s="7"/>
      <c r="K637" s="99">
        <f t="shared" si="69"/>
        <v>7864</v>
      </c>
      <c r="L637" s="7">
        <v>750</v>
      </c>
      <c r="M637" s="7">
        <v>5640</v>
      </c>
      <c r="N637" s="7">
        <v>0</v>
      </c>
      <c r="O637" s="7">
        <v>0</v>
      </c>
      <c r="P637" s="7">
        <v>6783.7792497586524</v>
      </c>
      <c r="Q637" s="7">
        <v>4028.4954760913479</v>
      </c>
      <c r="R637" s="113">
        <f t="shared" si="65"/>
        <v>0.39898440333696045</v>
      </c>
      <c r="S637" s="113">
        <f t="shared" si="66"/>
        <v>0.21276595744680851</v>
      </c>
      <c r="T637" s="113">
        <f t="shared" si="67"/>
        <v>0</v>
      </c>
      <c r="U637" s="113">
        <f t="shared" si="68"/>
        <v>0.203916786927923</v>
      </c>
    </row>
    <row r="638" spans="1:21" x14ac:dyDescent="0.45">
      <c r="A638" s="95">
        <v>45198</v>
      </c>
      <c r="B638" s="96">
        <v>5514</v>
      </c>
      <c r="C638" s="7">
        <v>2200</v>
      </c>
      <c r="D638" s="7">
        <f t="shared" si="63"/>
        <v>3314</v>
      </c>
      <c r="E638" s="97">
        <v>2350</v>
      </c>
      <c r="F638" s="7">
        <v>500</v>
      </c>
      <c r="G638" s="7">
        <f t="shared" si="64"/>
        <v>1850</v>
      </c>
      <c r="H638" s="98">
        <v>0</v>
      </c>
      <c r="I638" s="7">
        <v>0</v>
      </c>
      <c r="J638" s="7"/>
      <c r="K638" s="99">
        <f t="shared" si="69"/>
        <v>7864</v>
      </c>
      <c r="L638" s="7">
        <v>750</v>
      </c>
      <c r="M638" s="7">
        <v>5640</v>
      </c>
      <c r="N638" s="7">
        <v>0</v>
      </c>
      <c r="O638" s="7">
        <v>0</v>
      </c>
      <c r="P638" s="7">
        <v>6783.7792497586524</v>
      </c>
      <c r="Q638" s="7">
        <v>2892.7299726513465</v>
      </c>
      <c r="R638" s="113">
        <f t="shared" si="65"/>
        <v>0.39898440333696045</v>
      </c>
      <c r="S638" s="113">
        <f t="shared" si="66"/>
        <v>0.21276595744680851</v>
      </c>
      <c r="T638" s="113">
        <f t="shared" si="67"/>
        <v>0</v>
      </c>
      <c r="U638" s="113">
        <f t="shared" si="68"/>
        <v>0.203916786927923</v>
      </c>
    </row>
    <row r="639" spans="1:21" x14ac:dyDescent="0.45">
      <c r="A639" s="95">
        <v>45199</v>
      </c>
      <c r="B639" s="96">
        <v>5514</v>
      </c>
      <c r="C639" s="7">
        <v>2200</v>
      </c>
      <c r="D639" s="7">
        <f t="shared" si="63"/>
        <v>3314</v>
      </c>
      <c r="E639" s="97">
        <v>2350</v>
      </c>
      <c r="F639" s="7">
        <v>500</v>
      </c>
      <c r="G639" s="7">
        <f t="shared" si="64"/>
        <v>1850</v>
      </c>
      <c r="H639" s="98">
        <v>0</v>
      </c>
      <c r="I639" s="7">
        <v>0</v>
      </c>
      <c r="J639" s="7"/>
      <c r="K639" s="99">
        <f t="shared" si="69"/>
        <v>7864</v>
      </c>
      <c r="L639" s="7">
        <v>750</v>
      </c>
      <c r="M639" s="7">
        <v>5640</v>
      </c>
      <c r="N639" s="7">
        <v>0</v>
      </c>
      <c r="O639" s="7">
        <v>0</v>
      </c>
      <c r="P639" s="7">
        <v>6783.7792497586524</v>
      </c>
      <c r="Q639" s="7">
        <v>2892.7299726513465</v>
      </c>
      <c r="R639" s="113">
        <f t="shared" si="65"/>
        <v>0.39898440333696045</v>
      </c>
      <c r="S639" s="113">
        <f t="shared" si="66"/>
        <v>0.21276595744680851</v>
      </c>
      <c r="T639" s="113">
        <f t="shared" si="67"/>
        <v>0</v>
      </c>
      <c r="U639" s="113">
        <f t="shared" si="68"/>
        <v>0.203916786927923</v>
      </c>
    </row>
    <row r="640" spans="1:21" x14ac:dyDescent="0.45">
      <c r="A640" s="95">
        <v>45200</v>
      </c>
      <c r="B640" s="96">
        <v>5514</v>
      </c>
      <c r="C640" s="7">
        <v>2200</v>
      </c>
      <c r="D640" s="7">
        <f t="shared" si="63"/>
        <v>3314</v>
      </c>
      <c r="E640" s="97">
        <v>2350</v>
      </c>
      <c r="F640" s="7">
        <v>500</v>
      </c>
      <c r="G640" s="7">
        <f t="shared" si="64"/>
        <v>1850</v>
      </c>
      <c r="H640" s="98">
        <v>0</v>
      </c>
      <c r="I640" s="7">
        <v>0</v>
      </c>
      <c r="J640" s="7"/>
      <c r="K640" s="99">
        <f t="shared" si="69"/>
        <v>7864</v>
      </c>
      <c r="L640" s="7">
        <v>750</v>
      </c>
      <c r="M640" s="7">
        <v>5640</v>
      </c>
      <c r="N640" s="7">
        <v>0</v>
      </c>
      <c r="O640" s="7">
        <v>0</v>
      </c>
      <c r="P640" s="7">
        <v>6783.7792497586524</v>
      </c>
      <c r="Q640" s="7">
        <v>2892.7299726513465</v>
      </c>
      <c r="R640" s="113">
        <f t="shared" si="65"/>
        <v>0.39898440333696045</v>
      </c>
      <c r="S640" s="113">
        <f t="shared" si="66"/>
        <v>0.21276595744680851</v>
      </c>
      <c r="T640" s="113">
        <f t="shared" si="67"/>
        <v>0</v>
      </c>
      <c r="U640" s="113">
        <f t="shared" si="68"/>
        <v>0.203916786927923</v>
      </c>
    </row>
    <row r="641" spans="1:21" x14ac:dyDescent="0.45">
      <c r="A641" s="95">
        <v>45201</v>
      </c>
      <c r="B641" s="96">
        <v>5514</v>
      </c>
      <c r="C641" s="7">
        <v>2200</v>
      </c>
      <c r="D641" s="7">
        <f t="shared" si="63"/>
        <v>3314</v>
      </c>
      <c r="E641" s="97">
        <v>2350</v>
      </c>
      <c r="F641" s="7">
        <v>500</v>
      </c>
      <c r="G641" s="7">
        <f t="shared" si="64"/>
        <v>1850</v>
      </c>
      <c r="H641" s="98">
        <v>0</v>
      </c>
      <c r="I641" s="7">
        <v>0</v>
      </c>
      <c r="J641" s="7"/>
      <c r="K641" s="99">
        <f t="shared" si="69"/>
        <v>7864</v>
      </c>
      <c r="L641" s="7">
        <v>750</v>
      </c>
      <c r="M641" s="7">
        <v>5640</v>
      </c>
      <c r="N641" s="7">
        <v>0</v>
      </c>
      <c r="O641" s="7">
        <v>0</v>
      </c>
      <c r="P641" s="7">
        <v>6931.7498454163278</v>
      </c>
      <c r="Q641" s="7">
        <v>2418.5270476836731</v>
      </c>
      <c r="R641" s="113">
        <f t="shared" si="65"/>
        <v>0.39898440333696045</v>
      </c>
      <c r="S641" s="113">
        <f t="shared" si="66"/>
        <v>0.21276595744680851</v>
      </c>
      <c r="T641" s="113">
        <f t="shared" si="67"/>
        <v>0</v>
      </c>
      <c r="U641" s="113">
        <f t="shared" si="68"/>
        <v>0.203916786927923</v>
      </c>
    </row>
    <row r="642" spans="1:21" x14ac:dyDescent="0.45">
      <c r="A642" s="95">
        <v>45202</v>
      </c>
      <c r="B642" s="96">
        <v>5514</v>
      </c>
      <c r="C642" s="7">
        <v>2200</v>
      </c>
      <c r="D642" s="7">
        <f t="shared" ref="D642:D705" si="70">B642-C642</f>
        <v>3314</v>
      </c>
      <c r="E642" s="97">
        <v>2350</v>
      </c>
      <c r="F642" s="7">
        <v>500</v>
      </c>
      <c r="G642" s="7">
        <f t="shared" ref="G642:G705" si="71">E642-F642</f>
        <v>1850</v>
      </c>
      <c r="H642" s="98">
        <v>0</v>
      </c>
      <c r="I642" s="7">
        <v>0</v>
      </c>
      <c r="J642" s="7"/>
      <c r="K642" s="99">
        <f t="shared" si="69"/>
        <v>7864</v>
      </c>
      <c r="L642" s="7">
        <v>750</v>
      </c>
      <c r="M642" s="7">
        <v>5640</v>
      </c>
      <c r="N642" s="7">
        <v>0</v>
      </c>
      <c r="O642" s="7">
        <v>0</v>
      </c>
      <c r="P642" s="7">
        <v>6931.7498454163278</v>
      </c>
      <c r="Q642" s="7">
        <v>2876.4294207936732</v>
      </c>
      <c r="R642" s="113">
        <f t="shared" si="65"/>
        <v>0.39898440333696045</v>
      </c>
      <c r="S642" s="113">
        <f t="shared" si="66"/>
        <v>0.21276595744680851</v>
      </c>
      <c r="T642" s="113">
        <f t="shared" si="67"/>
        <v>0</v>
      </c>
      <c r="U642" s="113">
        <f t="shared" si="68"/>
        <v>0.203916786927923</v>
      </c>
    </row>
    <row r="643" spans="1:21" x14ac:dyDescent="0.45">
      <c r="A643" s="95">
        <v>45203</v>
      </c>
      <c r="B643" s="96">
        <v>5514</v>
      </c>
      <c r="C643" s="7">
        <v>2200</v>
      </c>
      <c r="D643" s="7">
        <f t="shared" si="70"/>
        <v>3314</v>
      </c>
      <c r="E643" s="97">
        <v>2350</v>
      </c>
      <c r="F643" s="7">
        <v>500</v>
      </c>
      <c r="G643" s="7">
        <f t="shared" si="71"/>
        <v>1850</v>
      </c>
      <c r="H643" s="98">
        <v>0</v>
      </c>
      <c r="I643" s="7">
        <v>0</v>
      </c>
      <c r="J643" s="7"/>
      <c r="K643" s="99">
        <f t="shared" si="69"/>
        <v>7864</v>
      </c>
      <c r="L643" s="7">
        <v>750</v>
      </c>
      <c r="M643" s="7">
        <v>5640</v>
      </c>
      <c r="N643" s="7">
        <v>0</v>
      </c>
      <c r="O643" s="7">
        <v>0</v>
      </c>
      <c r="P643" s="7">
        <v>6931.7498454163278</v>
      </c>
      <c r="Q643" s="7">
        <v>2821.8567001036727</v>
      </c>
      <c r="R643" s="113">
        <f t="shared" ref="R643:R706" si="72">C643/B643</f>
        <v>0.39898440333696045</v>
      </c>
      <c r="S643" s="113">
        <f t="shared" ref="S643:S706" si="73">F643/E643</f>
        <v>0.21276595744680851</v>
      </c>
      <c r="T643" s="113">
        <f t="shared" ref="T643:T706" si="74">IF(H643=0,0,I643/H643)</f>
        <v>0</v>
      </c>
      <c r="U643" s="113">
        <f t="shared" ref="U643:U706" si="75">AVERAGE(R643:T643)</f>
        <v>0.203916786927923</v>
      </c>
    </row>
    <row r="644" spans="1:21" x14ac:dyDescent="0.45">
      <c r="A644" s="95">
        <v>45204</v>
      </c>
      <c r="B644" s="96">
        <v>5514</v>
      </c>
      <c r="C644" s="7">
        <v>2200</v>
      </c>
      <c r="D644" s="7">
        <f t="shared" si="70"/>
        <v>3314</v>
      </c>
      <c r="E644" s="97">
        <v>2350</v>
      </c>
      <c r="F644" s="7">
        <v>500</v>
      </c>
      <c r="G644" s="7">
        <f t="shared" si="71"/>
        <v>1850</v>
      </c>
      <c r="H644" s="98">
        <v>0</v>
      </c>
      <c r="I644" s="7">
        <v>0</v>
      </c>
      <c r="J644" s="7"/>
      <c r="K644" s="99">
        <f t="shared" ref="K644:K707" si="76">B644+E644+H644</f>
        <v>7864</v>
      </c>
      <c r="L644" s="7">
        <v>850</v>
      </c>
      <c r="M644" s="7">
        <v>5040</v>
      </c>
      <c r="N644" s="7">
        <v>0</v>
      </c>
      <c r="O644" s="7">
        <v>0</v>
      </c>
      <c r="P644" s="7">
        <v>6931.7498454163278</v>
      </c>
      <c r="Q644" s="7">
        <v>3030.3372659336746</v>
      </c>
      <c r="R644" s="113">
        <f t="shared" si="72"/>
        <v>0.39898440333696045</v>
      </c>
      <c r="S644" s="113">
        <f t="shared" si="73"/>
        <v>0.21276595744680851</v>
      </c>
      <c r="T644" s="113">
        <f t="shared" si="74"/>
        <v>0</v>
      </c>
      <c r="U644" s="113">
        <f t="shared" si="75"/>
        <v>0.203916786927923</v>
      </c>
    </row>
    <row r="645" spans="1:21" x14ac:dyDescent="0.45">
      <c r="A645" s="95">
        <v>45205</v>
      </c>
      <c r="B645" s="96">
        <v>5514</v>
      </c>
      <c r="C645" s="7">
        <v>2200</v>
      </c>
      <c r="D645" s="7">
        <f t="shared" si="70"/>
        <v>3314</v>
      </c>
      <c r="E645" s="97">
        <v>2350</v>
      </c>
      <c r="F645" s="7">
        <v>500</v>
      </c>
      <c r="G645" s="7">
        <f t="shared" si="71"/>
        <v>1850</v>
      </c>
      <c r="H645" s="98">
        <v>0</v>
      </c>
      <c r="I645" s="7">
        <v>0</v>
      </c>
      <c r="J645" s="7"/>
      <c r="K645" s="99">
        <f t="shared" si="76"/>
        <v>7864</v>
      </c>
      <c r="L645" s="7">
        <v>850</v>
      </c>
      <c r="M645" s="7">
        <v>5040</v>
      </c>
      <c r="N645" s="7">
        <v>0</v>
      </c>
      <c r="O645" s="7">
        <v>0</v>
      </c>
      <c r="P645" s="7">
        <v>6931.7498454163278</v>
      </c>
      <c r="Q645" s="7">
        <v>3235.1066820236724</v>
      </c>
      <c r="R645" s="113">
        <f t="shared" si="72"/>
        <v>0.39898440333696045</v>
      </c>
      <c r="S645" s="113">
        <f t="shared" si="73"/>
        <v>0.21276595744680851</v>
      </c>
      <c r="T645" s="113">
        <f t="shared" si="74"/>
        <v>0</v>
      </c>
      <c r="U645" s="113">
        <f t="shared" si="75"/>
        <v>0.203916786927923</v>
      </c>
    </row>
    <row r="646" spans="1:21" x14ac:dyDescent="0.45">
      <c r="A646" s="95">
        <v>45206</v>
      </c>
      <c r="B646" s="96">
        <v>5514</v>
      </c>
      <c r="C646" s="7">
        <v>2200</v>
      </c>
      <c r="D646" s="7">
        <f t="shared" si="70"/>
        <v>3314</v>
      </c>
      <c r="E646" s="97">
        <v>2350</v>
      </c>
      <c r="F646" s="7">
        <v>500</v>
      </c>
      <c r="G646" s="7">
        <f t="shared" si="71"/>
        <v>1850</v>
      </c>
      <c r="H646" s="98">
        <v>0</v>
      </c>
      <c r="I646" s="7">
        <v>0</v>
      </c>
      <c r="J646" s="7"/>
      <c r="K646" s="99">
        <f t="shared" si="76"/>
        <v>7864</v>
      </c>
      <c r="L646" s="7">
        <v>850</v>
      </c>
      <c r="M646" s="7">
        <v>5040</v>
      </c>
      <c r="N646" s="7">
        <v>0</v>
      </c>
      <c r="O646" s="7">
        <v>0</v>
      </c>
      <c r="P646" s="7">
        <v>6931.7498454163278</v>
      </c>
      <c r="Q646" s="7">
        <v>3235.1066820236724</v>
      </c>
      <c r="R646" s="113">
        <f t="shared" si="72"/>
        <v>0.39898440333696045</v>
      </c>
      <c r="S646" s="113">
        <f t="shared" si="73"/>
        <v>0.21276595744680851</v>
      </c>
      <c r="T646" s="113">
        <f t="shared" si="74"/>
        <v>0</v>
      </c>
      <c r="U646" s="113">
        <f t="shared" si="75"/>
        <v>0.203916786927923</v>
      </c>
    </row>
    <row r="647" spans="1:21" x14ac:dyDescent="0.45">
      <c r="A647" s="95">
        <v>45207</v>
      </c>
      <c r="B647" s="96">
        <v>5514</v>
      </c>
      <c r="C647" s="7">
        <v>2200</v>
      </c>
      <c r="D647" s="7">
        <f t="shared" si="70"/>
        <v>3314</v>
      </c>
      <c r="E647" s="97">
        <v>2350</v>
      </c>
      <c r="F647" s="7">
        <v>500</v>
      </c>
      <c r="G647" s="7">
        <f t="shared" si="71"/>
        <v>1850</v>
      </c>
      <c r="H647" s="98">
        <v>0</v>
      </c>
      <c r="I647" s="7">
        <v>0</v>
      </c>
      <c r="J647" s="7"/>
      <c r="K647" s="99">
        <f t="shared" si="76"/>
        <v>7864</v>
      </c>
      <c r="L647" s="7">
        <v>850</v>
      </c>
      <c r="M647" s="7">
        <v>5040</v>
      </c>
      <c r="N647" s="7">
        <v>0</v>
      </c>
      <c r="O647" s="7">
        <v>0</v>
      </c>
      <c r="P647" s="7">
        <v>6931.7498454163278</v>
      </c>
      <c r="Q647" s="7">
        <v>3235.1066820236724</v>
      </c>
      <c r="R647" s="113">
        <f t="shared" si="72"/>
        <v>0.39898440333696045</v>
      </c>
      <c r="S647" s="113">
        <f t="shared" si="73"/>
        <v>0.21276595744680851</v>
      </c>
      <c r="T647" s="113">
        <f t="shared" si="74"/>
        <v>0</v>
      </c>
      <c r="U647" s="113">
        <f t="shared" si="75"/>
        <v>0.203916786927923</v>
      </c>
    </row>
    <row r="648" spans="1:21" x14ac:dyDescent="0.45">
      <c r="A648" s="95">
        <v>45208</v>
      </c>
      <c r="B648" s="96">
        <v>5514</v>
      </c>
      <c r="C648" s="7">
        <v>2200</v>
      </c>
      <c r="D648" s="7">
        <f t="shared" si="70"/>
        <v>3314</v>
      </c>
      <c r="E648" s="97">
        <v>2350</v>
      </c>
      <c r="F648" s="7">
        <v>500</v>
      </c>
      <c r="G648" s="7">
        <f t="shared" si="71"/>
        <v>1850</v>
      </c>
      <c r="H648" s="98">
        <v>0</v>
      </c>
      <c r="I648" s="7">
        <v>0</v>
      </c>
      <c r="J648" s="7"/>
      <c r="K648" s="99">
        <f t="shared" si="76"/>
        <v>7864</v>
      </c>
      <c r="L648" s="7">
        <v>850</v>
      </c>
      <c r="M648" s="7">
        <v>5040</v>
      </c>
      <c r="N648" s="7">
        <v>0</v>
      </c>
      <c r="O648" s="7">
        <v>0</v>
      </c>
      <c r="P648" s="7">
        <v>6931.7498454163278</v>
      </c>
      <c r="Q648" s="7">
        <v>3863.6751431736734</v>
      </c>
      <c r="R648" s="113">
        <f t="shared" si="72"/>
        <v>0.39898440333696045</v>
      </c>
      <c r="S648" s="113">
        <f t="shared" si="73"/>
        <v>0.21276595744680851</v>
      </c>
      <c r="T648" s="113">
        <f t="shared" si="74"/>
        <v>0</v>
      </c>
      <c r="U648" s="113">
        <f t="shared" si="75"/>
        <v>0.203916786927923</v>
      </c>
    </row>
    <row r="649" spans="1:21" x14ac:dyDescent="0.45">
      <c r="A649" s="95">
        <v>45209</v>
      </c>
      <c r="B649" s="96">
        <v>5514</v>
      </c>
      <c r="C649" s="7">
        <v>2200</v>
      </c>
      <c r="D649" s="7">
        <f t="shared" si="70"/>
        <v>3314</v>
      </c>
      <c r="E649" s="97">
        <v>2350</v>
      </c>
      <c r="F649" s="7">
        <v>500</v>
      </c>
      <c r="G649" s="7">
        <f t="shared" si="71"/>
        <v>1850</v>
      </c>
      <c r="H649" s="98">
        <v>0</v>
      </c>
      <c r="I649" s="7">
        <v>0</v>
      </c>
      <c r="J649" s="7"/>
      <c r="K649" s="99">
        <f t="shared" si="76"/>
        <v>7864</v>
      </c>
      <c r="L649" s="7">
        <v>850</v>
      </c>
      <c r="M649" s="7">
        <v>5040</v>
      </c>
      <c r="N649" s="7">
        <v>0</v>
      </c>
      <c r="O649" s="7">
        <v>0</v>
      </c>
      <c r="P649" s="7">
        <v>6931.7498454163278</v>
      </c>
      <c r="Q649" s="7">
        <v>3860.2577137936732</v>
      </c>
      <c r="R649" s="113">
        <f t="shared" si="72"/>
        <v>0.39898440333696045</v>
      </c>
      <c r="S649" s="113">
        <f t="shared" si="73"/>
        <v>0.21276595744680851</v>
      </c>
      <c r="T649" s="113">
        <f t="shared" si="74"/>
        <v>0</v>
      </c>
      <c r="U649" s="113">
        <f t="shared" si="75"/>
        <v>0.203916786927923</v>
      </c>
    </row>
    <row r="650" spans="1:21" x14ac:dyDescent="0.45">
      <c r="A650" s="95">
        <v>45210</v>
      </c>
      <c r="B650" s="96">
        <v>5714</v>
      </c>
      <c r="C650" s="7">
        <v>2200</v>
      </c>
      <c r="D650" s="7">
        <f t="shared" si="70"/>
        <v>3514</v>
      </c>
      <c r="E650" s="97">
        <v>2350</v>
      </c>
      <c r="F650" s="7">
        <v>500</v>
      </c>
      <c r="G650" s="7">
        <f t="shared" si="71"/>
        <v>1850</v>
      </c>
      <c r="H650" s="98">
        <v>0</v>
      </c>
      <c r="I650" s="7">
        <v>0</v>
      </c>
      <c r="J650" s="7"/>
      <c r="K650" s="99">
        <f t="shared" si="76"/>
        <v>8064</v>
      </c>
      <c r="L650" s="7">
        <v>850</v>
      </c>
      <c r="M650" s="7">
        <v>5040</v>
      </c>
      <c r="N650" s="7">
        <v>0</v>
      </c>
      <c r="O650" s="7">
        <v>0</v>
      </c>
      <c r="P650" s="7">
        <v>6931.7498454163278</v>
      </c>
      <c r="Q650" s="7">
        <v>4312.9255093936727</v>
      </c>
      <c r="R650" s="113">
        <f t="shared" si="72"/>
        <v>0.38501925096254813</v>
      </c>
      <c r="S650" s="113">
        <f t="shared" si="73"/>
        <v>0.21276595744680851</v>
      </c>
      <c r="T650" s="113">
        <f t="shared" si="74"/>
        <v>0</v>
      </c>
      <c r="U650" s="113">
        <f t="shared" si="75"/>
        <v>0.19926173613645223</v>
      </c>
    </row>
    <row r="651" spans="1:21" x14ac:dyDescent="0.45">
      <c r="A651" s="95">
        <v>45211</v>
      </c>
      <c r="B651" s="96">
        <v>5714</v>
      </c>
      <c r="C651" s="7">
        <v>2400</v>
      </c>
      <c r="D651" s="7">
        <f t="shared" si="70"/>
        <v>3314</v>
      </c>
      <c r="E651" s="97">
        <v>2350</v>
      </c>
      <c r="F651" s="7">
        <v>500</v>
      </c>
      <c r="G651" s="7">
        <f t="shared" si="71"/>
        <v>1850</v>
      </c>
      <c r="H651" s="98">
        <v>0</v>
      </c>
      <c r="I651" s="7">
        <v>0</v>
      </c>
      <c r="J651" s="7"/>
      <c r="K651" s="99">
        <f t="shared" si="76"/>
        <v>8064</v>
      </c>
      <c r="L651" s="7">
        <v>650</v>
      </c>
      <c r="M651" s="7">
        <v>5240</v>
      </c>
      <c r="N651" s="7">
        <v>0</v>
      </c>
      <c r="O651" s="7">
        <v>0</v>
      </c>
      <c r="P651" s="7">
        <v>6931.7498454163278</v>
      </c>
      <c r="Q651" s="7">
        <v>3644.4343869336735</v>
      </c>
      <c r="R651" s="113">
        <f t="shared" si="72"/>
        <v>0.42002100105005252</v>
      </c>
      <c r="S651" s="113">
        <f t="shared" si="73"/>
        <v>0.21276595744680851</v>
      </c>
      <c r="T651" s="113">
        <f t="shared" si="74"/>
        <v>0</v>
      </c>
      <c r="U651" s="113">
        <f t="shared" si="75"/>
        <v>0.21092898616562036</v>
      </c>
    </row>
    <row r="652" spans="1:21" x14ac:dyDescent="0.45">
      <c r="A652" s="95">
        <v>45212</v>
      </c>
      <c r="B652" s="96">
        <v>5714</v>
      </c>
      <c r="C652" s="7">
        <v>2400</v>
      </c>
      <c r="D652" s="7">
        <f t="shared" si="70"/>
        <v>3314</v>
      </c>
      <c r="E652" s="97">
        <v>2350</v>
      </c>
      <c r="F652" s="7">
        <v>500</v>
      </c>
      <c r="G652" s="7">
        <f t="shared" si="71"/>
        <v>1850</v>
      </c>
      <c r="H652" s="98">
        <v>0</v>
      </c>
      <c r="I652" s="7">
        <v>0</v>
      </c>
      <c r="J652" s="7"/>
      <c r="K652" s="99">
        <f t="shared" si="76"/>
        <v>8064</v>
      </c>
      <c r="L652" s="7">
        <v>650</v>
      </c>
      <c r="M652" s="7">
        <v>5240</v>
      </c>
      <c r="N652" s="7">
        <v>0</v>
      </c>
      <c r="O652" s="7">
        <v>0</v>
      </c>
      <c r="P652" s="7">
        <v>6931.7498454163278</v>
      </c>
      <c r="Q652" s="7">
        <v>3932.6018989136737</v>
      </c>
      <c r="R652" s="113">
        <f t="shared" si="72"/>
        <v>0.42002100105005252</v>
      </c>
      <c r="S652" s="113">
        <f t="shared" si="73"/>
        <v>0.21276595744680851</v>
      </c>
      <c r="T652" s="113">
        <f t="shared" si="74"/>
        <v>0</v>
      </c>
      <c r="U652" s="113">
        <f t="shared" si="75"/>
        <v>0.21092898616562036</v>
      </c>
    </row>
    <row r="653" spans="1:21" x14ac:dyDescent="0.45">
      <c r="A653" s="95">
        <v>45213</v>
      </c>
      <c r="B653" s="96">
        <v>5714</v>
      </c>
      <c r="C653" s="7">
        <v>2400</v>
      </c>
      <c r="D653" s="7">
        <f t="shared" si="70"/>
        <v>3314</v>
      </c>
      <c r="E653" s="97">
        <v>2350</v>
      </c>
      <c r="F653" s="7">
        <v>500</v>
      </c>
      <c r="G653" s="7">
        <f t="shared" si="71"/>
        <v>1850</v>
      </c>
      <c r="H653" s="98">
        <v>0</v>
      </c>
      <c r="I653" s="7">
        <v>0</v>
      </c>
      <c r="J653" s="7"/>
      <c r="K653" s="99">
        <f t="shared" si="76"/>
        <v>8064</v>
      </c>
      <c r="L653" s="7">
        <v>650</v>
      </c>
      <c r="M653" s="7">
        <v>5240</v>
      </c>
      <c r="N653" s="7">
        <v>0</v>
      </c>
      <c r="O653" s="7">
        <v>0</v>
      </c>
      <c r="P653" s="7">
        <v>6931.7498454163278</v>
      </c>
      <c r="Q653" s="7">
        <v>3932.6018989136737</v>
      </c>
      <c r="R653" s="113">
        <f t="shared" si="72"/>
        <v>0.42002100105005252</v>
      </c>
      <c r="S653" s="113">
        <f t="shared" si="73"/>
        <v>0.21276595744680851</v>
      </c>
      <c r="T653" s="113">
        <f t="shared" si="74"/>
        <v>0</v>
      </c>
      <c r="U653" s="113">
        <f t="shared" si="75"/>
        <v>0.21092898616562036</v>
      </c>
    </row>
    <row r="654" spans="1:21" x14ac:dyDescent="0.45">
      <c r="A654" s="95">
        <v>45214</v>
      </c>
      <c r="B654" s="96">
        <v>5714</v>
      </c>
      <c r="C654" s="7">
        <v>2400</v>
      </c>
      <c r="D654" s="7">
        <f t="shared" si="70"/>
        <v>3314</v>
      </c>
      <c r="E654" s="97">
        <v>2350</v>
      </c>
      <c r="F654" s="7">
        <v>500</v>
      </c>
      <c r="G654" s="7">
        <f t="shared" si="71"/>
        <v>1850</v>
      </c>
      <c r="H654" s="98">
        <v>0</v>
      </c>
      <c r="I654" s="7">
        <v>0</v>
      </c>
      <c r="J654" s="7"/>
      <c r="K654" s="99">
        <f t="shared" si="76"/>
        <v>8064</v>
      </c>
      <c r="L654" s="7">
        <v>650</v>
      </c>
      <c r="M654" s="7">
        <v>5240</v>
      </c>
      <c r="N654" s="7">
        <v>0</v>
      </c>
      <c r="O654" s="7">
        <v>0</v>
      </c>
      <c r="P654" s="7">
        <v>6931.7498454163278</v>
      </c>
      <c r="Q654" s="7">
        <v>3932.6018989136737</v>
      </c>
      <c r="R654" s="113">
        <f t="shared" si="72"/>
        <v>0.42002100105005252</v>
      </c>
      <c r="S654" s="113">
        <f t="shared" si="73"/>
        <v>0.21276595744680851</v>
      </c>
      <c r="T654" s="113">
        <f t="shared" si="74"/>
        <v>0</v>
      </c>
      <c r="U654" s="113">
        <f t="shared" si="75"/>
        <v>0.21092898616562036</v>
      </c>
    </row>
    <row r="655" spans="1:21" x14ac:dyDescent="0.45">
      <c r="A655" s="95">
        <v>45215</v>
      </c>
      <c r="B655" s="96">
        <v>5714</v>
      </c>
      <c r="C655" s="7">
        <v>2400</v>
      </c>
      <c r="D655" s="7">
        <f t="shared" si="70"/>
        <v>3314</v>
      </c>
      <c r="E655" s="97">
        <v>2350</v>
      </c>
      <c r="F655" s="7">
        <v>500</v>
      </c>
      <c r="G655" s="7">
        <f t="shared" si="71"/>
        <v>1850</v>
      </c>
      <c r="H655" s="98">
        <v>0</v>
      </c>
      <c r="I655" s="7">
        <v>0</v>
      </c>
      <c r="J655" s="7"/>
      <c r="K655" s="99">
        <f t="shared" si="76"/>
        <v>8064</v>
      </c>
      <c r="L655" s="7">
        <v>650</v>
      </c>
      <c r="M655" s="7">
        <v>5240</v>
      </c>
      <c r="N655" s="7">
        <v>0</v>
      </c>
      <c r="O655" s="7">
        <v>0</v>
      </c>
      <c r="P655" s="7">
        <v>6931.7498454163278</v>
      </c>
      <c r="Q655" s="7">
        <v>4357.5303292836734</v>
      </c>
      <c r="R655" s="113">
        <f t="shared" si="72"/>
        <v>0.42002100105005252</v>
      </c>
      <c r="S655" s="113">
        <f t="shared" si="73"/>
        <v>0.21276595744680851</v>
      </c>
      <c r="T655" s="113">
        <f t="shared" si="74"/>
        <v>0</v>
      </c>
      <c r="U655" s="113">
        <f t="shared" si="75"/>
        <v>0.21092898616562036</v>
      </c>
    </row>
    <row r="656" spans="1:21" x14ac:dyDescent="0.45">
      <c r="A656" s="95">
        <v>45216</v>
      </c>
      <c r="B656" s="96">
        <v>5714</v>
      </c>
      <c r="C656" s="7">
        <v>2400</v>
      </c>
      <c r="D656" s="7">
        <f t="shared" si="70"/>
        <v>3314</v>
      </c>
      <c r="E656" s="97">
        <v>2350</v>
      </c>
      <c r="F656" s="7">
        <v>500</v>
      </c>
      <c r="G656" s="7">
        <f t="shared" si="71"/>
        <v>1850</v>
      </c>
      <c r="H656" s="98">
        <v>0</v>
      </c>
      <c r="I656" s="7">
        <v>0</v>
      </c>
      <c r="J656" s="7"/>
      <c r="K656" s="99">
        <f t="shared" si="76"/>
        <v>8064</v>
      </c>
      <c r="L656" s="7">
        <v>650</v>
      </c>
      <c r="M656" s="7">
        <v>5240</v>
      </c>
      <c r="N656" s="7">
        <v>0</v>
      </c>
      <c r="O656" s="7">
        <v>0</v>
      </c>
      <c r="P656" s="7">
        <v>6931.7498454163278</v>
      </c>
      <c r="Q656" s="7">
        <v>4445.5871882136726</v>
      </c>
      <c r="R656" s="113">
        <f t="shared" si="72"/>
        <v>0.42002100105005252</v>
      </c>
      <c r="S656" s="113">
        <f t="shared" si="73"/>
        <v>0.21276595744680851</v>
      </c>
      <c r="T656" s="113">
        <f t="shared" si="74"/>
        <v>0</v>
      </c>
      <c r="U656" s="113">
        <f t="shared" si="75"/>
        <v>0.21092898616562036</v>
      </c>
    </row>
    <row r="657" spans="1:21" x14ac:dyDescent="0.45">
      <c r="A657" s="95">
        <v>45217</v>
      </c>
      <c r="B657" s="96">
        <v>5684</v>
      </c>
      <c r="C657" s="7">
        <v>2400</v>
      </c>
      <c r="D657" s="7">
        <f t="shared" si="70"/>
        <v>3284</v>
      </c>
      <c r="E657" s="97">
        <v>2350</v>
      </c>
      <c r="F657" s="7">
        <v>500</v>
      </c>
      <c r="G657" s="7">
        <f t="shared" si="71"/>
        <v>1850</v>
      </c>
      <c r="H657" s="98">
        <v>0</v>
      </c>
      <c r="I657" s="7">
        <v>0</v>
      </c>
      <c r="J657" s="7"/>
      <c r="K657" s="99">
        <f t="shared" si="76"/>
        <v>8034</v>
      </c>
      <c r="L657" s="7">
        <v>650</v>
      </c>
      <c r="M657" s="7">
        <v>5240</v>
      </c>
      <c r="N657" s="7">
        <v>0</v>
      </c>
      <c r="O657" s="7">
        <v>0</v>
      </c>
      <c r="P657" s="7">
        <v>6931.7498454163278</v>
      </c>
      <c r="Q657" s="7">
        <v>4821.8978868236727</v>
      </c>
      <c r="R657" s="113">
        <f t="shared" si="72"/>
        <v>0.42223786066150598</v>
      </c>
      <c r="S657" s="113">
        <f t="shared" si="73"/>
        <v>0.21276595744680851</v>
      </c>
      <c r="T657" s="113">
        <f t="shared" si="74"/>
        <v>0</v>
      </c>
      <c r="U657" s="113">
        <f t="shared" si="75"/>
        <v>0.21166793936943817</v>
      </c>
    </row>
    <row r="658" spans="1:21" x14ac:dyDescent="0.45">
      <c r="A658" s="95">
        <v>45218</v>
      </c>
      <c r="B658" s="96">
        <v>5684</v>
      </c>
      <c r="C658" s="7">
        <v>2070</v>
      </c>
      <c r="D658" s="7">
        <f t="shared" si="70"/>
        <v>3614</v>
      </c>
      <c r="E658" s="97">
        <v>2350</v>
      </c>
      <c r="F658" s="7">
        <v>500</v>
      </c>
      <c r="G658" s="7">
        <f t="shared" si="71"/>
        <v>1850</v>
      </c>
      <c r="H658" s="98">
        <v>0</v>
      </c>
      <c r="I658" s="7">
        <v>0</v>
      </c>
      <c r="J658" s="7"/>
      <c r="K658" s="99">
        <f t="shared" si="76"/>
        <v>8034</v>
      </c>
      <c r="L658" s="7">
        <v>950</v>
      </c>
      <c r="M658" s="7">
        <v>5850</v>
      </c>
      <c r="N658" s="7">
        <v>0</v>
      </c>
      <c r="O658" s="7">
        <v>0</v>
      </c>
      <c r="P658" s="7">
        <v>6931.7498454163278</v>
      </c>
      <c r="Q658" s="7">
        <v>4066.4645079036736</v>
      </c>
      <c r="R658" s="113">
        <f t="shared" si="72"/>
        <v>0.36418015482054888</v>
      </c>
      <c r="S658" s="113">
        <f t="shared" si="73"/>
        <v>0.21276595744680851</v>
      </c>
      <c r="T658" s="113">
        <f t="shared" si="74"/>
        <v>0</v>
      </c>
      <c r="U658" s="113">
        <f t="shared" si="75"/>
        <v>0.19231537075578578</v>
      </c>
    </row>
    <row r="659" spans="1:21" x14ac:dyDescent="0.45">
      <c r="A659" s="95">
        <v>45219</v>
      </c>
      <c r="B659" s="96">
        <v>5684</v>
      </c>
      <c r="C659" s="7">
        <v>2070</v>
      </c>
      <c r="D659" s="7">
        <f t="shared" si="70"/>
        <v>3614</v>
      </c>
      <c r="E659" s="97">
        <v>2350</v>
      </c>
      <c r="F659" s="7">
        <v>500</v>
      </c>
      <c r="G659" s="7">
        <f t="shared" si="71"/>
        <v>1850</v>
      </c>
      <c r="H659" s="98">
        <v>0</v>
      </c>
      <c r="I659" s="7">
        <v>0</v>
      </c>
      <c r="J659" s="7"/>
      <c r="K659" s="99">
        <f t="shared" si="76"/>
        <v>8034</v>
      </c>
      <c r="L659" s="7">
        <v>950</v>
      </c>
      <c r="M659" s="7">
        <v>5850</v>
      </c>
      <c r="N659" s="7">
        <v>0</v>
      </c>
      <c r="O659" s="7">
        <v>0</v>
      </c>
      <c r="P659" s="7">
        <v>6931.7498454163278</v>
      </c>
      <c r="Q659" s="7">
        <v>4250.5913456636736</v>
      </c>
      <c r="R659" s="113">
        <f t="shared" si="72"/>
        <v>0.36418015482054888</v>
      </c>
      <c r="S659" s="113">
        <f t="shared" si="73"/>
        <v>0.21276595744680851</v>
      </c>
      <c r="T659" s="113">
        <f t="shared" si="74"/>
        <v>0</v>
      </c>
      <c r="U659" s="113">
        <f t="shared" si="75"/>
        <v>0.19231537075578578</v>
      </c>
    </row>
    <row r="660" spans="1:21" x14ac:dyDescent="0.45">
      <c r="A660" s="95">
        <v>45220</v>
      </c>
      <c r="B660" s="96">
        <v>5684</v>
      </c>
      <c r="C660" s="7">
        <v>2070</v>
      </c>
      <c r="D660" s="7">
        <f t="shared" si="70"/>
        <v>3614</v>
      </c>
      <c r="E660" s="97">
        <v>2350</v>
      </c>
      <c r="F660" s="7">
        <v>500</v>
      </c>
      <c r="G660" s="7">
        <f t="shared" si="71"/>
        <v>1850</v>
      </c>
      <c r="H660" s="98">
        <v>0</v>
      </c>
      <c r="I660" s="7">
        <v>0</v>
      </c>
      <c r="J660" s="7"/>
      <c r="K660" s="99">
        <f t="shared" si="76"/>
        <v>8034</v>
      </c>
      <c r="L660" s="7">
        <v>950</v>
      </c>
      <c r="M660" s="7">
        <v>5850</v>
      </c>
      <c r="N660" s="7">
        <v>0</v>
      </c>
      <c r="O660" s="7">
        <v>0</v>
      </c>
      <c r="P660" s="7">
        <v>6931.7498454163278</v>
      </c>
      <c r="Q660" s="7">
        <v>4250.5913456636736</v>
      </c>
      <c r="R660" s="113">
        <f t="shared" si="72"/>
        <v>0.36418015482054888</v>
      </c>
      <c r="S660" s="113">
        <f t="shared" si="73"/>
        <v>0.21276595744680851</v>
      </c>
      <c r="T660" s="113">
        <f t="shared" si="74"/>
        <v>0</v>
      </c>
      <c r="U660" s="113">
        <f t="shared" si="75"/>
        <v>0.19231537075578578</v>
      </c>
    </row>
    <row r="661" spans="1:21" x14ac:dyDescent="0.45">
      <c r="A661" s="95">
        <v>45221</v>
      </c>
      <c r="B661" s="96">
        <v>5684</v>
      </c>
      <c r="C661" s="7">
        <v>2070</v>
      </c>
      <c r="D661" s="7">
        <f t="shared" si="70"/>
        <v>3614</v>
      </c>
      <c r="E661" s="97">
        <v>2350</v>
      </c>
      <c r="F661" s="7">
        <v>500</v>
      </c>
      <c r="G661" s="7">
        <f t="shared" si="71"/>
        <v>1850</v>
      </c>
      <c r="H661" s="98">
        <v>0</v>
      </c>
      <c r="I661" s="7">
        <v>0</v>
      </c>
      <c r="J661" s="7"/>
      <c r="K661" s="99">
        <f t="shared" si="76"/>
        <v>8034</v>
      </c>
      <c r="L661" s="7">
        <v>950</v>
      </c>
      <c r="M661" s="7">
        <v>5850</v>
      </c>
      <c r="N661" s="7">
        <v>0</v>
      </c>
      <c r="O661" s="7">
        <v>0</v>
      </c>
      <c r="P661" s="7">
        <v>6931.7498454163278</v>
      </c>
      <c r="Q661" s="7">
        <v>4250.5913456636736</v>
      </c>
      <c r="R661" s="113">
        <f t="shared" si="72"/>
        <v>0.36418015482054888</v>
      </c>
      <c r="S661" s="113">
        <f t="shared" si="73"/>
        <v>0.21276595744680851</v>
      </c>
      <c r="T661" s="113">
        <f t="shared" si="74"/>
        <v>0</v>
      </c>
      <c r="U661" s="113">
        <f t="shared" si="75"/>
        <v>0.19231537075578578</v>
      </c>
    </row>
    <row r="662" spans="1:21" x14ac:dyDescent="0.45">
      <c r="A662" s="95">
        <v>45222</v>
      </c>
      <c r="B662" s="96">
        <v>5684</v>
      </c>
      <c r="C662" s="7">
        <v>2070</v>
      </c>
      <c r="D662" s="7">
        <f t="shared" si="70"/>
        <v>3614</v>
      </c>
      <c r="E662" s="97">
        <v>2350</v>
      </c>
      <c r="F662" s="7">
        <v>500</v>
      </c>
      <c r="G662" s="7">
        <f t="shared" si="71"/>
        <v>1850</v>
      </c>
      <c r="H662" s="98">
        <v>0</v>
      </c>
      <c r="I662" s="7">
        <v>0</v>
      </c>
      <c r="J662" s="7"/>
      <c r="K662" s="99">
        <f t="shared" si="76"/>
        <v>8034</v>
      </c>
      <c r="L662" s="7">
        <v>950</v>
      </c>
      <c r="M662" s="7">
        <v>5850</v>
      </c>
      <c r="N662" s="7">
        <v>0</v>
      </c>
      <c r="O662" s="7">
        <v>0</v>
      </c>
      <c r="P662" s="7">
        <v>6931.7498454163278</v>
      </c>
      <c r="Q662" s="7">
        <v>3725.9156728136732</v>
      </c>
      <c r="R662" s="113">
        <f t="shared" si="72"/>
        <v>0.36418015482054888</v>
      </c>
      <c r="S662" s="113">
        <f t="shared" si="73"/>
        <v>0.21276595744680851</v>
      </c>
      <c r="T662" s="113">
        <f t="shared" si="74"/>
        <v>0</v>
      </c>
      <c r="U662" s="113">
        <f t="shared" si="75"/>
        <v>0.19231537075578578</v>
      </c>
    </row>
    <row r="663" spans="1:21" x14ac:dyDescent="0.45">
      <c r="A663" s="95">
        <v>45223</v>
      </c>
      <c r="B663" s="96">
        <v>5684</v>
      </c>
      <c r="C663" s="7">
        <v>2070</v>
      </c>
      <c r="D663" s="7">
        <f t="shared" si="70"/>
        <v>3614</v>
      </c>
      <c r="E663" s="97">
        <v>1800</v>
      </c>
      <c r="F663" s="7">
        <v>500</v>
      </c>
      <c r="G663" s="7">
        <f t="shared" si="71"/>
        <v>1300</v>
      </c>
      <c r="H663" s="98">
        <v>0</v>
      </c>
      <c r="I663" s="7">
        <v>0</v>
      </c>
      <c r="J663" s="7"/>
      <c r="K663" s="99">
        <f t="shared" si="76"/>
        <v>7484</v>
      </c>
      <c r="L663" s="7">
        <v>950</v>
      </c>
      <c r="M663" s="7">
        <v>5850</v>
      </c>
      <c r="N663" s="7">
        <v>0</v>
      </c>
      <c r="O663" s="7">
        <v>0</v>
      </c>
      <c r="P663" s="7">
        <v>6931.7498454163278</v>
      </c>
      <c r="Q663" s="7">
        <v>3666.2246456536736</v>
      </c>
      <c r="R663" s="113">
        <f t="shared" si="72"/>
        <v>0.36418015482054888</v>
      </c>
      <c r="S663" s="113">
        <f t="shared" si="73"/>
        <v>0.27777777777777779</v>
      </c>
      <c r="T663" s="113">
        <f t="shared" si="74"/>
        <v>0</v>
      </c>
      <c r="U663" s="113">
        <f t="shared" si="75"/>
        <v>0.21398597753277557</v>
      </c>
    </row>
    <row r="664" spans="1:21" x14ac:dyDescent="0.45">
      <c r="A664" s="95">
        <v>45224</v>
      </c>
      <c r="B664" s="96">
        <v>5689</v>
      </c>
      <c r="C664" s="7">
        <v>2070</v>
      </c>
      <c r="D664" s="7">
        <f t="shared" si="70"/>
        <v>3619</v>
      </c>
      <c r="E664" s="97">
        <v>1800</v>
      </c>
      <c r="F664" s="7">
        <v>500</v>
      </c>
      <c r="G664" s="7">
        <f t="shared" si="71"/>
        <v>1300</v>
      </c>
      <c r="H664" s="98">
        <v>0</v>
      </c>
      <c r="I664" s="7">
        <v>0</v>
      </c>
      <c r="J664" s="7"/>
      <c r="K664" s="99">
        <f t="shared" si="76"/>
        <v>7489</v>
      </c>
      <c r="L664" s="7">
        <v>950</v>
      </c>
      <c r="M664" s="7">
        <v>5850</v>
      </c>
      <c r="N664" s="7">
        <v>0</v>
      </c>
      <c r="O664" s="7">
        <v>0</v>
      </c>
      <c r="P664" s="7">
        <v>6931.7498454163278</v>
      </c>
      <c r="Q664" s="7">
        <v>3366.9653470336743</v>
      </c>
      <c r="R664" s="113">
        <f t="shared" si="72"/>
        <v>0.36386008085779575</v>
      </c>
      <c r="S664" s="113">
        <f t="shared" si="73"/>
        <v>0.27777777777777779</v>
      </c>
      <c r="T664" s="113">
        <f t="shared" si="74"/>
        <v>0</v>
      </c>
      <c r="U664" s="113">
        <f t="shared" si="75"/>
        <v>0.21387928621185784</v>
      </c>
    </row>
    <row r="665" spans="1:21" x14ac:dyDescent="0.45">
      <c r="A665" s="95">
        <v>45225</v>
      </c>
      <c r="B665" s="96">
        <v>5689</v>
      </c>
      <c r="C665" s="7">
        <v>2075</v>
      </c>
      <c r="D665" s="7">
        <f t="shared" si="70"/>
        <v>3614</v>
      </c>
      <c r="E665" s="97">
        <v>1950</v>
      </c>
      <c r="F665" s="7">
        <v>650</v>
      </c>
      <c r="G665" s="7">
        <f t="shared" si="71"/>
        <v>1300</v>
      </c>
      <c r="H665" s="98">
        <v>0</v>
      </c>
      <c r="I665" s="7">
        <v>0</v>
      </c>
      <c r="J665" s="7"/>
      <c r="K665" s="99">
        <f t="shared" si="76"/>
        <v>7639</v>
      </c>
      <c r="L665" s="7">
        <v>750</v>
      </c>
      <c r="M665" s="7">
        <v>6210</v>
      </c>
      <c r="N665" s="7">
        <v>0</v>
      </c>
      <c r="O665" s="7">
        <v>0</v>
      </c>
      <c r="P665" s="7">
        <v>6931.7498454163278</v>
      </c>
      <c r="Q665" s="7">
        <v>3884.671748663673</v>
      </c>
      <c r="R665" s="113">
        <f t="shared" si="72"/>
        <v>0.36473896994199334</v>
      </c>
      <c r="S665" s="113">
        <f t="shared" si="73"/>
        <v>0.33333333333333331</v>
      </c>
      <c r="T665" s="113">
        <f t="shared" si="74"/>
        <v>0</v>
      </c>
      <c r="U665" s="113">
        <f t="shared" si="75"/>
        <v>0.23269076775844222</v>
      </c>
    </row>
    <row r="666" spans="1:21" x14ac:dyDescent="0.45">
      <c r="A666" s="95">
        <v>45226</v>
      </c>
      <c r="B666" s="96">
        <v>5689</v>
      </c>
      <c r="C666" s="7">
        <v>2075</v>
      </c>
      <c r="D666" s="7">
        <f t="shared" si="70"/>
        <v>3614</v>
      </c>
      <c r="E666" s="97">
        <v>1950</v>
      </c>
      <c r="F666" s="7">
        <v>650</v>
      </c>
      <c r="G666" s="7">
        <f t="shared" si="71"/>
        <v>1300</v>
      </c>
      <c r="H666" s="98">
        <v>0</v>
      </c>
      <c r="I666" s="7">
        <v>0</v>
      </c>
      <c r="J666" s="7"/>
      <c r="K666" s="99">
        <f t="shared" si="76"/>
        <v>7639</v>
      </c>
      <c r="L666" s="7">
        <v>750</v>
      </c>
      <c r="M666" s="7">
        <v>6210</v>
      </c>
      <c r="N666" s="7">
        <v>0</v>
      </c>
      <c r="O666" s="7">
        <v>0</v>
      </c>
      <c r="P666" s="7">
        <v>6931.7498454163278</v>
      </c>
      <c r="Q666" s="7">
        <v>3663.6797696936737</v>
      </c>
      <c r="R666" s="113">
        <f t="shared" si="72"/>
        <v>0.36473896994199334</v>
      </c>
      <c r="S666" s="113">
        <f t="shared" si="73"/>
        <v>0.33333333333333331</v>
      </c>
      <c r="T666" s="113">
        <f t="shared" si="74"/>
        <v>0</v>
      </c>
      <c r="U666" s="113">
        <f t="shared" si="75"/>
        <v>0.23269076775844222</v>
      </c>
    </row>
    <row r="667" spans="1:21" x14ac:dyDescent="0.45">
      <c r="A667" s="95">
        <v>45227</v>
      </c>
      <c r="B667" s="96">
        <v>5689</v>
      </c>
      <c r="C667" s="7">
        <v>2075</v>
      </c>
      <c r="D667" s="7">
        <f t="shared" si="70"/>
        <v>3614</v>
      </c>
      <c r="E667" s="97">
        <v>1950</v>
      </c>
      <c r="F667" s="7">
        <v>650</v>
      </c>
      <c r="G667" s="7">
        <f t="shared" si="71"/>
        <v>1300</v>
      </c>
      <c r="H667" s="98">
        <v>0</v>
      </c>
      <c r="I667" s="7">
        <v>0</v>
      </c>
      <c r="J667" s="7"/>
      <c r="K667" s="99">
        <f t="shared" si="76"/>
        <v>7639</v>
      </c>
      <c r="L667" s="7">
        <v>750</v>
      </c>
      <c r="M667" s="7">
        <v>6210</v>
      </c>
      <c r="N667" s="7">
        <v>0</v>
      </c>
      <c r="O667" s="7">
        <v>0</v>
      </c>
      <c r="P667" s="7">
        <v>6931.7498454163278</v>
      </c>
      <c r="Q667" s="7">
        <v>3663.6797696936737</v>
      </c>
      <c r="R667" s="113">
        <f t="shared" si="72"/>
        <v>0.36473896994199334</v>
      </c>
      <c r="S667" s="113">
        <f t="shared" si="73"/>
        <v>0.33333333333333331</v>
      </c>
      <c r="T667" s="113">
        <f t="shared" si="74"/>
        <v>0</v>
      </c>
      <c r="U667" s="113">
        <f t="shared" si="75"/>
        <v>0.23269076775844222</v>
      </c>
    </row>
    <row r="668" spans="1:21" x14ac:dyDescent="0.45">
      <c r="A668" s="95">
        <v>45228</v>
      </c>
      <c r="B668" s="96">
        <v>5689</v>
      </c>
      <c r="C668" s="7">
        <v>2075</v>
      </c>
      <c r="D668" s="7">
        <f t="shared" si="70"/>
        <v>3614</v>
      </c>
      <c r="E668" s="97">
        <v>1950</v>
      </c>
      <c r="F668" s="7">
        <v>650</v>
      </c>
      <c r="G668" s="7">
        <f t="shared" si="71"/>
        <v>1300</v>
      </c>
      <c r="H668" s="98">
        <v>0</v>
      </c>
      <c r="I668" s="7">
        <v>0</v>
      </c>
      <c r="J668" s="7"/>
      <c r="K668" s="99">
        <f t="shared" si="76"/>
        <v>7639</v>
      </c>
      <c r="L668" s="7">
        <v>750</v>
      </c>
      <c r="M668" s="7">
        <v>6210</v>
      </c>
      <c r="N668" s="7">
        <v>0</v>
      </c>
      <c r="O668" s="7">
        <v>0</v>
      </c>
      <c r="P668" s="7">
        <v>6931.7498454163278</v>
      </c>
      <c r="Q668" s="7">
        <v>3663.6797696936737</v>
      </c>
      <c r="R668" s="113">
        <f t="shared" si="72"/>
        <v>0.36473896994199334</v>
      </c>
      <c r="S668" s="113">
        <f t="shared" si="73"/>
        <v>0.33333333333333331</v>
      </c>
      <c r="T668" s="113">
        <f t="shared" si="74"/>
        <v>0</v>
      </c>
      <c r="U668" s="113">
        <f t="shared" si="75"/>
        <v>0.23269076775844222</v>
      </c>
    </row>
    <row r="669" spans="1:21" x14ac:dyDescent="0.45">
      <c r="A669" s="95">
        <v>45229</v>
      </c>
      <c r="B669" s="96">
        <v>5689</v>
      </c>
      <c r="C669" s="7">
        <v>2075</v>
      </c>
      <c r="D669" s="7">
        <f t="shared" si="70"/>
        <v>3614</v>
      </c>
      <c r="E669" s="97">
        <v>1950</v>
      </c>
      <c r="F669" s="7">
        <v>650</v>
      </c>
      <c r="G669" s="7">
        <f t="shared" si="71"/>
        <v>1300</v>
      </c>
      <c r="H669" s="98">
        <v>0</v>
      </c>
      <c r="I669" s="7">
        <v>0</v>
      </c>
      <c r="J669" s="7"/>
      <c r="K669" s="99">
        <f t="shared" si="76"/>
        <v>7639</v>
      </c>
      <c r="L669" s="7">
        <v>750</v>
      </c>
      <c r="M669" s="7">
        <v>6210</v>
      </c>
      <c r="N669" s="7">
        <v>0</v>
      </c>
      <c r="O669" s="7">
        <v>0</v>
      </c>
      <c r="P669" s="7">
        <v>7050.7700009360315</v>
      </c>
      <c r="Q669" s="7">
        <v>3584.8351759339675</v>
      </c>
      <c r="R669" s="113">
        <f t="shared" si="72"/>
        <v>0.36473896994199334</v>
      </c>
      <c r="S669" s="113">
        <f t="shared" si="73"/>
        <v>0.33333333333333331</v>
      </c>
      <c r="T669" s="113">
        <f t="shared" si="74"/>
        <v>0</v>
      </c>
      <c r="U669" s="113">
        <f t="shared" si="75"/>
        <v>0.23269076775844222</v>
      </c>
    </row>
    <row r="670" spans="1:21" x14ac:dyDescent="0.45">
      <c r="A670" s="95">
        <v>45230</v>
      </c>
      <c r="B670" s="96">
        <v>5689</v>
      </c>
      <c r="C670" s="7">
        <v>2075</v>
      </c>
      <c r="D670" s="7">
        <f t="shared" si="70"/>
        <v>3614</v>
      </c>
      <c r="E670" s="97">
        <v>1950</v>
      </c>
      <c r="F670" s="7">
        <v>650</v>
      </c>
      <c r="G670" s="7">
        <f t="shared" si="71"/>
        <v>1300</v>
      </c>
      <c r="H670" s="98">
        <v>0</v>
      </c>
      <c r="I670" s="7">
        <v>0</v>
      </c>
      <c r="J670" s="7"/>
      <c r="K670" s="99">
        <f t="shared" si="76"/>
        <v>7639</v>
      </c>
      <c r="L670" s="7">
        <v>750</v>
      </c>
      <c r="M670" s="7">
        <v>6210</v>
      </c>
      <c r="N670" s="7">
        <v>0</v>
      </c>
      <c r="O670" s="7">
        <v>0</v>
      </c>
      <c r="P670" s="7">
        <v>7050.7700009360315</v>
      </c>
      <c r="Q670" s="7">
        <v>4634.7768716239671</v>
      </c>
      <c r="R670" s="113">
        <f t="shared" si="72"/>
        <v>0.36473896994199334</v>
      </c>
      <c r="S670" s="113">
        <f t="shared" si="73"/>
        <v>0.33333333333333331</v>
      </c>
      <c r="T670" s="113">
        <f t="shared" si="74"/>
        <v>0</v>
      </c>
      <c r="U670" s="113">
        <f t="shared" si="75"/>
        <v>0.23269076775844222</v>
      </c>
    </row>
    <row r="671" spans="1:21" x14ac:dyDescent="0.45">
      <c r="A671" s="95">
        <v>45231</v>
      </c>
      <c r="B671" s="96">
        <v>5989</v>
      </c>
      <c r="C671" s="7">
        <v>2075</v>
      </c>
      <c r="D671" s="7">
        <f t="shared" si="70"/>
        <v>3914</v>
      </c>
      <c r="E671" s="97">
        <v>1950</v>
      </c>
      <c r="F671" s="7">
        <v>650</v>
      </c>
      <c r="G671" s="7">
        <f t="shared" si="71"/>
        <v>1300</v>
      </c>
      <c r="H671" s="98">
        <v>0</v>
      </c>
      <c r="I671" s="7">
        <v>0</v>
      </c>
      <c r="J671" s="7"/>
      <c r="K671" s="99">
        <f t="shared" si="76"/>
        <v>7939</v>
      </c>
      <c r="L671" s="7">
        <v>750</v>
      </c>
      <c r="M671" s="7">
        <v>6210</v>
      </c>
      <c r="N671" s="7">
        <v>0</v>
      </c>
      <c r="O671" s="7">
        <v>0</v>
      </c>
      <c r="P671" s="7">
        <v>7050.7700009360315</v>
      </c>
      <c r="Q671" s="7">
        <v>4538.2183301939676</v>
      </c>
      <c r="R671" s="113">
        <f t="shared" si="72"/>
        <v>0.34646852563032227</v>
      </c>
      <c r="S671" s="113">
        <f t="shared" si="73"/>
        <v>0.33333333333333331</v>
      </c>
      <c r="T671" s="113">
        <f t="shared" si="74"/>
        <v>0</v>
      </c>
      <c r="U671" s="113">
        <f t="shared" si="75"/>
        <v>0.22660061965455189</v>
      </c>
    </row>
    <row r="672" spans="1:21" x14ac:dyDescent="0.45">
      <c r="A672" s="95">
        <v>45232</v>
      </c>
      <c r="B672" s="96">
        <v>5989</v>
      </c>
      <c r="C672" s="7">
        <v>2375</v>
      </c>
      <c r="D672" s="7">
        <f t="shared" si="70"/>
        <v>3614</v>
      </c>
      <c r="E672" s="97">
        <v>1950</v>
      </c>
      <c r="F672" s="7">
        <v>650</v>
      </c>
      <c r="G672" s="7">
        <f t="shared" si="71"/>
        <v>1300</v>
      </c>
      <c r="H672" s="98">
        <v>0</v>
      </c>
      <c r="I672" s="7">
        <v>0</v>
      </c>
      <c r="J672" s="7"/>
      <c r="K672" s="99">
        <f t="shared" si="76"/>
        <v>7939</v>
      </c>
      <c r="L672" s="7">
        <v>1400</v>
      </c>
      <c r="M672" s="7">
        <v>6070</v>
      </c>
      <c r="N672" s="7">
        <v>0</v>
      </c>
      <c r="O672" s="7">
        <v>0</v>
      </c>
      <c r="P672" s="7">
        <v>7050.7700009360315</v>
      </c>
      <c r="Q672" s="7">
        <v>3812.9333475939684</v>
      </c>
      <c r="R672" s="113">
        <f t="shared" si="72"/>
        <v>0.3965603606612122</v>
      </c>
      <c r="S672" s="113">
        <f t="shared" si="73"/>
        <v>0.33333333333333331</v>
      </c>
      <c r="T672" s="113">
        <f t="shared" si="74"/>
        <v>0</v>
      </c>
      <c r="U672" s="113">
        <f t="shared" si="75"/>
        <v>0.24329789799818183</v>
      </c>
    </row>
    <row r="673" spans="1:21" x14ac:dyDescent="0.45">
      <c r="A673" s="95">
        <v>45233</v>
      </c>
      <c r="B673" s="96">
        <v>5989</v>
      </c>
      <c r="C673" s="7">
        <v>2375</v>
      </c>
      <c r="D673" s="7">
        <f t="shared" si="70"/>
        <v>3614</v>
      </c>
      <c r="E673" s="97">
        <v>1950</v>
      </c>
      <c r="F673" s="7">
        <v>650</v>
      </c>
      <c r="G673" s="7">
        <f t="shared" si="71"/>
        <v>1300</v>
      </c>
      <c r="H673" s="98">
        <v>0</v>
      </c>
      <c r="I673" s="7">
        <v>0</v>
      </c>
      <c r="J673" s="7"/>
      <c r="K673" s="99">
        <f t="shared" si="76"/>
        <v>7939</v>
      </c>
      <c r="L673" s="7">
        <v>1400</v>
      </c>
      <c r="M673" s="7">
        <v>6070</v>
      </c>
      <c r="N673" s="7">
        <v>0</v>
      </c>
      <c r="O673" s="7">
        <v>0</v>
      </c>
      <c r="P673" s="7">
        <v>7050.7700009360315</v>
      </c>
      <c r="Q673" s="7">
        <v>4524.5375975439683</v>
      </c>
      <c r="R673" s="113">
        <f t="shared" si="72"/>
        <v>0.3965603606612122</v>
      </c>
      <c r="S673" s="113">
        <f t="shared" si="73"/>
        <v>0.33333333333333331</v>
      </c>
      <c r="T673" s="113">
        <f t="shared" si="74"/>
        <v>0</v>
      </c>
      <c r="U673" s="113">
        <f t="shared" si="75"/>
        <v>0.24329789799818183</v>
      </c>
    </row>
    <row r="674" spans="1:21" x14ac:dyDescent="0.45">
      <c r="A674" s="95">
        <v>45234</v>
      </c>
      <c r="B674" s="96">
        <v>5989</v>
      </c>
      <c r="C674" s="7">
        <v>2375</v>
      </c>
      <c r="D674" s="7">
        <f t="shared" si="70"/>
        <v>3614</v>
      </c>
      <c r="E674" s="97">
        <v>1950</v>
      </c>
      <c r="F674" s="7">
        <v>650</v>
      </c>
      <c r="G674" s="7">
        <f t="shared" si="71"/>
        <v>1300</v>
      </c>
      <c r="H674" s="98">
        <v>0</v>
      </c>
      <c r="I674" s="7">
        <v>0</v>
      </c>
      <c r="J674" s="7"/>
      <c r="K674" s="99">
        <f t="shared" si="76"/>
        <v>7939</v>
      </c>
      <c r="L674" s="7">
        <v>1400</v>
      </c>
      <c r="M674" s="7">
        <v>6070</v>
      </c>
      <c r="N674" s="7">
        <v>0</v>
      </c>
      <c r="O674" s="7">
        <v>0</v>
      </c>
      <c r="P674" s="7">
        <v>7050.7700009360315</v>
      </c>
      <c r="Q674" s="7">
        <v>4524.5375975439683</v>
      </c>
      <c r="R674" s="113">
        <f t="shared" si="72"/>
        <v>0.3965603606612122</v>
      </c>
      <c r="S674" s="113">
        <f t="shared" si="73"/>
        <v>0.33333333333333331</v>
      </c>
      <c r="T674" s="113">
        <f t="shared" si="74"/>
        <v>0</v>
      </c>
      <c r="U674" s="113">
        <f t="shared" si="75"/>
        <v>0.24329789799818183</v>
      </c>
    </row>
    <row r="675" spans="1:21" x14ac:dyDescent="0.45">
      <c r="A675" s="95">
        <v>45235</v>
      </c>
      <c r="B675" s="96">
        <v>5989</v>
      </c>
      <c r="C675" s="7">
        <v>2375</v>
      </c>
      <c r="D675" s="7">
        <f t="shared" si="70"/>
        <v>3614</v>
      </c>
      <c r="E675" s="97">
        <v>1950</v>
      </c>
      <c r="F675" s="7">
        <v>650</v>
      </c>
      <c r="G675" s="7">
        <f t="shared" si="71"/>
        <v>1300</v>
      </c>
      <c r="H675" s="98">
        <v>0</v>
      </c>
      <c r="I675" s="7">
        <v>0</v>
      </c>
      <c r="J675" s="7"/>
      <c r="K675" s="99">
        <f t="shared" si="76"/>
        <v>7939</v>
      </c>
      <c r="L675" s="7">
        <v>1400</v>
      </c>
      <c r="M675" s="7">
        <v>6070</v>
      </c>
      <c r="N675" s="7">
        <v>0</v>
      </c>
      <c r="O675" s="7">
        <v>0</v>
      </c>
      <c r="P675" s="7">
        <v>7050.7700009360315</v>
      </c>
      <c r="Q675" s="7">
        <v>4524.5375975439683</v>
      </c>
      <c r="R675" s="113">
        <f t="shared" si="72"/>
        <v>0.3965603606612122</v>
      </c>
      <c r="S675" s="113">
        <f t="shared" si="73"/>
        <v>0.33333333333333331</v>
      </c>
      <c r="T675" s="113">
        <f t="shared" si="74"/>
        <v>0</v>
      </c>
      <c r="U675" s="113">
        <f t="shared" si="75"/>
        <v>0.24329789799818183</v>
      </c>
    </row>
    <row r="676" spans="1:21" x14ac:dyDescent="0.45">
      <c r="A676" s="95">
        <v>45236</v>
      </c>
      <c r="B676" s="96">
        <v>5989</v>
      </c>
      <c r="C676" s="7">
        <v>2375</v>
      </c>
      <c r="D676" s="7">
        <f t="shared" si="70"/>
        <v>3614</v>
      </c>
      <c r="E676" s="97">
        <v>1950</v>
      </c>
      <c r="F676" s="7">
        <v>650</v>
      </c>
      <c r="G676" s="7">
        <f t="shared" si="71"/>
        <v>1300</v>
      </c>
      <c r="H676" s="98">
        <v>0</v>
      </c>
      <c r="I676" s="7">
        <v>0</v>
      </c>
      <c r="J676" s="7"/>
      <c r="K676" s="99">
        <f t="shared" si="76"/>
        <v>7939</v>
      </c>
      <c r="L676" s="7">
        <v>1400</v>
      </c>
      <c r="M676" s="7">
        <v>6070</v>
      </c>
      <c r="N676" s="7">
        <v>0</v>
      </c>
      <c r="O676" s="7">
        <v>0</v>
      </c>
      <c r="P676" s="7">
        <v>7050.7700009360315</v>
      </c>
      <c r="Q676" s="7">
        <v>4381.1010123739688</v>
      </c>
      <c r="R676" s="113">
        <f t="shared" si="72"/>
        <v>0.3965603606612122</v>
      </c>
      <c r="S676" s="113">
        <f t="shared" si="73"/>
        <v>0.33333333333333331</v>
      </c>
      <c r="T676" s="113">
        <f t="shared" si="74"/>
        <v>0</v>
      </c>
      <c r="U676" s="113">
        <f t="shared" si="75"/>
        <v>0.24329789799818183</v>
      </c>
    </row>
    <row r="677" spans="1:21" x14ac:dyDescent="0.45">
      <c r="A677" s="95">
        <v>45237</v>
      </c>
      <c r="B677" s="96">
        <v>5989</v>
      </c>
      <c r="C677" s="7">
        <v>2375</v>
      </c>
      <c r="D677" s="7">
        <f t="shared" si="70"/>
        <v>3614</v>
      </c>
      <c r="E677" s="97">
        <v>1950</v>
      </c>
      <c r="F677" s="7">
        <v>650</v>
      </c>
      <c r="G677" s="7">
        <f t="shared" si="71"/>
        <v>1300</v>
      </c>
      <c r="H677" s="98">
        <v>0</v>
      </c>
      <c r="I677" s="7">
        <v>0</v>
      </c>
      <c r="J677" s="7"/>
      <c r="K677" s="99">
        <f t="shared" si="76"/>
        <v>7939</v>
      </c>
      <c r="L677" s="7">
        <v>1400</v>
      </c>
      <c r="M677" s="7">
        <v>6070</v>
      </c>
      <c r="N677" s="7">
        <v>0</v>
      </c>
      <c r="O677" s="7">
        <v>0</v>
      </c>
      <c r="P677" s="7">
        <v>7050.7700009360315</v>
      </c>
      <c r="Q677" s="7">
        <v>5118.8665808939677</v>
      </c>
      <c r="R677" s="113">
        <f t="shared" si="72"/>
        <v>0.3965603606612122</v>
      </c>
      <c r="S677" s="113">
        <f t="shared" si="73"/>
        <v>0.33333333333333331</v>
      </c>
      <c r="T677" s="113">
        <f t="shared" si="74"/>
        <v>0</v>
      </c>
      <c r="U677" s="113">
        <f t="shared" si="75"/>
        <v>0.24329789799818183</v>
      </c>
    </row>
    <row r="678" spans="1:21" x14ac:dyDescent="0.45">
      <c r="A678" s="95">
        <v>45238</v>
      </c>
      <c r="B678" s="96">
        <v>5989</v>
      </c>
      <c r="C678" s="7">
        <v>2375</v>
      </c>
      <c r="D678" s="7">
        <f t="shared" si="70"/>
        <v>3614</v>
      </c>
      <c r="E678" s="97">
        <v>1950</v>
      </c>
      <c r="F678" s="7">
        <v>650</v>
      </c>
      <c r="G678" s="7">
        <f t="shared" si="71"/>
        <v>1300</v>
      </c>
      <c r="H678" s="98">
        <v>0</v>
      </c>
      <c r="I678" s="7">
        <v>0</v>
      </c>
      <c r="J678" s="7"/>
      <c r="K678" s="99">
        <f t="shared" si="76"/>
        <v>7939</v>
      </c>
      <c r="L678" s="7">
        <v>1400</v>
      </c>
      <c r="M678" s="7">
        <v>6070</v>
      </c>
      <c r="N678" s="7">
        <v>0</v>
      </c>
      <c r="O678" s="7">
        <v>0</v>
      </c>
      <c r="P678" s="7">
        <v>7050.7700009360315</v>
      </c>
      <c r="Q678" s="7">
        <v>4122.9342868939684</v>
      </c>
      <c r="R678" s="113">
        <f t="shared" si="72"/>
        <v>0.3965603606612122</v>
      </c>
      <c r="S678" s="113">
        <f t="shared" si="73"/>
        <v>0.33333333333333331</v>
      </c>
      <c r="T678" s="113">
        <f t="shared" si="74"/>
        <v>0</v>
      </c>
      <c r="U678" s="113">
        <f t="shared" si="75"/>
        <v>0.24329789799818183</v>
      </c>
    </row>
    <row r="679" spans="1:21" x14ac:dyDescent="0.45">
      <c r="A679" s="95">
        <v>45239</v>
      </c>
      <c r="B679" s="96">
        <v>5989</v>
      </c>
      <c r="C679" s="7">
        <v>2475</v>
      </c>
      <c r="D679" s="7">
        <f t="shared" si="70"/>
        <v>3514</v>
      </c>
      <c r="E679" s="97">
        <v>1950</v>
      </c>
      <c r="F679" s="7">
        <v>650</v>
      </c>
      <c r="G679" s="7">
        <f t="shared" si="71"/>
        <v>1300</v>
      </c>
      <c r="H679" s="98">
        <v>0</v>
      </c>
      <c r="I679" s="7">
        <v>0</v>
      </c>
      <c r="J679" s="7"/>
      <c r="K679" s="99">
        <f t="shared" si="76"/>
        <v>7939</v>
      </c>
      <c r="L679" s="7">
        <v>1740</v>
      </c>
      <c r="M679" s="7">
        <v>7030</v>
      </c>
      <c r="N679" s="7">
        <v>0</v>
      </c>
      <c r="O679" s="7">
        <v>0</v>
      </c>
      <c r="P679" s="7">
        <v>7050.7700009360315</v>
      </c>
      <c r="Q679" s="7">
        <v>2882.4237089939688</v>
      </c>
      <c r="R679" s="113">
        <f t="shared" si="72"/>
        <v>0.41325763900484219</v>
      </c>
      <c r="S679" s="113">
        <f t="shared" si="73"/>
        <v>0.33333333333333331</v>
      </c>
      <c r="T679" s="113">
        <f t="shared" si="74"/>
        <v>0</v>
      </c>
      <c r="U679" s="113">
        <f t="shared" si="75"/>
        <v>0.24886365744605851</v>
      </c>
    </row>
    <row r="680" spans="1:21" x14ac:dyDescent="0.45">
      <c r="A680" s="95">
        <v>45240</v>
      </c>
      <c r="B680" s="96">
        <v>5989</v>
      </c>
      <c r="C680" s="7">
        <v>2475</v>
      </c>
      <c r="D680" s="7">
        <f t="shared" si="70"/>
        <v>3514</v>
      </c>
      <c r="E680" s="97">
        <v>1950</v>
      </c>
      <c r="F680" s="7">
        <v>650</v>
      </c>
      <c r="G680" s="7">
        <f t="shared" si="71"/>
        <v>1300</v>
      </c>
      <c r="H680" s="98">
        <v>0</v>
      </c>
      <c r="I680" s="7">
        <v>0</v>
      </c>
      <c r="J680" s="7"/>
      <c r="K680" s="99">
        <f t="shared" si="76"/>
        <v>7939</v>
      </c>
      <c r="L680" s="7">
        <v>1740</v>
      </c>
      <c r="M680" s="7">
        <v>7030</v>
      </c>
      <c r="N680" s="7">
        <v>0</v>
      </c>
      <c r="O680" s="7">
        <v>0</v>
      </c>
      <c r="P680" s="7">
        <v>7050.7700009360315</v>
      </c>
      <c r="Q680" s="7">
        <v>2915.5538088039698</v>
      </c>
      <c r="R680" s="113">
        <f t="shared" si="72"/>
        <v>0.41325763900484219</v>
      </c>
      <c r="S680" s="113">
        <f t="shared" si="73"/>
        <v>0.33333333333333331</v>
      </c>
      <c r="T680" s="113">
        <f t="shared" si="74"/>
        <v>0</v>
      </c>
      <c r="U680" s="113">
        <f t="shared" si="75"/>
        <v>0.24886365744605851</v>
      </c>
    </row>
    <row r="681" spans="1:21" x14ac:dyDescent="0.45">
      <c r="A681" s="95">
        <v>45241</v>
      </c>
      <c r="B681" s="96">
        <v>5989</v>
      </c>
      <c r="C681" s="7">
        <v>2475</v>
      </c>
      <c r="D681" s="7">
        <f t="shared" si="70"/>
        <v>3514</v>
      </c>
      <c r="E681" s="97">
        <v>1950</v>
      </c>
      <c r="F681" s="7">
        <v>650</v>
      </c>
      <c r="G681" s="7">
        <f t="shared" si="71"/>
        <v>1300</v>
      </c>
      <c r="H681" s="98">
        <v>0</v>
      </c>
      <c r="I681" s="7">
        <v>0</v>
      </c>
      <c r="J681" s="7"/>
      <c r="K681" s="99">
        <f t="shared" si="76"/>
        <v>7939</v>
      </c>
      <c r="L681" s="7">
        <v>1740</v>
      </c>
      <c r="M681" s="7">
        <v>7030</v>
      </c>
      <c r="N681" s="7">
        <v>0</v>
      </c>
      <c r="O681" s="7">
        <v>0</v>
      </c>
      <c r="P681" s="7">
        <v>7050.7700009360315</v>
      </c>
      <c r="Q681" s="7">
        <v>2915.5538088039698</v>
      </c>
      <c r="R681" s="113">
        <f t="shared" si="72"/>
        <v>0.41325763900484219</v>
      </c>
      <c r="S681" s="113">
        <f t="shared" si="73"/>
        <v>0.33333333333333331</v>
      </c>
      <c r="T681" s="113">
        <f t="shared" si="74"/>
        <v>0</v>
      </c>
      <c r="U681" s="113">
        <f t="shared" si="75"/>
        <v>0.24886365744605851</v>
      </c>
    </row>
    <row r="682" spans="1:21" x14ac:dyDescent="0.45">
      <c r="A682" s="95">
        <v>45242</v>
      </c>
      <c r="B682" s="96">
        <v>5989</v>
      </c>
      <c r="C682" s="7">
        <v>2475</v>
      </c>
      <c r="D682" s="7">
        <f t="shared" si="70"/>
        <v>3514</v>
      </c>
      <c r="E682" s="97">
        <v>1950</v>
      </c>
      <c r="F682" s="7">
        <v>650</v>
      </c>
      <c r="G682" s="7">
        <f t="shared" si="71"/>
        <v>1300</v>
      </c>
      <c r="H682" s="98">
        <v>0</v>
      </c>
      <c r="I682" s="7">
        <v>0</v>
      </c>
      <c r="J682" s="7"/>
      <c r="K682" s="99">
        <f t="shared" si="76"/>
        <v>7939</v>
      </c>
      <c r="L682" s="7">
        <v>1740</v>
      </c>
      <c r="M682" s="7">
        <v>7030</v>
      </c>
      <c r="N682" s="7">
        <v>0</v>
      </c>
      <c r="O682" s="7">
        <v>0</v>
      </c>
      <c r="P682" s="7">
        <v>7050.7700009360315</v>
      </c>
      <c r="Q682" s="7">
        <v>2915.5538088039698</v>
      </c>
      <c r="R682" s="113">
        <f t="shared" si="72"/>
        <v>0.41325763900484219</v>
      </c>
      <c r="S682" s="113">
        <f t="shared" si="73"/>
        <v>0.33333333333333331</v>
      </c>
      <c r="T682" s="113">
        <f t="shared" si="74"/>
        <v>0</v>
      </c>
      <c r="U682" s="113">
        <f t="shared" si="75"/>
        <v>0.24886365744605851</v>
      </c>
    </row>
    <row r="683" spans="1:21" x14ac:dyDescent="0.45">
      <c r="A683" s="95">
        <v>45243</v>
      </c>
      <c r="B683" s="96">
        <v>5989</v>
      </c>
      <c r="C683" s="7">
        <v>2475</v>
      </c>
      <c r="D683" s="7">
        <f t="shared" si="70"/>
        <v>3514</v>
      </c>
      <c r="E683" s="97">
        <v>1950</v>
      </c>
      <c r="F683" s="7">
        <v>650</v>
      </c>
      <c r="G683" s="7">
        <f t="shared" si="71"/>
        <v>1300</v>
      </c>
      <c r="H683" s="98">
        <v>0</v>
      </c>
      <c r="I683" s="7">
        <v>0</v>
      </c>
      <c r="J683" s="7"/>
      <c r="K683" s="99">
        <f t="shared" si="76"/>
        <v>7939</v>
      </c>
      <c r="L683" s="7">
        <v>1740</v>
      </c>
      <c r="M683" s="7">
        <v>7030</v>
      </c>
      <c r="N683" s="7">
        <v>0</v>
      </c>
      <c r="O683" s="7">
        <v>0</v>
      </c>
      <c r="P683" s="7">
        <v>7050.7700009360315</v>
      </c>
      <c r="Q683" s="7">
        <v>4069.3205276639683</v>
      </c>
      <c r="R683" s="113">
        <f t="shared" si="72"/>
        <v>0.41325763900484219</v>
      </c>
      <c r="S683" s="113">
        <f t="shared" si="73"/>
        <v>0.33333333333333331</v>
      </c>
      <c r="T683" s="113">
        <f t="shared" si="74"/>
        <v>0</v>
      </c>
      <c r="U683" s="113">
        <f t="shared" si="75"/>
        <v>0.24886365744605851</v>
      </c>
    </row>
    <row r="684" spans="1:21" x14ac:dyDescent="0.45">
      <c r="A684" s="95">
        <v>45244</v>
      </c>
      <c r="B684" s="96">
        <v>5989</v>
      </c>
      <c r="C684" s="7">
        <v>2475</v>
      </c>
      <c r="D684" s="7">
        <f t="shared" si="70"/>
        <v>3514</v>
      </c>
      <c r="E684" s="97">
        <v>1950</v>
      </c>
      <c r="F684" s="7">
        <v>650</v>
      </c>
      <c r="G684" s="7">
        <f t="shared" si="71"/>
        <v>1300</v>
      </c>
      <c r="H684" s="98">
        <v>0</v>
      </c>
      <c r="I684" s="7">
        <v>0</v>
      </c>
      <c r="J684" s="7"/>
      <c r="K684" s="99">
        <f t="shared" si="76"/>
        <v>7939</v>
      </c>
      <c r="L684" s="7">
        <v>1740</v>
      </c>
      <c r="M684" s="7">
        <v>7030</v>
      </c>
      <c r="N684" s="7">
        <v>0</v>
      </c>
      <c r="O684" s="7">
        <v>0</v>
      </c>
      <c r="P684" s="7">
        <v>7050.7700009360315</v>
      </c>
      <c r="Q684" s="7">
        <v>3682.6739841639687</v>
      </c>
      <c r="R684" s="113">
        <f t="shared" si="72"/>
        <v>0.41325763900484219</v>
      </c>
      <c r="S684" s="113">
        <f t="shared" si="73"/>
        <v>0.33333333333333331</v>
      </c>
      <c r="T684" s="113">
        <f t="shared" si="74"/>
        <v>0</v>
      </c>
      <c r="U684" s="113">
        <f t="shared" si="75"/>
        <v>0.24886365744605851</v>
      </c>
    </row>
    <row r="685" spans="1:21" x14ac:dyDescent="0.45">
      <c r="A685" s="95">
        <v>45245</v>
      </c>
      <c r="B685" s="96">
        <v>5989</v>
      </c>
      <c r="C685" s="7">
        <v>2475</v>
      </c>
      <c r="D685" s="7">
        <f t="shared" si="70"/>
        <v>3514</v>
      </c>
      <c r="E685" s="97">
        <v>1950</v>
      </c>
      <c r="F685" s="7">
        <v>650</v>
      </c>
      <c r="G685" s="7">
        <f t="shared" si="71"/>
        <v>1300</v>
      </c>
      <c r="H685" s="98">
        <v>0</v>
      </c>
      <c r="I685" s="7">
        <v>0</v>
      </c>
      <c r="J685" s="7"/>
      <c r="K685" s="99">
        <f t="shared" si="76"/>
        <v>7939</v>
      </c>
      <c r="L685" s="7">
        <v>1740</v>
      </c>
      <c r="M685" s="7">
        <v>7030</v>
      </c>
      <c r="N685" s="7">
        <v>0</v>
      </c>
      <c r="O685" s="7">
        <v>0</v>
      </c>
      <c r="P685" s="7">
        <v>7050.7700009360315</v>
      </c>
      <c r="Q685" s="7">
        <v>3649.5964812239681</v>
      </c>
      <c r="R685" s="113">
        <f t="shared" si="72"/>
        <v>0.41325763900484219</v>
      </c>
      <c r="S685" s="113">
        <f t="shared" si="73"/>
        <v>0.33333333333333331</v>
      </c>
      <c r="T685" s="113">
        <f t="shared" si="74"/>
        <v>0</v>
      </c>
      <c r="U685" s="113">
        <f t="shared" si="75"/>
        <v>0.24886365744605851</v>
      </c>
    </row>
    <row r="686" spans="1:21" x14ac:dyDescent="0.45">
      <c r="A686" s="95">
        <v>45246</v>
      </c>
      <c r="B686" s="96">
        <v>6109</v>
      </c>
      <c r="C686" s="7">
        <v>2555</v>
      </c>
      <c r="D686" s="7">
        <f t="shared" si="70"/>
        <v>3554</v>
      </c>
      <c r="E686" s="97">
        <v>1950</v>
      </c>
      <c r="F686" s="7">
        <v>650</v>
      </c>
      <c r="G686" s="7">
        <f t="shared" si="71"/>
        <v>1300</v>
      </c>
      <c r="H686" s="98">
        <v>0</v>
      </c>
      <c r="I686" s="7">
        <v>0</v>
      </c>
      <c r="J686" s="7"/>
      <c r="K686" s="99">
        <f t="shared" si="76"/>
        <v>8059</v>
      </c>
      <c r="L686" s="7">
        <v>1240</v>
      </c>
      <c r="M686" s="7">
        <v>7130</v>
      </c>
      <c r="N686" s="7">
        <v>0</v>
      </c>
      <c r="O686" s="7">
        <v>0</v>
      </c>
      <c r="P686" s="7">
        <v>7050.7700009360315</v>
      </c>
      <c r="Q686" s="7">
        <v>2846.4294802939689</v>
      </c>
      <c r="R686" s="113">
        <f t="shared" si="72"/>
        <v>0.41823539040759533</v>
      </c>
      <c r="S686" s="113">
        <f t="shared" si="73"/>
        <v>0.33333333333333331</v>
      </c>
      <c r="T686" s="113">
        <f t="shared" si="74"/>
        <v>0</v>
      </c>
      <c r="U686" s="113">
        <f t="shared" si="75"/>
        <v>0.2505229079136429</v>
      </c>
    </row>
    <row r="687" spans="1:21" x14ac:dyDescent="0.45">
      <c r="A687" s="95">
        <v>45247</v>
      </c>
      <c r="B687" s="96">
        <v>6109</v>
      </c>
      <c r="C687" s="7">
        <v>2555</v>
      </c>
      <c r="D687" s="7">
        <f t="shared" si="70"/>
        <v>3554</v>
      </c>
      <c r="E687" s="97">
        <v>1950</v>
      </c>
      <c r="F687" s="7">
        <v>650</v>
      </c>
      <c r="G687" s="7">
        <f t="shared" si="71"/>
        <v>1300</v>
      </c>
      <c r="H687" s="98">
        <v>0</v>
      </c>
      <c r="I687" s="7">
        <v>0</v>
      </c>
      <c r="J687" s="7"/>
      <c r="K687" s="99">
        <f t="shared" si="76"/>
        <v>8059</v>
      </c>
      <c r="L687" s="7">
        <v>1240</v>
      </c>
      <c r="M687" s="7">
        <v>7130</v>
      </c>
      <c r="N687" s="7">
        <v>0</v>
      </c>
      <c r="O687" s="7">
        <v>0</v>
      </c>
      <c r="P687" s="7">
        <v>7050.7700009360315</v>
      </c>
      <c r="Q687" s="7">
        <v>2566.4699674739686</v>
      </c>
      <c r="R687" s="113">
        <f t="shared" si="72"/>
        <v>0.41823539040759533</v>
      </c>
      <c r="S687" s="113">
        <f t="shared" si="73"/>
        <v>0.33333333333333331</v>
      </c>
      <c r="T687" s="113">
        <f t="shared" si="74"/>
        <v>0</v>
      </c>
      <c r="U687" s="113">
        <f t="shared" si="75"/>
        <v>0.2505229079136429</v>
      </c>
    </row>
    <row r="688" spans="1:21" x14ac:dyDescent="0.45">
      <c r="A688" s="95">
        <v>45248</v>
      </c>
      <c r="B688" s="96">
        <v>6109</v>
      </c>
      <c r="C688" s="7">
        <v>2555</v>
      </c>
      <c r="D688" s="7">
        <f t="shared" si="70"/>
        <v>3554</v>
      </c>
      <c r="E688" s="97">
        <v>1950</v>
      </c>
      <c r="F688" s="7">
        <v>650</v>
      </c>
      <c r="G688" s="7">
        <f t="shared" si="71"/>
        <v>1300</v>
      </c>
      <c r="H688" s="98">
        <v>0</v>
      </c>
      <c r="I688" s="7">
        <v>0</v>
      </c>
      <c r="J688" s="7"/>
      <c r="K688" s="99">
        <f t="shared" si="76"/>
        <v>8059</v>
      </c>
      <c r="L688" s="7">
        <v>1240</v>
      </c>
      <c r="M688" s="7">
        <v>7130</v>
      </c>
      <c r="N688" s="7">
        <v>0</v>
      </c>
      <c r="O688" s="7">
        <v>0</v>
      </c>
      <c r="P688" s="7">
        <v>7050.7700009360315</v>
      </c>
      <c r="Q688" s="7">
        <v>2566.4699674739686</v>
      </c>
      <c r="R688" s="113">
        <f t="shared" si="72"/>
        <v>0.41823539040759533</v>
      </c>
      <c r="S688" s="113">
        <f t="shared" si="73"/>
        <v>0.33333333333333331</v>
      </c>
      <c r="T688" s="113">
        <f t="shared" si="74"/>
        <v>0</v>
      </c>
      <c r="U688" s="113">
        <f t="shared" si="75"/>
        <v>0.2505229079136429</v>
      </c>
    </row>
    <row r="689" spans="1:21" x14ac:dyDescent="0.45">
      <c r="A689" s="95">
        <v>45249</v>
      </c>
      <c r="B689" s="96">
        <v>6109</v>
      </c>
      <c r="C689" s="7">
        <v>2555</v>
      </c>
      <c r="D689" s="7">
        <f t="shared" si="70"/>
        <v>3554</v>
      </c>
      <c r="E689" s="97">
        <v>1950</v>
      </c>
      <c r="F689" s="7">
        <v>650</v>
      </c>
      <c r="G689" s="7">
        <f t="shared" si="71"/>
        <v>1300</v>
      </c>
      <c r="H689" s="98">
        <v>0</v>
      </c>
      <c r="I689" s="7">
        <v>0</v>
      </c>
      <c r="J689" s="7"/>
      <c r="K689" s="99">
        <f t="shared" si="76"/>
        <v>8059</v>
      </c>
      <c r="L689" s="7">
        <v>1240</v>
      </c>
      <c r="M689" s="7">
        <v>7130</v>
      </c>
      <c r="N689" s="7">
        <v>0</v>
      </c>
      <c r="O689" s="7">
        <v>0</v>
      </c>
      <c r="P689" s="7">
        <v>7050.7700009360315</v>
      </c>
      <c r="Q689" s="7">
        <v>2566.4699674739686</v>
      </c>
      <c r="R689" s="113">
        <f t="shared" si="72"/>
        <v>0.41823539040759533</v>
      </c>
      <c r="S689" s="113">
        <f t="shared" si="73"/>
        <v>0.33333333333333331</v>
      </c>
      <c r="T689" s="113">
        <f t="shared" si="74"/>
        <v>0</v>
      </c>
      <c r="U689" s="113">
        <f t="shared" si="75"/>
        <v>0.2505229079136429</v>
      </c>
    </row>
    <row r="690" spans="1:21" x14ac:dyDescent="0.45">
      <c r="A690" s="95">
        <v>45250</v>
      </c>
      <c r="B690" s="96">
        <v>6109</v>
      </c>
      <c r="C690" s="7">
        <v>2555</v>
      </c>
      <c r="D690" s="7">
        <f t="shared" si="70"/>
        <v>3554</v>
      </c>
      <c r="E690" s="97">
        <v>1950</v>
      </c>
      <c r="F690" s="7">
        <v>650</v>
      </c>
      <c r="G690" s="7">
        <f t="shared" si="71"/>
        <v>1300</v>
      </c>
      <c r="H690" s="98">
        <v>0</v>
      </c>
      <c r="I690" s="7">
        <v>0</v>
      </c>
      <c r="J690" s="7"/>
      <c r="K690" s="99">
        <f t="shared" si="76"/>
        <v>8059</v>
      </c>
      <c r="L690" s="7">
        <v>1240</v>
      </c>
      <c r="M690" s="7">
        <v>7130</v>
      </c>
      <c r="N690" s="7">
        <v>0</v>
      </c>
      <c r="O690" s="7">
        <v>0</v>
      </c>
      <c r="P690" s="7">
        <v>7050.7700009360315</v>
      </c>
      <c r="Q690" s="7">
        <v>919.56094978396834</v>
      </c>
      <c r="R690" s="113">
        <f t="shared" si="72"/>
        <v>0.41823539040759533</v>
      </c>
      <c r="S690" s="113">
        <f t="shared" si="73"/>
        <v>0.33333333333333331</v>
      </c>
      <c r="T690" s="113">
        <f t="shared" si="74"/>
        <v>0</v>
      </c>
      <c r="U690" s="113">
        <f t="shared" si="75"/>
        <v>0.2505229079136429</v>
      </c>
    </row>
    <row r="691" spans="1:21" x14ac:dyDescent="0.45">
      <c r="A691" s="95">
        <v>45251</v>
      </c>
      <c r="B691" s="96">
        <v>6109</v>
      </c>
      <c r="C691" s="7">
        <v>2555</v>
      </c>
      <c r="D691" s="7">
        <f t="shared" si="70"/>
        <v>3554</v>
      </c>
      <c r="E691" s="97">
        <v>1950</v>
      </c>
      <c r="F691" s="7">
        <v>650</v>
      </c>
      <c r="G691" s="7">
        <f t="shared" si="71"/>
        <v>1300</v>
      </c>
      <c r="H691" s="98">
        <v>0</v>
      </c>
      <c r="I691" s="7">
        <v>0</v>
      </c>
      <c r="J691" s="7"/>
      <c r="K691" s="99">
        <f t="shared" si="76"/>
        <v>8059</v>
      </c>
      <c r="L691" s="7">
        <v>1240</v>
      </c>
      <c r="M691" s="7">
        <v>7130</v>
      </c>
      <c r="N691" s="7">
        <v>0</v>
      </c>
      <c r="O691" s="7">
        <v>0</v>
      </c>
      <c r="P691" s="7">
        <v>7050.7700009360315</v>
      </c>
      <c r="Q691" s="7">
        <v>1047.3935493439685</v>
      </c>
      <c r="R691" s="113">
        <f t="shared" si="72"/>
        <v>0.41823539040759533</v>
      </c>
      <c r="S691" s="113">
        <f t="shared" si="73"/>
        <v>0.33333333333333331</v>
      </c>
      <c r="T691" s="113">
        <f t="shared" si="74"/>
        <v>0</v>
      </c>
      <c r="U691" s="113">
        <f t="shared" si="75"/>
        <v>0.2505229079136429</v>
      </c>
    </row>
    <row r="692" spans="1:21" x14ac:dyDescent="0.45">
      <c r="A692" s="95">
        <v>45252</v>
      </c>
      <c r="B692" s="96">
        <v>6109</v>
      </c>
      <c r="C692" s="7">
        <v>2555</v>
      </c>
      <c r="D692" s="7">
        <f t="shared" si="70"/>
        <v>3554</v>
      </c>
      <c r="E692" s="97">
        <v>1950</v>
      </c>
      <c r="F692" s="7">
        <v>650</v>
      </c>
      <c r="G692" s="7">
        <f t="shared" si="71"/>
        <v>1300</v>
      </c>
      <c r="H692" s="98">
        <v>0</v>
      </c>
      <c r="I692" s="7">
        <v>0</v>
      </c>
      <c r="J692" s="7"/>
      <c r="K692" s="99">
        <f t="shared" si="76"/>
        <v>8059</v>
      </c>
      <c r="L692" s="7">
        <v>1240</v>
      </c>
      <c r="M692" s="7">
        <v>7130</v>
      </c>
      <c r="N692" s="7">
        <v>0</v>
      </c>
      <c r="O692" s="7">
        <v>0</v>
      </c>
      <c r="P692" s="7">
        <v>7050.7700009360315</v>
      </c>
      <c r="Q692" s="7">
        <v>607.5468096939685</v>
      </c>
      <c r="R692" s="113">
        <f t="shared" si="72"/>
        <v>0.41823539040759533</v>
      </c>
      <c r="S692" s="113">
        <f t="shared" si="73"/>
        <v>0.33333333333333331</v>
      </c>
      <c r="T692" s="113">
        <f t="shared" si="74"/>
        <v>0</v>
      </c>
      <c r="U692" s="113">
        <f t="shared" si="75"/>
        <v>0.2505229079136429</v>
      </c>
    </row>
    <row r="693" spans="1:21" x14ac:dyDescent="0.45">
      <c r="A693" s="95">
        <v>45253</v>
      </c>
      <c r="B693" s="96">
        <v>6004</v>
      </c>
      <c r="C693" s="7">
        <v>2350</v>
      </c>
      <c r="D693" s="7">
        <f t="shared" si="70"/>
        <v>3654</v>
      </c>
      <c r="E693" s="97">
        <v>1950</v>
      </c>
      <c r="F693" s="7">
        <v>650</v>
      </c>
      <c r="G693" s="7">
        <f t="shared" si="71"/>
        <v>1300</v>
      </c>
      <c r="H693" s="98">
        <v>0</v>
      </c>
      <c r="I693" s="7">
        <v>0</v>
      </c>
      <c r="J693" s="7"/>
      <c r="K693" s="99">
        <f t="shared" si="76"/>
        <v>7954</v>
      </c>
      <c r="L693" s="7">
        <v>1740</v>
      </c>
      <c r="M693" s="7">
        <v>7100</v>
      </c>
      <c r="N693" s="7">
        <v>0</v>
      </c>
      <c r="O693" s="7">
        <v>0</v>
      </c>
      <c r="P693" s="7">
        <v>7050.7700009360315</v>
      </c>
      <c r="Q693" s="7">
        <v>1188.9815082339683</v>
      </c>
      <c r="R693" s="113">
        <f t="shared" si="72"/>
        <v>0.39140572951365754</v>
      </c>
      <c r="S693" s="113">
        <f t="shared" si="73"/>
        <v>0.33333333333333331</v>
      </c>
      <c r="T693" s="113">
        <f t="shared" si="74"/>
        <v>0</v>
      </c>
      <c r="U693" s="113">
        <f t="shared" si="75"/>
        <v>0.24157968761566362</v>
      </c>
    </row>
    <row r="694" spans="1:21" x14ac:dyDescent="0.45">
      <c r="A694" s="95">
        <v>45254</v>
      </c>
      <c r="B694" s="96">
        <v>6004</v>
      </c>
      <c r="C694" s="7">
        <v>2350</v>
      </c>
      <c r="D694" s="7">
        <f t="shared" si="70"/>
        <v>3654</v>
      </c>
      <c r="E694" s="97">
        <v>1950</v>
      </c>
      <c r="F694" s="7">
        <v>650</v>
      </c>
      <c r="G694" s="7">
        <f t="shared" si="71"/>
        <v>1300</v>
      </c>
      <c r="H694" s="98">
        <v>0</v>
      </c>
      <c r="I694" s="7">
        <v>0</v>
      </c>
      <c r="J694" s="7"/>
      <c r="K694" s="99">
        <f t="shared" si="76"/>
        <v>7954</v>
      </c>
      <c r="L694" s="7">
        <v>1740</v>
      </c>
      <c r="M694" s="7">
        <v>7100</v>
      </c>
      <c r="N694" s="7">
        <v>0</v>
      </c>
      <c r="O694" s="7">
        <v>0</v>
      </c>
      <c r="P694" s="7">
        <v>7050.7700009360315</v>
      </c>
      <c r="Q694" s="7">
        <v>1269.4983810239689</v>
      </c>
      <c r="R694" s="113">
        <f t="shared" si="72"/>
        <v>0.39140572951365754</v>
      </c>
      <c r="S694" s="113">
        <f t="shared" si="73"/>
        <v>0.33333333333333331</v>
      </c>
      <c r="T694" s="113">
        <f t="shared" si="74"/>
        <v>0</v>
      </c>
      <c r="U694" s="113">
        <f t="shared" si="75"/>
        <v>0.24157968761566362</v>
      </c>
    </row>
    <row r="695" spans="1:21" x14ac:dyDescent="0.45">
      <c r="A695" s="95">
        <v>45255</v>
      </c>
      <c r="B695" s="96">
        <v>6004</v>
      </c>
      <c r="C695" s="7">
        <v>2350</v>
      </c>
      <c r="D695" s="7">
        <f t="shared" si="70"/>
        <v>3654</v>
      </c>
      <c r="E695" s="97">
        <v>1950</v>
      </c>
      <c r="F695" s="7">
        <v>650</v>
      </c>
      <c r="G695" s="7">
        <f t="shared" si="71"/>
        <v>1300</v>
      </c>
      <c r="H695" s="98">
        <v>0</v>
      </c>
      <c r="I695" s="7">
        <v>0</v>
      </c>
      <c r="J695" s="7"/>
      <c r="K695" s="99">
        <f t="shared" si="76"/>
        <v>7954</v>
      </c>
      <c r="L695" s="7">
        <v>1740</v>
      </c>
      <c r="M695" s="7">
        <v>7100</v>
      </c>
      <c r="N695" s="7">
        <v>0</v>
      </c>
      <c r="O695" s="7">
        <v>0</v>
      </c>
      <c r="P695" s="7">
        <v>7050.7700009360315</v>
      </c>
      <c r="Q695" s="7">
        <v>1269.4983810239689</v>
      </c>
      <c r="R695" s="113">
        <f t="shared" si="72"/>
        <v>0.39140572951365754</v>
      </c>
      <c r="S695" s="113">
        <f t="shared" si="73"/>
        <v>0.33333333333333331</v>
      </c>
      <c r="T695" s="113">
        <f t="shared" si="74"/>
        <v>0</v>
      </c>
      <c r="U695" s="113">
        <f t="shared" si="75"/>
        <v>0.24157968761566362</v>
      </c>
    </row>
    <row r="696" spans="1:21" x14ac:dyDescent="0.45">
      <c r="A696" s="95">
        <v>45256</v>
      </c>
      <c r="B696" s="96">
        <v>6004</v>
      </c>
      <c r="C696" s="7">
        <v>2350</v>
      </c>
      <c r="D696" s="7">
        <f t="shared" si="70"/>
        <v>3654</v>
      </c>
      <c r="E696" s="97">
        <v>1950</v>
      </c>
      <c r="F696" s="7">
        <v>650</v>
      </c>
      <c r="G696" s="7">
        <f t="shared" si="71"/>
        <v>1300</v>
      </c>
      <c r="H696" s="98">
        <v>0</v>
      </c>
      <c r="I696" s="7">
        <v>0</v>
      </c>
      <c r="J696" s="7"/>
      <c r="K696" s="99">
        <f t="shared" si="76"/>
        <v>7954</v>
      </c>
      <c r="L696" s="7">
        <v>1740</v>
      </c>
      <c r="M696" s="7">
        <v>7100</v>
      </c>
      <c r="N696" s="7">
        <v>0</v>
      </c>
      <c r="O696" s="7">
        <v>0</v>
      </c>
      <c r="P696" s="7">
        <v>7050.7700009360315</v>
      </c>
      <c r="Q696" s="7">
        <v>1269.4983810239689</v>
      </c>
      <c r="R696" s="113">
        <f t="shared" si="72"/>
        <v>0.39140572951365754</v>
      </c>
      <c r="S696" s="113">
        <f t="shared" si="73"/>
        <v>0.33333333333333331</v>
      </c>
      <c r="T696" s="113">
        <f t="shared" si="74"/>
        <v>0</v>
      </c>
      <c r="U696" s="113">
        <f t="shared" si="75"/>
        <v>0.24157968761566362</v>
      </c>
    </row>
    <row r="697" spans="1:21" x14ac:dyDescent="0.45">
      <c r="A697" s="95">
        <v>45257</v>
      </c>
      <c r="B697" s="96">
        <v>6004</v>
      </c>
      <c r="C697" s="7">
        <v>2350</v>
      </c>
      <c r="D697" s="7">
        <f t="shared" si="70"/>
        <v>3654</v>
      </c>
      <c r="E697" s="97">
        <v>1950</v>
      </c>
      <c r="F697" s="7">
        <v>650</v>
      </c>
      <c r="G697" s="7">
        <f t="shared" si="71"/>
        <v>1300</v>
      </c>
      <c r="H697" s="98">
        <v>0</v>
      </c>
      <c r="I697" s="7">
        <v>0</v>
      </c>
      <c r="J697" s="7"/>
      <c r="K697" s="99">
        <f t="shared" si="76"/>
        <v>7954</v>
      </c>
      <c r="L697" s="7">
        <v>1740</v>
      </c>
      <c r="M697" s="7">
        <v>7100</v>
      </c>
      <c r="N697" s="7">
        <v>0</v>
      </c>
      <c r="O697" s="7">
        <v>0</v>
      </c>
      <c r="P697" s="7">
        <v>7140.7800000000007</v>
      </c>
      <c r="Q697" s="7">
        <v>1179.48</v>
      </c>
      <c r="R697" s="113">
        <f t="shared" si="72"/>
        <v>0.39140572951365754</v>
      </c>
      <c r="S697" s="113">
        <f t="shared" si="73"/>
        <v>0.33333333333333331</v>
      </c>
      <c r="T697" s="113">
        <f t="shared" si="74"/>
        <v>0</v>
      </c>
      <c r="U697" s="113">
        <f t="shared" si="75"/>
        <v>0.24157968761566362</v>
      </c>
    </row>
    <row r="698" spans="1:21" x14ac:dyDescent="0.45">
      <c r="A698" s="95">
        <v>45258</v>
      </c>
      <c r="B698" s="96">
        <v>6004</v>
      </c>
      <c r="C698" s="7">
        <v>2350</v>
      </c>
      <c r="D698" s="7">
        <f t="shared" si="70"/>
        <v>3654</v>
      </c>
      <c r="E698" s="97">
        <v>1950</v>
      </c>
      <c r="F698" s="7">
        <v>650</v>
      </c>
      <c r="G698" s="7">
        <f t="shared" si="71"/>
        <v>1300</v>
      </c>
      <c r="H698" s="98">
        <v>0</v>
      </c>
      <c r="I698" s="7">
        <v>0</v>
      </c>
      <c r="J698" s="7"/>
      <c r="K698" s="99">
        <f t="shared" si="76"/>
        <v>7954</v>
      </c>
      <c r="L698" s="7">
        <v>1740</v>
      </c>
      <c r="M698" s="7">
        <v>7100</v>
      </c>
      <c r="N698" s="7">
        <v>0</v>
      </c>
      <c r="O698" s="7">
        <v>0</v>
      </c>
      <c r="P698" s="7">
        <v>7140.7800000000007</v>
      </c>
      <c r="Q698" s="7">
        <v>1179.48</v>
      </c>
      <c r="R698" s="113">
        <f t="shared" si="72"/>
        <v>0.39140572951365754</v>
      </c>
      <c r="S698" s="113">
        <f t="shared" si="73"/>
        <v>0.33333333333333331</v>
      </c>
      <c r="T698" s="113">
        <f t="shared" si="74"/>
        <v>0</v>
      </c>
      <c r="U698" s="113">
        <f t="shared" si="75"/>
        <v>0.24157968761566362</v>
      </c>
    </row>
    <row r="699" spans="1:21" x14ac:dyDescent="0.45">
      <c r="A699" s="95">
        <v>45259</v>
      </c>
      <c r="B699" s="96">
        <v>6004</v>
      </c>
      <c r="C699" s="7">
        <v>2350</v>
      </c>
      <c r="D699" s="7">
        <f t="shared" si="70"/>
        <v>3654</v>
      </c>
      <c r="E699" s="97">
        <v>1950</v>
      </c>
      <c r="F699" s="7">
        <v>650</v>
      </c>
      <c r="G699" s="7">
        <f t="shared" si="71"/>
        <v>1300</v>
      </c>
      <c r="H699" s="98">
        <v>0</v>
      </c>
      <c r="I699" s="7">
        <v>0</v>
      </c>
      <c r="J699" s="7"/>
      <c r="K699" s="99">
        <f t="shared" si="76"/>
        <v>7954</v>
      </c>
      <c r="L699" s="7">
        <v>1740</v>
      </c>
      <c r="M699" s="7">
        <v>7100</v>
      </c>
      <c r="N699" s="7">
        <v>0</v>
      </c>
      <c r="O699" s="7">
        <v>0</v>
      </c>
      <c r="P699" s="7">
        <v>7140.7800000000007</v>
      </c>
      <c r="Q699" s="7">
        <v>2629.21</v>
      </c>
      <c r="R699" s="113">
        <f t="shared" si="72"/>
        <v>0.39140572951365754</v>
      </c>
      <c r="S699" s="113">
        <f t="shared" si="73"/>
        <v>0.33333333333333331</v>
      </c>
      <c r="T699" s="113">
        <f t="shared" si="74"/>
        <v>0</v>
      </c>
      <c r="U699" s="113">
        <f t="shared" si="75"/>
        <v>0.24157968761566362</v>
      </c>
    </row>
    <row r="700" spans="1:21" x14ac:dyDescent="0.45">
      <c r="A700" s="95">
        <v>45260</v>
      </c>
      <c r="B700" s="96">
        <v>6024</v>
      </c>
      <c r="C700" s="7">
        <v>2310</v>
      </c>
      <c r="D700" s="7">
        <f t="shared" si="70"/>
        <v>3714</v>
      </c>
      <c r="E700" s="97">
        <v>1950</v>
      </c>
      <c r="F700" s="7">
        <v>650</v>
      </c>
      <c r="G700" s="7">
        <f t="shared" si="71"/>
        <v>1300</v>
      </c>
      <c r="H700" s="98">
        <v>0</v>
      </c>
      <c r="I700" s="7">
        <v>0</v>
      </c>
      <c r="J700" s="7"/>
      <c r="K700" s="99">
        <f t="shared" si="76"/>
        <v>7974</v>
      </c>
      <c r="L700" s="7">
        <v>1200</v>
      </c>
      <c r="M700" s="7">
        <v>7000</v>
      </c>
      <c r="N700" s="7">
        <v>0</v>
      </c>
      <c r="O700" s="7">
        <v>0</v>
      </c>
      <c r="P700" s="7">
        <v>7140.7800000000007</v>
      </c>
      <c r="Q700" s="7">
        <v>1515.59</v>
      </c>
      <c r="R700" s="113">
        <f t="shared" si="72"/>
        <v>0.38346613545816732</v>
      </c>
      <c r="S700" s="113">
        <f t="shared" si="73"/>
        <v>0.33333333333333331</v>
      </c>
      <c r="T700" s="113">
        <f t="shared" si="74"/>
        <v>0</v>
      </c>
      <c r="U700" s="113">
        <f t="shared" si="75"/>
        <v>0.23893315626383357</v>
      </c>
    </row>
    <row r="701" spans="1:21" x14ac:dyDescent="0.45">
      <c r="A701" s="95">
        <v>45261</v>
      </c>
      <c r="B701" s="96">
        <v>6024</v>
      </c>
      <c r="C701" s="7">
        <v>2310</v>
      </c>
      <c r="D701" s="7">
        <f t="shared" si="70"/>
        <v>3714</v>
      </c>
      <c r="E701" s="97">
        <v>1950</v>
      </c>
      <c r="F701" s="7">
        <v>650</v>
      </c>
      <c r="G701" s="7">
        <f t="shared" si="71"/>
        <v>1300</v>
      </c>
      <c r="H701" s="98">
        <v>0</v>
      </c>
      <c r="I701" s="7">
        <v>0</v>
      </c>
      <c r="J701" s="7"/>
      <c r="K701" s="99">
        <f t="shared" si="76"/>
        <v>7974</v>
      </c>
      <c r="L701" s="7">
        <v>1200</v>
      </c>
      <c r="M701" s="7">
        <v>7000</v>
      </c>
      <c r="N701" s="7">
        <v>0</v>
      </c>
      <c r="O701" s="7">
        <v>0</v>
      </c>
      <c r="P701" s="7">
        <v>7140.7800000000007</v>
      </c>
      <c r="Q701" s="7">
        <v>1561.8799999999997</v>
      </c>
      <c r="R701" s="113">
        <f t="shared" si="72"/>
        <v>0.38346613545816732</v>
      </c>
      <c r="S701" s="113">
        <f t="shared" si="73"/>
        <v>0.33333333333333331</v>
      </c>
      <c r="T701" s="113">
        <f t="shared" si="74"/>
        <v>0</v>
      </c>
      <c r="U701" s="113">
        <f t="shared" si="75"/>
        <v>0.23893315626383357</v>
      </c>
    </row>
    <row r="702" spans="1:21" x14ac:dyDescent="0.45">
      <c r="A702" s="95">
        <v>45262</v>
      </c>
      <c r="B702" s="96">
        <v>6024</v>
      </c>
      <c r="C702" s="7">
        <v>2310</v>
      </c>
      <c r="D702" s="7">
        <f t="shared" si="70"/>
        <v>3714</v>
      </c>
      <c r="E702" s="97">
        <v>1950</v>
      </c>
      <c r="F702" s="7">
        <v>650</v>
      </c>
      <c r="G702" s="7">
        <f t="shared" si="71"/>
        <v>1300</v>
      </c>
      <c r="H702" s="98">
        <v>0</v>
      </c>
      <c r="I702" s="7">
        <v>0</v>
      </c>
      <c r="J702" s="7"/>
      <c r="K702" s="99">
        <f t="shared" si="76"/>
        <v>7974</v>
      </c>
      <c r="L702" s="7">
        <v>1200</v>
      </c>
      <c r="M702" s="7">
        <v>7000</v>
      </c>
      <c r="N702" s="7">
        <v>0</v>
      </c>
      <c r="O702" s="7">
        <v>0</v>
      </c>
      <c r="P702" s="7">
        <v>7140.7800000000007</v>
      </c>
      <c r="Q702" s="7">
        <v>1561.8799999999997</v>
      </c>
      <c r="R702" s="113">
        <f t="shared" si="72"/>
        <v>0.38346613545816732</v>
      </c>
      <c r="S702" s="113">
        <f t="shared" si="73"/>
        <v>0.33333333333333331</v>
      </c>
      <c r="T702" s="113">
        <f t="shared" si="74"/>
        <v>0</v>
      </c>
      <c r="U702" s="113">
        <f t="shared" si="75"/>
        <v>0.23893315626383357</v>
      </c>
    </row>
    <row r="703" spans="1:21" x14ac:dyDescent="0.45">
      <c r="A703" s="95">
        <v>45263</v>
      </c>
      <c r="B703" s="96">
        <v>6024</v>
      </c>
      <c r="C703" s="7">
        <v>2310</v>
      </c>
      <c r="D703" s="7">
        <f t="shared" si="70"/>
        <v>3714</v>
      </c>
      <c r="E703" s="97">
        <v>1950</v>
      </c>
      <c r="F703" s="7">
        <v>650</v>
      </c>
      <c r="G703" s="7">
        <f t="shared" si="71"/>
        <v>1300</v>
      </c>
      <c r="H703" s="98">
        <v>0</v>
      </c>
      <c r="I703" s="7">
        <v>0</v>
      </c>
      <c r="J703" s="7"/>
      <c r="K703" s="99">
        <f t="shared" si="76"/>
        <v>7974</v>
      </c>
      <c r="L703" s="7">
        <v>1200</v>
      </c>
      <c r="M703" s="7">
        <v>7000</v>
      </c>
      <c r="N703" s="7">
        <v>0</v>
      </c>
      <c r="O703" s="7">
        <v>0</v>
      </c>
      <c r="P703" s="7">
        <v>7140.7800000000007</v>
      </c>
      <c r="Q703" s="7">
        <v>1561.8799999999997</v>
      </c>
      <c r="R703" s="113">
        <f t="shared" si="72"/>
        <v>0.38346613545816732</v>
      </c>
      <c r="S703" s="113">
        <f t="shared" si="73"/>
        <v>0.33333333333333331</v>
      </c>
      <c r="T703" s="113">
        <f t="shared" si="74"/>
        <v>0</v>
      </c>
      <c r="U703" s="113">
        <f t="shared" si="75"/>
        <v>0.23893315626383357</v>
      </c>
    </row>
    <row r="704" spans="1:21" x14ac:dyDescent="0.45">
      <c r="A704" s="95">
        <v>45264</v>
      </c>
      <c r="B704" s="96">
        <v>6024</v>
      </c>
      <c r="C704" s="7">
        <v>2310</v>
      </c>
      <c r="D704" s="7">
        <f t="shared" si="70"/>
        <v>3714</v>
      </c>
      <c r="E704" s="97">
        <v>1950</v>
      </c>
      <c r="F704" s="7">
        <v>650</v>
      </c>
      <c r="G704" s="7">
        <f t="shared" si="71"/>
        <v>1300</v>
      </c>
      <c r="H704" s="98">
        <v>0</v>
      </c>
      <c r="I704" s="7">
        <v>0</v>
      </c>
      <c r="J704" s="7"/>
      <c r="K704" s="99">
        <f t="shared" si="76"/>
        <v>7974</v>
      </c>
      <c r="L704" s="7">
        <v>1200</v>
      </c>
      <c r="M704" s="7">
        <v>7000</v>
      </c>
      <c r="N704" s="7">
        <v>0</v>
      </c>
      <c r="O704" s="7">
        <v>0</v>
      </c>
      <c r="P704" s="7">
        <v>7140.7800000000007</v>
      </c>
      <c r="Q704" s="7">
        <v>1256.7299999999998</v>
      </c>
      <c r="R704" s="113">
        <f t="shared" si="72"/>
        <v>0.38346613545816732</v>
      </c>
      <c r="S704" s="113">
        <f t="shared" si="73"/>
        <v>0.33333333333333331</v>
      </c>
      <c r="T704" s="113">
        <f t="shared" si="74"/>
        <v>0</v>
      </c>
      <c r="U704" s="113">
        <f t="shared" si="75"/>
        <v>0.23893315626383357</v>
      </c>
    </row>
    <row r="705" spans="1:21" x14ac:dyDescent="0.45">
      <c r="A705" s="95">
        <v>45265</v>
      </c>
      <c r="B705" s="96">
        <v>6024</v>
      </c>
      <c r="C705" s="7">
        <v>2310</v>
      </c>
      <c r="D705" s="7">
        <f t="shared" si="70"/>
        <v>3714</v>
      </c>
      <c r="E705" s="97">
        <v>1950</v>
      </c>
      <c r="F705" s="7">
        <v>650</v>
      </c>
      <c r="G705" s="7">
        <f t="shared" si="71"/>
        <v>1300</v>
      </c>
      <c r="H705" s="98">
        <v>0</v>
      </c>
      <c r="I705" s="7">
        <v>0</v>
      </c>
      <c r="J705" s="7"/>
      <c r="K705" s="99">
        <f t="shared" si="76"/>
        <v>7974</v>
      </c>
      <c r="L705" s="7">
        <v>1200</v>
      </c>
      <c r="M705" s="7">
        <v>7000</v>
      </c>
      <c r="N705" s="7">
        <v>0</v>
      </c>
      <c r="O705" s="7">
        <v>0</v>
      </c>
      <c r="P705" s="7">
        <v>7140.7800000000007</v>
      </c>
      <c r="Q705" s="7">
        <v>783.43999999999983</v>
      </c>
      <c r="R705" s="113">
        <f t="shared" si="72"/>
        <v>0.38346613545816732</v>
      </c>
      <c r="S705" s="113">
        <f t="shared" si="73"/>
        <v>0.33333333333333331</v>
      </c>
      <c r="T705" s="113">
        <f t="shared" si="74"/>
        <v>0</v>
      </c>
      <c r="U705" s="113">
        <f t="shared" si="75"/>
        <v>0.23893315626383357</v>
      </c>
    </row>
    <row r="706" spans="1:21" x14ac:dyDescent="0.45">
      <c r="A706" s="95">
        <v>45266</v>
      </c>
      <c r="B706" s="96">
        <v>6024</v>
      </c>
      <c r="C706" s="7">
        <v>2310</v>
      </c>
      <c r="D706" s="7">
        <f t="shared" ref="D706:D769" si="77">B706-C706</f>
        <v>3714</v>
      </c>
      <c r="E706" s="97">
        <v>1950</v>
      </c>
      <c r="F706" s="7">
        <v>650</v>
      </c>
      <c r="G706" s="7">
        <f t="shared" ref="G706:G769" si="78">E706-F706</f>
        <v>1300</v>
      </c>
      <c r="H706" s="98">
        <v>0</v>
      </c>
      <c r="I706" s="7">
        <v>0</v>
      </c>
      <c r="J706" s="7"/>
      <c r="K706" s="99">
        <f t="shared" si="76"/>
        <v>7974</v>
      </c>
      <c r="L706" s="7">
        <v>1200</v>
      </c>
      <c r="M706" s="7">
        <v>7000</v>
      </c>
      <c r="N706" s="7">
        <v>0</v>
      </c>
      <c r="O706" s="7">
        <v>0</v>
      </c>
      <c r="P706" s="7">
        <v>7140.7800000000007</v>
      </c>
      <c r="Q706" s="7">
        <v>664.4799999999999</v>
      </c>
      <c r="R706" s="113">
        <f t="shared" si="72"/>
        <v>0.38346613545816732</v>
      </c>
      <c r="S706" s="113">
        <f t="shared" si="73"/>
        <v>0.33333333333333331</v>
      </c>
      <c r="T706" s="113">
        <f t="shared" si="74"/>
        <v>0</v>
      </c>
      <c r="U706" s="113">
        <f t="shared" si="75"/>
        <v>0.23893315626383357</v>
      </c>
    </row>
    <row r="707" spans="1:21" x14ac:dyDescent="0.45">
      <c r="A707" s="95">
        <v>45267</v>
      </c>
      <c r="B707" s="96">
        <v>6334</v>
      </c>
      <c r="C707" s="7">
        <v>2620</v>
      </c>
      <c r="D707" s="7">
        <f t="shared" si="77"/>
        <v>3714</v>
      </c>
      <c r="E707" s="97">
        <v>1950</v>
      </c>
      <c r="F707" s="7">
        <v>650</v>
      </c>
      <c r="G707" s="7">
        <f t="shared" si="78"/>
        <v>1300</v>
      </c>
      <c r="H707" s="98">
        <v>0</v>
      </c>
      <c r="I707" s="7">
        <v>0</v>
      </c>
      <c r="J707" s="7"/>
      <c r="K707" s="99">
        <f t="shared" si="76"/>
        <v>8284</v>
      </c>
      <c r="L707" s="7">
        <v>2200</v>
      </c>
      <c r="M707" s="7">
        <v>7000</v>
      </c>
      <c r="N707" s="7">
        <v>0</v>
      </c>
      <c r="O707" s="7">
        <v>0</v>
      </c>
      <c r="P707" s="7">
        <v>7140.7800000000007</v>
      </c>
      <c r="Q707" s="7">
        <v>828.98</v>
      </c>
      <c r="R707" s="113">
        <f t="shared" ref="R707:R770" si="79">C707/B707</f>
        <v>0.4136406694032207</v>
      </c>
      <c r="S707" s="113">
        <f t="shared" ref="S707:S770" si="80">F707/E707</f>
        <v>0.33333333333333331</v>
      </c>
      <c r="T707" s="113">
        <f t="shared" ref="T707:T770" si="81">IF(H707=0,0,I707/H707)</f>
        <v>0</v>
      </c>
      <c r="U707" s="113">
        <f t="shared" ref="U707:U770" si="82">AVERAGE(R707:T707)</f>
        <v>0.248991334245518</v>
      </c>
    </row>
    <row r="708" spans="1:21" x14ac:dyDescent="0.45">
      <c r="A708" s="95">
        <v>45268</v>
      </c>
      <c r="B708" s="96">
        <v>6334</v>
      </c>
      <c r="C708" s="7">
        <v>2620</v>
      </c>
      <c r="D708" s="7">
        <f t="shared" si="77"/>
        <v>3714</v>
      </c>
      <c r="E708" s="97">
        <v>1950</v>
      </c>
      <c r="F708" s="7">
        <v>650</v>
      </c>
      <c r="G708" s="7">
        <f t="shared" si="78"/>
        <v>1300</v>
      </c>
      <c r="H708" s="98">
        <v>0</v>
      </c>
      <c r="I708" s="7">
        <v>0</v>
      </c>
      <c r="J708" s="7"/>
      <c r="K708" s="99">
        <f t="shared" ref="K708:K771" si="83">B708+E708+H708</f>
        <v>8284</v>
      </c>
      <c r="L708" s="7">
        <v>2200</v>
      </c>
      <c r="M708" s="7">
        <v>7000</v>
      </c>
      <c r="N708" s="7">
        <v>0</v>
      </c>
      <c r="O708" s="7">
        <v>0</v>
      </c>
      <c r="P708" s="7">
        <v>7140.7800000000007</v>
      </c>
      <c r="Q708" s="7">
        <v>897.56999999999971</v>
      </c>
      <c r="R708" s="113">
        <f t="shared" si="79"/>
        <v>0.4136406694032207</v>
      </c>
      <c r="S708" s="113">
        <f t="shared" si="80"/>
        <v>0.33333333333333331</v>
      </c>
      <c r="T708" s="113">
        <f t="shared" si="81"/>
        <v>0</v>
      </c>
      <c r="U708" s="113">
        <f t="shared" si="82"/>
        <v>0.248991334245518</v>
      </c>
    </row>
    <row r="709" spans="1:21" x14ac:dyDescent="0.45">
      <c r="A709" s="95">
        <v>45269</v>
      </c>
      <c r="B709" s="96">
        <v>6334</v>
      </c>
      <c r="C709" s="7">
        <v>2620</v>
      </c>
      <c r="D709" s="7">
        <f t="shared" si="77"/>
        <v>3714</v>
      </c>
      <c r="E709" s="97">
        <v>1950</v>
      </c>
      <c r="F709" s="7">
        <v>650</v>
      </c>
      <c r="G709" s="7">
        <f t="shared" si="78"/>
        <v>1300</v>
      </c>
      <c r="H709" s="98">
        <v>0</v>
      </c>
      <c r="I709" s="7">
        <v>0</v>
      </c>
      <c r="J709" s="7"/>
      <c r="K709" s="99">
        <f t="shared" si="83"/>
        <v>8284</v>
      </c>
      <c r="L709" s="7">
        <v>2200</v>
      </c>
      <c r="M709" s="7">
        <v>7000</v>
      </c>
      <c r="N709" s="7">
        <v>0</v>
      </c>
      <c r="O709" s="7">
        <v>0</v>
      </c>
      <c r="P709" s="7">
        <v>7140.7800000000007</v>
      </c>
      <c r="Q709" s="7">
        <v>897.56999999999971</v>
      </c>
      <c r="R709" s="113">
        <f t="shared" si="79"/>
        <v>0.4136406694032207</v>
      </c>
      <c r="S709" s="113">
        <f t="shared" si="80"/>
        <v>0.33333333333333331</v>
      </c>
      <c r="T709" s="113">
        <f t="shared" si="81"/>
        <v>0</v>
      </c>
      <c r="U709" s="113">
        <f t="shared" si="82"/>
        <v>0.248991334245518</v>
      </c>
    </row>
    <row r="710" spans="1:21" x14ac:dyDescent="0.45">
      <c r="A710" s="95">
        <v>45270</v>
      </c>
      <c r="B710" s="96">
        <v>6334</v>
      </c>
      <c r="C710" s="7">
        <v>2620</v>
      </c>
      <c r="D710" s="7">
        <f t="shared" si="77"/>
        <v>3714</v>
      </c>
      <c r="E710" s="97">
        <v>1950</v>
      </c>
      <c r="F710" s="7">
        <v>650</v>
      </c>
      <c r="G710" s="7">
        <f t="shared" si="78"/>
        <v>1300</v>
      </c>
      <c r="H710" s="98">
        <v>0</v>
      </c>
      <c r="I710" s="7">
        <v>0</v>
      </c>
      <c r="J710" s="7"/>
      <c r="K710" s="99">
        <f t="shared" si="83"/>
        <v>8284</v>
      </c>
      <c r="L710" s="7">
        <v>2200</v>
      </c>
      <c r="M710" s="7">
        <v>7000</v>
      </c>
      <c r="N710" s="7">
        <v>0</v>
      </c>
      <c r="O710" s="7">
        <v>0</v>
      </c>
      <c r="P710" s="7">
        <v>7140.7800000000007</v>
      </c>
      <c r="Q710" s="7">
        <v>897.56999999999971</v>
      </c>
      <c r="R710" s="113">
        <f t="shared" si="79"/>
        <v>0.4136406694032207</v>
      </c>
      <c r="S710" s="113">
        <f t="shared" si="80"/>
        <v>0.33333333333333331</v>
      </c>
      <c r="T710" s="113">
        <f t="shared" si="81"/>
        <v>0</v>
      </c>
      <c r="U710" s="113">
        <f t="shared" si="82"/>
        <v>0.248991334245518</v>
      </c>
    </row>
    <row r="711" spans="1:21" x14ac:dyDescent="0.45">
      <c r="A711" s="95">
        <v>45271</v>
      </c>
      <c r="B711" s="96">
        <v>6334</v>
      </c>
      <c r="C711" s="7">
        <v>2620</v>
      </c>
      <c r="D711" s="7">
        <f t="shared" si="77"/>
        <v>3714</v>
      </c>
      <c r="E711" s="97">
        <v>1950</v>
      </c>
      <c r="F711" s="7">
        <v>650</v>
      </c>
      <c r="G711" s="7">
        <f t="shared" si="78"/>
        <v>1300</v>
      </c>
      <c r="H711" s="98">
        <v>0</v>
      </c>
      <c r="I711" s="7">
        <v>0</v>
      </c>
      <c r="J711" s="7"/>
      <c r="K711" s="99">
        <f t="shared" si="83"/>
        <v>8284</v>
      </c>
      <c r="L711" s="7">
        <v>2200</v>
      </c>
      <c r="M711" s="7">
        <v>7000</v>
      </c>
      <c r="N711" s="7">
        <v>0</v>
      </c>
      <c r="O711" s="7">
        <v>0</v>
      </c>
      <c r="P711" s="7">
        <v>7140.7800000000007</v>
      </c>
      <c r="Q711" s="7">
        <v>154.83000000000004</v>
      </c>
      <c r="R711" s="113">
        <f t="shared" si="79"/>
        <v>0.4136406694032207</v>
      </c>
      <c r="S711" s="113">
        <f t="shared" si="80"/>
        <v>0.33333333333333331</v>
      </c>
      <c r="T711" s="113">
        <f t="shared" si="81"/>
        <v>0</v>
      </c>
      <c r="U711" s="113">
        <f t="shared" si="82"/>
        <v>0.248991334245518</v>
      </c>
    </row>
    <row r="712" spans="1:21" x14ac:dyDescent="0.45">
      <c r="A712" s="95">
        <v>45272</v>
      </c>
      <c r="B712" s="96">
        <v>6334</v>
      </c>
      <c r="C712" s="7">
        <v>2620</v>
      </c>
      <c r="D712" s="7">
        <f t="shared" si="77"/>
        <v>3714</v>
      </c>
      <c r="E712" s="97">
        <v>1950</v>
      </c>
      <c r="F712" s="7">
        <v>650</v>
      </c>
      <c r="G712" s="7">
        <f t="shared" si="78"/>
        <v>1300</v>
      </c>
      <c r="H712" s="98">
        <v>0</v>
      </c>
      <c r="I712" s="7">
        <v>0</v>
      </c>
      <c r="J712" s="7"/>
      <c r="K712" s="99">
        <f t="shared" si="83"/>
        <v>8284</v>
      </c>
      <c r="L712" s="7">
        <v>2200</v>
      </c>
      <c r="M712" s="7">
        <v>7000</v>
      </c>
      <c r="N712" s="7">
        <v>0</v>
      </c>
      <c r="O712" s="7">
        <v>0</v>
      </c>
      <c r="P712" s="7">
        <v>7140.7800000000007</v>
      </c>
      <c r="Q712" s="7">
        <v>119.28000000000013</v>
      </c>
      <c r="R712" s="113">
        <f t="shared" si="79"/>
        <v>0.4136406694032207</v>
      </c>
      <c r="S712" s="113">
        <f t="shared" si="80"/>
        <v>0.33333333333333331</v>
      </c>
      <c r="T712" s="113">
        <f t="shared" si="81"/>
        <v>0</v>
      </c>
      <c r="U712" s="113">
        <f t="shared" si="82"/>
        <v>0.248991334245518</v>
      </c>
    </row>
    <row r="713" spans="1:21" x14ac:dyDescent="0.45">
      <c r="A713" s="95">
        <v>45273</v>
      </c>
      <c r="B713" s="96">
        <v>6334</v>
      </c>
      <c r="C713" s="7">
        <v>2620</v>
      </c>
      <c r="D713" s="7">
        <f t="shared" si="77"/>
        <v>3714</v>
      </c>
      <c r="E713" s="97">
        <v>1950</v>
      </c>
      <c r="F713" s="7">
        <v>650</v>
      </c>
      <c r="G713" s="7">
        <f t="shared" si="78"/>
        <v>1300</v>
      </c>
      <c r="H713" s="98">
        <v>0</v>
      </c>
      <c r="I713" s="7">
        <v>0</v>
      </c>
      <c r="J713" s="7"/>
      <c r="K713" s="99">
        <f t="shared" si="83"/>
        <v>8284</v>
      </c>
      <c r="L713" s="7">
        <v>2200</v>
      </c>
      <c r="M713" s="7">
        <v>7000</v>
      </c>
      <c r="N713" s="7">
        <v>0</v>
      </c>
      <c r="O713" s="7">
        <v>0</v>
      </c>
      <c r="P713" s="7">
        <v>7140.7800000000007</v>
      </c>
      <c r="Q713" s="7">
        <v>6408.02</v>
      </c>
      <c r="R713" s="113">
        <f t="shared" si="79"/>
        <v>0.4136406694032207</v>
      </c>
      <c r="S713" s="113">
        <f t="shared" si="80"/>
        <v>0.33333333333333331</v>
      </c>
      <c r="T713" s="113">
        <f t="shared" si="81"/>
        <v>0</v>
      </c>
      <c r="U713" s="113">
        <f t="shared" si="82"/>
        <v>0.248991334245518</v>
      </c>
    </row>
    <row r="714" spans="1:21" x14ac:dyDescent="0.45">
      <c r="A714" s="95">
        <v>45274</v>
      </c>
      <c r="B714" s="96">
        <v>6534</v>
      </c>
      <c r="C714" s="7">
        <v>2620</v>
      </c>
      <c r="D714" s="7">
        <f t="shared" si="77"/>
        <v>3914</v>
      </c>
      <c r="E714" s="97">
        <v>1950</v>
      </c>
      <c r="F714" s="7">
        <v>650</v>
      </c>
      <c r="G714" s="7">
        <f t="shared" si="78"/>
        <v>1300</v>
      </c>
      <c r="H714" s="98">
        <v>0</v>
      </c>
      <c r="I714" s="7">
        <v>0</v>
      </c>
      <c r="J714" s="7"/>
      <c r="K714" s="99">
        <f t="shared" si="83"/>
        <v>8484</v>
      </c>
      <c r="L714" s="7">
        <v>2200</v>
      </c>
      <c r="M714" s="7">
        <v>6050</v>
      </c>
      <c r="N714" s="7">
        <v>0</v>
      </c>
      <c r="O714" s="7">
        <v>0</v>
      </c>
      <c r="P714" s="7">
        <v>7140.7800000000007</v>
      </c>
      <c r="Q714" s="7">
        <v>710.31999999999994</v>
      </c>
      <c r="R714" s="113">
        <f t="shared" si="79"/>
        <v>0.40097949188858278</v>
      </c>
      <c r="S714" s="113">
        <f t="shared" si="80"/>
        <v>0.33333333333333331</v>
      </c>
      <c r="T714" s="113">
        <f t="shared" si="81"/>
        <v>0</v>
      </c>
      <c r="U714" s="113">
        <f t="shared" si="82"/>
        <v>0.24477094174063871</v>
      </c>
    </row>
    <row r="715" spans="1:21" x14ac:dyDescent="0.45">
      <c r="A715" s="95">
        <v>45275</v>
      </c>
      <c r="B715" s="96">
        <v>6534</v>
      </c>
      <c r="C715" s="7">
        <v>2620</v>
      </c>
      <c r="D715" s="7">
        <f t="shared" si="77"/>
        <v>3914</v>
      </c>
      <c r="E715" s="97">
        <v>1950</v>
      </c>
      <c r="F715" s="7">
        <v>650</v>
      </c>
      <c r="G715" s="7">
        <f t="shared" si="78"/>
        <v>1300</v>
      </c>
      <c r="H715" s="98">
        <v>0</v>
      </c>
      <c r="I715" s="7">
        <v>0</v>
      </c>
      <c r="J715" s="7"/>
      <c r="K715" s="99">
        <f t="shared" si="83"/>
        <v>8484</v>
      </c>
      <c r="L715" s="7">
        <v>2200</v>
      </c>
      <c r="M715" s="7">
        <v>6050</v>
      </c>
      <c r="N715" s="7">
        <v>0</v>
      </c>
      <c r="O715" s="7">
        <v>0</v>
      </c>
      <c r="P715" s="7">
        <v>7140.7800000000007</v>
      </c>
      <c r="Q715" s="7">
        <v>455.48999999999984</v>
      </c>
      <c r="R715" s="113">
        <f t="shared" si="79"/>
        <v>0.40097949188858278</v>
      </c>
      <c r="S715" s="113">
        <f t="shared" si="80"/>
        <v>0.33333333333333331</v>
      </c>
      <c r="T715" s="113">
        <f t="shared" si="81"/>
        <v>0</v>
      </c>
      <c r="U715" s="113">
        <f t="shared" si="82"/>
        <v>0.24477094174063871</v>
      </c>
    </row>
    <row r="716" spans="1:21" x14ac:dyDescent="0.45">
      <c r="A716" s="95">
        <v>45276</v>
      </c>
      <c r="B716" s="96">
        <v>6534</v>
      </c>
      <c r="C716" s="7">
        <v>2620</v>
      </c>
      <c r="D716" s="7">
        <f t="shared" si="77"/>
        <v>3914</v>
      </c>
      <c r="E716" s="97">
        <v>1950</v>
      </c>
      <c r="F716" s="7">
        <v>650</v>
      </c>
      <c r="G716" s="7">
        <f t="shared" si="78"/>
        <v>1300</v>
      </c>
      <c r="H716" s="98">
        <v>0</v>
      </c>
      <c r="I716" s="7">
        <v>0</v>
      </c>
      <c r="J716" s="7"/>
      <c r="K716" s="99">
        <f t="shared" si="83"/>
        <v>8484</v>
      </c>
      <c r="L716" s="7">
        <v>2200</v>
      </c>
      <c r="M716" s="7">
        <v>6050</v>
      </c>
      <c r="N716" s="7">
        <v>0</v>
      </c>
      <c r="O716" s="7">
        <v>0</v>
      </c>
      <c r="P716" s="7">
        <v>7140.7800000000007</v>
      </c>
      <c r="Q716" s="7">
        <v>455.48999999999984</v>
      </c>
      <c r="R716" s="113">
        <f t="shared" si="79"/>
        <v>0.40097949188858278</v>
      </c>
      <c r="S716" s="113">
        <f t="shared" si="80"/>
        <v>0.33333333333333331</v>
      </c>
      <c r="T716" s="113">
        <f t="shared" si="81"/>
        <v>0</v>
      </c>
      <c r="U716" s="113">
        <f t="shared" si="82"/>
        <v>0.24477094174063871</v>
      </c>
    </row>
    <row r="717" spans="1:21" x14ac:dyDescent="0.45">
      <c r="A717" s="95">
        <v>45277</v>
      </c>
      <c r="B717" s="96">
        <v>6534</v>
      </c>
      <c r="C717" s="7">
        <v>2620</v>
      </c>
      <c r="D717" s="7">
        <f t="shared" si="77"/>
        <v>3914</v>
      </c>
      <c r="E717" s="97">
        <v>1950</v>
      </c>
      <c r="F717" s="7">
        <v>650</v>
      </c>
      <c r="G717" s="7">
        <f t="shared" si="78"/>
        <v>1300</v>
      </c>
      <c r="H717" s="98">
        <v>0</v>
      </c>
      <c r="I717" s="7">
        <v>0</v>
      </c>
      <c r="J717" s="7"/>
      <c r="K717" s="99">
        <f t="shared" si="83"/>
        <v>8484</v>
      </c>
      <c r="L717" s="7">
        <v>2200</v>
      </c>
      <c r="M717" s="7">
        <v>6050</v>
      </c>
      <c r="N717" s="7">
        <v>0</v>
      </c>
      <c r="O717" s="7">
        <v>0</v>
      </c>
      <c r="P717" s="7">
        <v>7140.7800000000007</v>
      </c>
      <c r="Q717" s="7">
        <v>455.48999999999984</v>
      </c>
      <c r="R717" s="113">
        <f t="shared" si="79"/>
        <v>0.40097949188858278</v>
      </c>
      <c r="S717" s="113">
        <f t="shared" si="80"/>
        <v>0.33333333333333331</v>
      </c>
      <c r="T717" s="113">
        <f t="shared" si="81"/>
        <v>0</v>
      </c>
      <c r="U717" s="113">
        <f t="shared" si="82"/>
        <v>0.24477094174063871</v>
      </c>
    </row>
    <row r="718" spans="1:21" x14ac:dyDescent="0.45">
      <c r="A718" s="95">
        <v>45278</v>
      </c>
      <c r="B718" s="96">
        <v>6534</v>
      </c>
      <c r="C718" s="7">
        <v>2620</v>
      </c>
      <c r="D718" s="7">
        <f t="shared" si="77"/>
        <v>3914</v>
      </c>
      <c r="E718" s="97">
        <v>1950</v>
      </c>
      <c r="F718" s="7">
        <v>650</v>
      </c>
      <c r="G718" s="7">
        <f t="shared" si="78"/>
        <v>1300</v>
      </c>
      <c r="H718" s="98">
        <v>0</v>
      </c>
      <c r="I718" s="7">
        <v>0</v>
      </c>
      <c r="J718" s="7"/>
      <c r="K718" s="99">
        <f t="shared" si="83"/>
        <v>8484</v>
      </c>
      <c r="L718" s="7">
        <v>2200</v>
      </c>
      <c r="M718" s="7">
        <v>6050</v>
      </c>
      <c r="N718" s="7">
        <v>0</v>
      </c>
      <c r="O718" s="7">
        <v>0</v>
      </c>
      <c r="P718" s="7">
        <v>7140.7800000000007</v>
      </c>
      <c r="Q718" s="7">
        <v>-2.0200000000000955</v>
      </c>
      <c r="R718" s="113">
        <f t="shared" si="79"/>
        <v>0.40097949188858278</v>
      </c>
      <c r="S718" s="113">
        <f t="shared" si="80"/>
        <v>0.33333333333333331</v>
      </c>
      <c r="T718" s="113">
        <f t="shared" si="81"/>
        <v>0</v>
      </c>
      <c r="U718" s="113">
        <f t="shared" si="82"/>
        <v>0.24477094174063871</v>
      </c>
    </row>
    <row r="719" spans="1:21" x14ac:dyDescent="0.45">
      <c r="A719" s="95">
        <v>45279</v>
      </c>
      <c r="B719" s="96">
        <v>6534</v>
      </c>
      <c r="C719" s="7">
        <v>2620</v>
      </c>
      <c r="D719" s="7">
        <f t="shared" si="77"/>
        <v>3914</v>
      </c>
      <c r="E719" s="97">
        <v>1950</v>
      </c>
      <c r="F719" s="7">
        <v>650</v>
      </c>
      <c r="G719" s="7">
        <f t="shared" si="78"/>
        <v>1300</v>
      </c>
      <c r="H719" s="98">
        <v>0</v>
      </c>
      <c r="I719" s="7">
        <v>0</v>
      </c>
      <c r="J719" s="7"/>
      <c r="K719" s="99">
        <f t="shared" si="83"/>
        <v>8484</v>
      </c>
      <c r="L719" s="7">
        <v>2200</v>
      </c>
      <c r="M719" s="7">
        <v>6050</v>
      </c>
      <c r="N719" s="7">
        <v>0</v>
      </c>
      <c r="O719" s="7">
        <v>0</v>
      </c>
      <c r="P719" s="7">
        <v>7140.7800000000007</v>
      </c>
      <c r="Q719" s="7">
        <v>-342.29000000000019</v>
      </c>
      <c r="R719" s="113">
        <f t="shared" si="79"/>
        <v>0.40097949188858278</v>
      </c>
      <c r="S719" s="113">
        <f t="shared" si="80"/>
        <v>0.33333333333333331</v>
      </c>
      <c r="T719" s="113">
        <f t="shared" si="81"/>
        <v>0</v>
      </c>
      <c r="U719" s="113">
        <f t="shared" si="82"/>
        <v>0.24477094174063871</v>
      </c>
    </row>
    <row r="720" spans="1:21" x14ac:dyDescent="0.45">
      <c r="A720" s="95">
        <v>45280</v>
      </c>
      <c r="B720" s="96">
        <v>6534</v>
      </c>
      <c r="C720" s="7">
        <v>2620</v>
      </c>
      <c r="D720" s="7">
        <f t="shared" si="77"/>
        <v>3914</v>
      </c>
      <c r="E720" s="97">
        <v>1950</v>
      </c>
      <c r="F720" s="7">
        <v>650</v>
      </c>
      <c r="G720" s="7">
        <f t="shared" si="78"/>
        <v>1300</v>
      </c>
      <c r="H720" s="98">
        <v>0</v>
      </c>
      <c r="I720" s="7">
        <v>0</v>
      </c>
      <c r="J720" s="7"/>
      <c r="K720" s="99">
        <f t="shared" si="83"/>
        <v>8484</v>
      </c>
      <c r="L720" s="7">
        <v>2200</v>
      </c>
      <c r="M720" s="7">
        <v>6050</v>
      </c>
      <c r="N720" s="7">
        <v>0</v>
      </c>
      <c r="O720" s="7">
        <v>0</v>
      </c>
      <c r="P720" s="7">
        <v>7140.7800000000007</v>
      </c>
      <c r="Q720" s="7">
        <v>-314.65999999999985</v>
      </c>
      <c r="R720" s="113">
        <f t="shared" si="79"/>
        <v>0.40097949188858278</v>
      </c>
      <c r="S720" s="113">
        <f t="shared" si="80"/>
        <v>0.33333333333333331</v>
      </c>
      <c r="T720" s="113">
        <f t="shared" si="81"/>
        <v>0</v>
      </c>
      <c r="U720" s="113">
        <f t="shared" si="82"/>
        <v>0.24477094174063871</v>
      </c>
    </row>
    <row r="721" spans="1:21" x14ac:dyDescent="0.45">
      <c r="A721" s="95">
        <v>45281</v>
      </c>
      <c r="B721" s="96">
        <v>6739</v>
      </c>
      <c r="C721" s="7">
        <v>2825</v>
      </c>
      <c r="D721" s="7">
        <f t="shared" si="77"/>
        <v>3914</v>
      </c>
      <c r="E721" s="97">
        <v>1950</v>
      </c>
      <c r="F721" s="7">
        <v>650</v>
      </c>
      <c r="G721" s="7">
        <f t="shared" si="78"/>
        <v>1300</v>
      </c>
      <c r="H721" s="98">
        <v>0</v>
      </c>
      <c r="I721" s="7">
        <v>0</v>
      </c>
      <c r="J721" s="7"/>
      <c r="K721" s="99">
        <f t="shared" si="83"/>
        <v>8689</v>
      </c>
      <c r="L721" s="7">
        <v>2200</v>
      </c>
      <c r="M721" s="7">
        <v>6050</v>
      </c>
      <c r="N721" s="7">
        <v>0</v>
      </c>
      <c r="O721" s="7">
        <v>0</v>
      </c>
      <c r="P721" s="7">
        <v>7140.7800000000007</v>
      </c>
      <c r="Q721" s="7">
        <v>356.44000000000005</v>
      </c>
      <c r="R721" s="113">
        <f t="shared" si="79"/>
        <v>0.41920166196765096</v>
      </c>
      <c r="S721" s="113">
        <f t="shared" si="80"/>
        <v>0.33333333333333331</v>
      </c>
      <c r="T721" s="113">
        <f t="shared" si="81"/>
        <v>0</v>
      </c>
      <c r="U721" s="113">
        <f t="shared" si="82"/>
        <v>0.25084499843366143</v>
      </c>
    </row>
    <row r="722" spans="1:21" x14ac:dyDescent="0.45">
      <c r="A722" s="95">
        <v>45282</v>
      </c>
      <c r="B722" s="96">
        <v>6739</v>
      </c>
      <c r="C722" s="7">
        <v>2825</v>
      </c>
      <c r="D722" s="7">
        <f t="shared" si="77"/>
        <v>3914</v>
      </c>
      <c r="E722" s="97">
        <v>1950</v>
      </c>
      <c r="F722" s="7">
        <v>650</v>
      </c>
      <c r="G722" s="7">
        <f t="shared" si="78"/>
        <v>1300</v>
      </c>
      <c r="H722" s="98">
        <v>0</v>
      </c>
      <c r="I722" s="7">
        <v>0</v>
      </c>
      <c r="J722" s="7"/>
      <c r="K722" s="99">
        <f t="shared" si="83"/>
        <v>8689</v>
      </c>
      <c r="L722" s="7">
        <v>2200</v>
      </c>
      <c r="M722" s="7">
        <v>6050</v>
      </c>
      <c r="N722" s="7">
        <v>0</v>
      </c>
      <c r="O722" s="7">
        <v>0</v>
      </c>
      <c r="P722" s="7">
        <v>7140.7800000000007</v>
      </c>
      <c r="Q722" s="7">
        <v>356.44000000000005</v>
      </c>
      <c r="R722" s="113">
        <f t="shared" si="79"/>
        <v>0.41920166196765096</v>
      </c>
      <c r="S722" s="113">
        <f t="shared" si="80"/>
        <v>0.33333333333333331</v>
      </c>
      <c r="T722" s="113">
        <f t="shared" si="81"/>
        <v>0</v>
      </c>
      <c r="U722" s="113">
        <f t="shared" si="82"/>
        <v>0.25084499843366143</v>
      </c>
    </row>
    <row r="723" spans="1:21" x14ac:dyDescent="0.45">
      <c r="A723" s="95">
        <v>45283</v>
      </c>
      <c r="B723" s="96">
        <v>6739</v>
      </c>
      <c r="C723" s="7">
        <v>2825</v>
      </c>
      <c r="D723" s="7">
        <f t="shared" si="77"/>
        <v>3914</v>
      </c>
      <c r="E723" s="97">
        <v>1950</v>
      </c>
      <c r="F723" s="7">
        <v>650</v>
      </c>
      <c r="G723" s="7">
        <f t="shared" si="78"/>
        <v>1300</v>
      </c>
      <c r="H723" s="98">
        <v>0</v>
      </c>
      <c r="I723" s="7">
        <v>0</v>
      </c>
      <c r="J723" s="7"/>
      <c r="K723" s="99">
        <f t="shared" si="83"/>
        <v>8689</v>
      </c>
      <c r="L723" s="7">
        <v>2200</v>
      </c>
      <c r="M723" s="7">
        <v>6050</v>
      </c>
      <c r="N723" s="7">
        <v>0</v>
      </c>
      <c r="O723" s="7">
        <v>0</v>
      </c>
      <c r="P723" s="7">
        <v>7140.7800000000007</v>
      </c>
      <c r="Q723" s="7">
        <v>356.44000000000005</v>
      </c>
      <c r="R723" s="113">
        <f t="shared" si="79"/>
        <v>0.41920166196765096</v>
      </c>
      <c r="S723" s="113">
        <f t="shared" si="80"/>
        <v>0.33333333333333331</v>
      </c>
      <c r="T723" s="113">
        <f t="shared" si="81"/>
        <v>0</v>
      </c>
      <c r="U723" s="113">
        <f t="shared" si="82"/>
        <v>0.25084499843366143</v>
      </c>
    </row>
    <row r="724" spans="1:21" x14ac:dyDescent="0.45">
      <c r="A724" s="95">
        <v>45284</v>
      </c>
      <c r="B724" s="96">
        <v>6739</v>
      </c>
      <c r="C724" s="7">
        <v>2825</v>
      </c>
      <c r="D724" s="7">
        <f t="shared" si="77"/>
        <v>3914</v>
      </c>
      <c r="E724" s="97">
        <v>1950</v>
      </c>
      <c r="F724" s="7">
        <v>650</v>
      </c>
      <c r="G724" s="7">
        <f t="shared" si="78"/>
        <v>1300</v>
      </c>
      <c r="H724" s="98">
        <v>0</v>
      </c>
      <c r="I724" s="7">
        <v>0</v>
      </c>
      <c r="J724" s="7"/>
      <c r="K724" s="99">
        <f t="shared" si="83"/>
        <v>8689</v>
      </c>
      <c r="L724" s="7">
        <v>2200</v>
      </c>
      <c r="M724" s="7">
        <v>6050</v>
      </c>
      <c r="N724" s="7">
        <v>0</v>
      </c>
      <c r="O724" s="7">
        <v>0</v>
      </c>
      <c r="P724" s="7">
        <v>7140.7800000000007</v>
      </c>
      <c r="Q724" s="7">
        <v>356.44000000000005</v>
      </c>
      <c r="R724" s="113">
        <f t="shared" si="79"/>
        <v>0.41920166196765096</v>
      </c>
      <c r="S724" s="113">
        <f t="shared" si="80"/>
        <v>0.33333333333333331</v>
      </c>
      <c r="T724" s="113">
        <f t="shared" si="81"/>
        <v>0</v>
      </c>
      <c r="U724" s="113">
        <f t="shared" si="82"/>
        <v>0.25084499843366143</v>
      </c>
    </row>
    <row r="725" spans="1:21" x14ac:dyDescent="0.45">
      <c r="A725" s="95">
        <v>45285</v>
      </c>
      <c r="B725" s="96">
        <v>6739</v>
      </c>
      <c r="C725" s="7">
        <v>2825</v>
      </c>
      <c r="D725" s="7">
        <f t="shared" si="77"/>
        <v>3914</v>
      </c>
      <c r="E725" s="97">
        <v>1950</v>
      </c>
      <c r="F725" s="7">
        <v>650</v>
      </c>
      <c r="G725" s="7">
        <f t="shared" si="78"/>
        <v>1300</v>
      </c>
      <c r="H725" s="98">
        <v>0</v>
      </c>
      <c r="I725" s="7">
        <v>0</v>
      </c>
      <c r="J725" s="7"/>
      <c r="K725" s="99">
        <f t="shared" si="83"/>
        <v>8689</v>
      </c>
      <c r="L725" s="7">
        <v>2200</v>
      </c>
      <c r="M725" s="7">
        <v>6050</v>
      </c>
      <c r="N725" s="7">
        <v>0</v>
      </c>
      <c r="O725" s="7">
        <v>0</v>
      </c>
      <c r="P725" s="7">
        <v>7150.59</v>
      </c>
      <c r="Q725" s="7">
        <v>346.63000000000022</v>
      </c>
      <c r="R725" s="113">
        <f t="shared" si="79"/>
        <v>0.41920166196765096</v>
      </c>
      <c r="S725" s="113">
        <f t="shared" si="80"/>
        <v>0.33333333333333331</v>
      </c>
      <c r="T725" s="113">
        <f t="shared" si="81"/>
        <v>0</v>
      </c>
      <c r="U725" s="113">
        <f t="shared" si="82"/>
        <v>0.25084499843366143</v>
      </c>
    </row>
    <row r="726" spans="1:21" x14ac:dyDescent="0.45">
      <c r="A726" s="95">
        <v>45286</v>
      </c>
      <c r="B726" s="96">
        <v>6739</v>
      </c>
      <c r="C726" s="7">
        <v>2825</v>
      </c>
      <c r="D726" s="7">
        <f t="shared" si="77"/>
        <v>3914</v>
      </c>
      <c r="E726" s="97">
        <v>1950</v>
      </c>
      <c r="F726" s="7">
        <v>650</v>
      </c>
      <c r="G726" s="7">
        <f t="shared" si="78"/>
        <v>1300</v>
      </c>
      <c r="H726" s="98">
        <v>0</v>
      </c>
      <c r="I726" s="7">
        <v>0</v>
      </c>
      <c r="J726" s="7"/>
      <c r="K726" s="99">
        <f t="shared" si="83"/>
        <v>8689</v>
      </c>
      <c r="L726" s="7">
        <v>2200</v>
      </c>
      <c r="M726" s="7">
        <v>6050</v>
      </c>
      <c r="N726" s="7">
        <v>0</v>
      </c>
      <c r="O726" s="7">
        <v>0</v>
      </c>
      <c r="P726" s="7">
        <v>7150.59</v>
      </c>
      <c r="Q726" s="7">
        <v>687.50000000000023</v>
      </c>
      <c r="R726" s="113">
        <f t="shared" si="79"/>
        <v>0.41920166196765096</v>
      </c>
      <c r="S726" s="113">
        <f t="shared" si="80"/>
        <v>0.33333333333333331</v>
      </c>
      <c r="T726" s="113">
        <f t="shared" si="81"/>
        <v>0</v>
      </c>
      <c r="U726" s="113">
        <f t="shared" si="82"/>
        <v>0.25084499843366143</v>
      </c>
    </row>
    <row r="727" spans="1:21" x14ac:dyDescent="0.45">
      <c r="A727" s="95">
        <v>45287</v>
      </c>
      <c r="B727" s="96">
        <v>6739</v>
      </c>
      <c r="C727" s="7">
        <v>2825</v>
      </c>
      <c r="D727" s="7">
        <f t="shared" si="77"/>
        <v>3914</v>
      </c>
      <c r="E727" s="97">
        <v>1950</v>
      </c>
      <c r="F727" s="7">
        <v>650</v>
      </c>
      <c r="G727" s="7">
        <f t="shared" si="78"/>
        <v>1300</v>
      </c>
      <c r="H727" s="98">
        <v>0</v>
      </c>
      <c r="I727" s="7">
        <v>0</v>
      </c>
      <c r="J727" s="7"/>
      <c r="K727" s="99">
        <f t="shared" si="83"/>
        <v>8689</v>
      </c>
      <c r="L727" s="7">
        <v>2200</v>
      </c>
      <c r="M727" s="7">
        <v>6050</v>
      </c>
      <c r="N727" s="7">
        <v>0</v>
      </c>
      <c r="O727" s="7">
        <v>0</v>
      </c>
      <c r="P727" s="7">
        <v>7150.59</v>
      </c>
      <c r="Q727" s="7">
        <v>1897.9499999999998</v>
      </c>
      <c r="R727" s="113">
        <f t="shared" si="79"/>
        <v>0.41920166196765096</v>
      </c>
      <c r="S727" s="113">
        <f t="shared" si="80"/>
        <v>0.33333333333333331</v>
      </c>
      <c r="T727" s="113">
        <f t="shared" si="81"/>
        <v>0</v>
      </c>
      <c r="U727" s="113">
        <f t="shared" si="82"/>
        <v>0.25084499843366143</v>
      </c>
    </row>
    <row r="728" spans="1:21" x14ac:dyDescent="0.45">
      <c r="A728" s="95">
        <v>45288</v>
      </c>
      <c r="B728" s="96">
        <v>6829</v>
      </c>
      <c r="C728" s="7">
        <v>2975</v>
      </c>
      <c r="D728" s="7">
        <f t="shared" si="77"/>
        <v>3854</v>
      </c>
      <c r="E728" s="97">
        <v>1950</v>
      </c>
      <c r="F728" s="7">
        <v>650</v>
      </c>
      <c r="G728" s="7">
        <f t="shared" si="78"/>
        <v>1300</v>
      </c>
      <c r="H728" s="98">
        <v>0</v>
      </c>
      <c r="I728" s="7">
        <v>0</v>
      </c>
      <c r="J728" s="7"/>
      <c r="K728" s="99">
        <f t="shared" si="83"/>
        <v>8779</v>
      </c>
      <c r="L728" s="7">
        <v>1450</v>
      </c>
      <c r="M728" s="7">
        <v>6050</v>
      </c>
      <c r="N728" s="7">
        <v>0</v>
      </c>
      <c r="O728" s="7">
        <v>0</v>
      </c>
      <c r="P728" s="7">
        <v>7150.59</v>
      </c>
      <c r="Q728" s="7">
        <v>2367.1499999999996</v>
      </c>
      <c r="R728" s="113">
        <f t="shared" si="79"/>
        <v>0.43564211451164153</v>
      </c>
      <c r="S728" s="113">
        <f t="shared" si="80"/>
        <v>0.33333333333333331</v>
      </c>
      <c r="T728" s="113">
        <f t="shared" si="81"/>
        <v>0</v>
      </c>
      <c r="U728" s="113">
        <f t="shared" si="82"/>
        <v>0.25632514928165828</v>
      </c>
    </row>
    <row r="729" spans="1:21" x14ac:dyDescent="0.45">
      <c r="A729" s="95">
        <v>45289</v>
      </c>
      <c r="B729" s="96">
        <v>6829</v>
      </c>
      <c r="C729" s="7">
        <v>2975</v>
      </c>
      <c r="D729" s="7">
        <f t="shared" si="77"/>
        <v>3854</v>
      </c>
      <c r="E729" s="97">
        <v>1950</v>
      </c>
      <c r="F729" s="7">
        <v>650</v>
      </c>
      <c r="G729" s="7">
        <f t="shared" si="78"/>
        <v>1300</v>
      </c>
      <c r="H729" s="98">
        <v>0</v>
      </c>
      <c r="I729" s="7">
        <v>0</v>
      </c>
      <c r="J729" s="7"/>
      <c r="K729" s="99">
        <f t="shared" si="83"/>
        <v>8779</v>
      </c>
      <c r="L729" s="7">
        <v>1450</v>
      </c>
      <c r="M729" s="7">
        <v>6050</v>
      </c>
      <c r="N729" s="7">
        <v>0</v>
      </c>
      <c r="O729" s="7">
        <v>0</v>
      </c>
      <c r="P729" s="7">
        <v>7150.59</v>
      </c>
      <c r="Q729" s="7">
        <v>2639.62</v>
      </c>
      <c r="R729" s="113">
        <f t="shared" si="79"/>
        <v>0.43564211451164153</v>
      </c>
      <c r="S729" s="113">
        <f t="shared" si="80"/>
        <v>0.33333333333333331</v>
      </c>
      <c r="T729" s="113">
        <f t="shared" si="81"/>
        <v>0</v>
      </c>
      <c r="U729" s="113">
        <f t="shared" si="82"/>
        <v>0.25632514928165828</v>
      </c>
    </row>
    <row r="730" spans="1:21" x14ac:dyDescent="0.45">
      <c r="A730" s="95">
        <v>45290</v>
      </c>
      <c r="B730" s="96">
        <v>6829</v>
      </c>
      <c r="C730" s="7">
        <v>2975</v>
      </c>
      <c r="D730" s="7">
        <f t="shared" si="77"/>
        <v>3854</v>
      </c>
      <c r="E730" s="97">
        <v>1950</v>
      </c>
      <c r="F730" s="7">
        <v>650</v>
      </c>
      <c r="G730" s="7">
        <f t="shared" si="78"/>
        <v>1300</v>
      </c>
      <c r="H730" s="98">
        <v>0</v>
      </c>
      <c r="I730" s="7">
        <v>0</v>
      </c>
      <c r="J730" s="7"/>
      <c r="K730" s="99">
        <f t="shared" si="83"/>
        <v>8779</v>
      </c>
      <c r="L730" s="7">
        <v>1450</v>
      </c>
      <c r="M730" s="7">
        <v>6050</v>
      </c>
      <c r="N730" s="7">
        <v>0</v>
      </c>
      <c r="O730" s="7">
        <v>0</v>
      </c>
      <c r="P730" s="7">
        <v>7150.59</v>
      </c>
      <c r="Q730" s="7">
        <v>2639.62</v>
      </c>
      <c r="R730" s="113">
        <f t="shared" si="79"/>
        <v>0.43564211451164153</v>
      </c>
      <c r="S730" s="113">
        <f t="shared" si="80"/>
        <v>0.33333333333333331</v>
      </c>
      <c r="T730" s="113">
        <f t="shared" si="81"/>
        <v>0</v>
      </c>
      <c r="U730" s="113">
        <f t="shared" si="82"/>
        <v>0.25632514928165828</v>
      </c>
    </row>
    <row r="731" spans="1:21" x14ac:dyDescent="0.45">
      <c r="A731" s="95">
        <v>45291</v>
      </c>
      <c r="B731" s="96">
        <v>6829</v>
      </c>
      <c r="C731" s="7">
        <v>2975</v>
      </c>
      <c r="D731" s="7">
        <f t="shared" si="77"/>
        <v>3854</v>
      </c>
      <c r="E731" s="97">
        <v>1950</v>
      </c>
      <c r="F731" s="7">
        <v>650</v>
      </c>
      <c r="G731" s="7">
        <f t="shared" si="78"/>
        <v>1300</v>
      </c>
      <c r="H731" s="98">
        <v>0</v>
      </c>
      <c r="I731" s="7">
        <v>0</v>
      </c>
      <c r="J731" s="7"/>
      <c r="K731" s="99">
        <f t="shared" si="83"/>
        <v>8779</v>
      </c>
      <c r="L731" s="7">
        <v>1450</v>
      </c>
      <c r="M731" s="7">
        <v>6050</v>
      </c>
      <c r="N731" s="7">
        <v>0</v>
      </c>
      <c r="O731" s="7">
        <v>0</v>
      </c>
      <c r="P731" s="7">
        <v>7150.59</v>
      </c>
      <c r="Q731" s="7">
        <v>2639.62</v>
      </c>
      <c r="R731" s="113">
        <f t="shared" si="79"/>
        <v>0.43564211451164153</v>
      </c>
      <c r="S731" s="113">
        <f t="shared" si="80"/>
        <v>0.33333333333333331</v>
      </c>
      <c r="T731" s="113">
        <f t="shared" si="81"/>
        <v>0</v>
      </c>
      <c r="U731" s="113">
        <f t="shared" si="82"/>
        <v>0.25632514928165828</v>
      </c>
    </row>
    <row r="732" spans="1:21" x14ac:dyDescent="0.45">
      <c r="A732" s="95">
        <v>45292</v>
      </c>
      <c r="B732" s="96">
        <v>6829</v>
      </c>
      <c r="C732" s="7">
        <v>2975</v>
      </c>
      <c r="D732" s="7">
        <f t="shared" si="77"/>
        <v>3854</v>
      </c>
      <c r="E732" s="97">
        <v>1950</v>
      </c>
      <c r="F732" s="7">
        <v>650</v>
      </c>
      <c r="G732" s="7">
        <f t="shared" si="78"/>
        <v>1300</v>
      </c>
      <c r="H732" s="98">
        <v>0</v>
      </c>
      <c r="I732" s="7">
        <v>0</v>
      </c>
      <c r="J732" s="7"/>
      <c r="K732" s="99">
        <f t="shared" si="83"/>
        <v>8779</v>
      </c>
      <c r="L732" s="7">
        <v>1450</v>
      </c>
      <c r="M732" s="7">
        <v>6050</v>
      </c>
      <c r="N732" s="7">
        <v>0</v>
      </c>
      <c r="O732" s="7">
        <v>0</v>
      </c>
      <c r="P732" s="7">
        <v>7150.59</v>
      </c>
      <c r="Q732" s="7">
        <v>2639.62</v>
      </c>
      <c r="R732" s="113">
        <f t="shared" si="79"/>
        <v>0.43564211451164153</v>
      </c>
      <c r="S732" s="113">
        <f t="shared" si="80"/>
        <v>0.33333333333333331</v>
      </c>
      <c r="T732" s="113">
        <f t="shared" si="81"/>
        <v>0</v>
      </c>
      <c r="U732" s="113">
        <f t="shared" si="82"/>
        <v>0.25632514928165828</v>
      </c>
    </row>
    <row r="733" spans="1:21" x14ac:dyDescent="0.45">
      <c r="A733" s="95">
        <v>45293</v>
      </c>
      <c r="B733" s="96">
        <v>6829</v>
      </c>
      <c r="C733" s="7">
        <v>2975</v>
      </c>
      <c r="D733" s="7">
        <f t="shared" si="77"/>
        <v>3854</v>
      </c>
      <c r="E733" s="97">
        <v>1950</v>
      </c>
      <c r="F733" s="7">
        <v>650</v>
      </c>
      <c r="G733" s="7">
        <f t="shared" si="78"/>
        <v>1300</v>
      </c>
      <c r="H733" s="98">
        <v>0</v>
      </c>
      <c r="I733" s="7">
        <v>0</v>
      </c>
      <c r="J733" s="7"/>
      <c r="K733" s="99">
        <f t="shared" si="83"/>
        <v>8779</v>
      </c>
      <c r="L733" s="7">
        <v>1450</v>
      </c>
      <c r="M733" s="7">
        <v>6050</v>
      </c>
      <c r="N733" s="7">
        <v>0</v>
      </c>
      <c r="O733" s="7">
        <v>0</v>
      </c>
      <c r="P733" s="7">
        <v>7150.59</v>
      </c>
      <c r="Q733" s="7">
        <v>2536.3200000000002</v>
      </c>
      <c r="R733" s="113">
        <f t="shared" si="79"/>
        <v>0.43564211451164153</v>
      </c>
      <c r="S733" s="113">
        <f t="shared" si="80"/>
        <v>0.33333333333333331</v>
      </c>
      <c r="T733" s="113">
        <f t="shared" si="81"/>
        <v>0</v>
      </c>
      <c r="U733" s="113">
        <f t="shared" si="82"/>
        <v>0.25632514928165828</v>
      </c>
    </row>
    <row r="734" spans="1:21" x14ac:dyDescent="0.45">
      <c r="A734" s="95">
        <v>45294</v>
      </c>
      <c r="B734" s="96">
        <v>6829</v>
      </c>
      <c r="C734" s="7">
        <v>2975</v>
      </c>
      <c r="D734" s="7">
        <f t="shared" si="77"/>
        <v>3854</v>
      </c>
      <c r="E734" s="97">
        <v>1950</v>
      </c>
      <c r="F734" s="7">
        <v>650</v>
      </c>
      <c r="G734" s="7">
        <f t="shared" si="78"/>
        <v>1300</v>
      </c>
      <c r="H734" s="98">
        <v>0</v>
      </c>
      <c r="I734" s="7">
        <v>0</v>
      </c>
      <c r="J734" s="7"/>
      <c r="K734" s="99">
        <f t="shared" si="83"/>
        <v>8779</v>
      </c>
      <c r="L734" s="7">
        <v>1450</v>
      </c>
      <c r="M734" s="7">
        <v>6050</v>
      </c>
      <c r="N734" s="7">
        <v>0</v>
      </c>
      <c r="O734" s="7">
        <v>0</v>
      </c>
      <c r="P734" s="7">
        <v>7150.59</v>
      </c>
      <c r="Q734" s="7">
        <v>1754.2299999999998</v>
      </c>
      <c r="R734" s="113">
        <f t="shared" si="79"/>
        <v>0.43564211451164153</v>
      </c>
      <c r="S734" s="113">
        <f t="shared" si="80"/>
        <v>0.33333333333333331</v>
      </c>
      <c r="T734" s="113">
        <f t="shared" si="81"/>
        <v>0</v>
      </c>
      <c r="U734" s="113">
        <f t="shared" si="82"/>
        <v>0.25632514928165828</v>
      </c>
    </row>
    <row r="735" spans="1:21" x14ac:dyDescent="0.45">
      <c r="A735" s="95">
        <v>45295</v>
      </c>
      <c r="B735" s="96">
        <v>7239</v>
      </c>
      <c r="C735" s="7">
        <v>3325</v>
      </c>
      <c r="D735" s="7">
        <f t="shared" si="77"/>
        <v>3914</v>
      </c>
      <c r="E735" s="97">
        <v>1950</v>
      </c>
      <c r="F735" s="7">
        <v>650</v>
      </c>
      <c r="G735" s="7">
        <f t="shared" si="78"/>
        <v>1300</v>
      </c>
      <c r="H735" s="98">
        <v>0</v>
      </c>
      <c r="I735" s="7">
        <v>0</v>
      </c>
      <c r="J735" s="7"/>
      <c r="K735" s="99">
        <f t="shared" si="83"/>
        <v>9189</v>
      </c>
      <c r="L735" s="7">
        <v>1500</v>
      </c>
      <c r="M735" s="7">
        <v>6200</v>
      </c>
      <c r="N735" s="7">
        <v>0</v>
      </c>
      <c r="O735" s="7">
        <v>0</v>
      </c>
      <c r="P735" s="7">
        <v>7150.59</v>
      </c>
      <c r="Q735" s="7">
        <v>1738.4600000000003</v>
      </c>
      <c r="R735" s="113">
        <f t="shared" si="79"/>
        <v>0.45931758530183725</v>
      </c>
      <c r="S735" s="113">
        <f t="shared" si="80"/>
        <v>0.33333333333333331</v>
      </c>
      <c r="T735" s="113">
        <f t="shared" si="81"/>
        <v>0</v>
      </c>
      <c r="U735" s="113">
        <f t="shared" si="82"/>
        <v>0.26421697287839019</v>
      </c>
    </row>
    <row r="736" spans="1:21" x14ac:dyDescent="0.45">
      <c r="A736" s="95">
        <v>45296</v>
      </c>
      <c r="B736" s="96">
        <v>7239</v>
      </c>
      <c r="C736" s="7">
        <v>3325</v>
      </c>
      <c r="D736" s="7">
        <f t="shared" si="77"/>
        <v>3914</v>
      </c>
      <c r="E736" s="97">
        <v>1950</v>
      </c>
      <c r="F736" s="7">
        <v>650</v>
      </c>
      <c r="G736" s="7">
        <f t="shared" si="78"/>
        <v>1300</v>
      </c>
      <c r="H736" s="98">
        <v>0</v>
      </c>
      <c r="I736" s="7">
        <v>0</v>
      </c>
      <c r="J736" s="7"/>
      <c r="K736" s="99">
        <f t="shared" si="83"/>
        <v>9189</v>
      </c>
      <c r="L736" s="7">
        <v>1500</v>
      </c>
      <c r="M736" s="7">
        <v>6200</v>
      </c>
      <c r="N736" s="7">
        <v>0</v>
      </c>
      <c r="O736" s="7">
        <v>0</v>
      </c>
      <c r="P736" s="7">
        <v>7150.59</v>
      </c>
      <c r="Q736" s="7">
        <v>1824.1100000000004</v>
      </c>
      <c r="R736" s="113">
        <f t="shared" si="79"/>
        <v>0.45931758530183725</v>
      </c>
      <c r="S736" s="113">
        <f t="shared" si="80"/>
        <v>0.33333333333333331</v>
      </c>
      <c r="T736" s="113">
        <f t="shared" si="81"/>
        <v>0</v>
      </c>
      <c r="U736" s="113">
        <f t="shared" si="82"/>
        <v>0.26421697287839019</v>
      </c>
    </row>
    <row r="737" spans="1:21" x14ac:dyDescent="0.45">
      <c r="A737" s="95">
        <v>45297</v>
      </c>
      <c r="B737" s="96">
        <v>7239</v>
      </c>
      <c r="C737" s="7">
        <v>3325</v>
      </c>
      <c r="D737" s="7">
        <f t="shared" si="77"/>
        <v>3914</v>
      </c>
      <c r="E737" s="97">
        <v>1950</v>
      </c>
      <c r="F737" s="7">
        <v>650</v>
      </c>
      <c r="G737" s="7">
        <f t="shared" si="78"/>
        <v>1300</v>
      </c>
      <c r="H737" s="98">
        <v>0</v>
      </c>
      <c r="I737" s="7">
        <v>0</v>
      </c>
      <c r="J737" s="7"/>
      <c r="K737" s="99">
        <f t="shared" si="83"/>
        <v>9189</v>
      </c>
      <c r="L737" s="7">
        <v>1500</v>
      </c>
      <c r="M737" s="7">
        <v>6200</v>
      </c>
      <c r="N737" s="7">
        <v>0</v>
      </c>
      <c r="O737" s="7">
        <v>0</v>
      </c>
      <c r="P737" s="7">
        <v>7150.59</v>
      </c>
      <c r="Q737" s="7">
        <v>1824.1100000000004</v>
      </c>
      <c r="R737" s="113">
        <f t="shared" si="79"/>
        <v>0.45931758530183725</v>
      </c>
      <c r="S737" s="113">
        <f t="shared" si="80"/>
        <v>0.33333333333333331</v>
      </c>
      <c r="T737" s="113">
        <f t="shared" si="81"/>
        <v>0</v>
      </c>
      <c r="U737" s="113">
        <f t="shared" si="82"/>
        <v>0.26421697287839019</v>
      </c>
    </row>
    <row r="738" spans="1:21" x14ac:dyDescent="0.45">
      <c r="A738" s="95">
        <v>45298</v>
      </c>
      <c r="B738" s="96">
        <v>7239</v>
      </c>
      <c r="C738" s="7">
        <v>3325</v>
      </c>
      <c r="D738" s="7">
        <f t="shared" si="77"/>
        <v>3914</v>
      </c>
      <c r="E738" s="97">
        <v>1950</v>
      </c>
      <c r="F738" s="7">
        <v>650</v>
      </c>
      <c r="G738" s="7">
        <f t="shared" si="78"/>
        <v>1300</v>
      </c>
      <c r="H738" s="98">
        <v>0</v>
      </c>
      <c r="I738" s="7">
        <v>0</v>
      </c>
      <c r="J738" s="7"/>
      <c r="K738" s="99">
        <f t="shared" si="83"/>
        <v>9189</v>
      </c>
      <c r="L738" s="7">
        <v>1500</v>
      </c>
      <c r="M738" s="7">
        <v>6200</v>
      </c>
      <c r="N738" s="7">
        <v>0</v>
      </c>
      <c r="O738" s="7">
        <v>0</v>
      </c>
      <c r="P738" s="7">
        <v>7150.59</v>
      </c>
      <c r="Q738" s="7">
        <v>1824.1100000000004</v>
      </c>
      <c r="R738" s="113">
        <f t="shared" si="79"/>
        <v>0.45931758530183725</v>
      </c>
      <c r="S738" s="113">
        <f t="shared" si="80"/>
        <v>0.33333333333333331</v>
      </c>
      <c r="T738" s="113">
        <f t="shared" si="81"/>
        <v>0</v>
      </c>
      <c r="U738" s="113">
        <f t="shared" si="82"/>
        <v>0.26421697287839019</v>
      </c>
    </row>
    <row r="739" spans="1:21" x14ac:dyDescent="0.45">
      <c r="A739" s="95">
        <v>45299</v>
      </c>
      <c r="B739" s="96">
        <v>7239</v>
      </c>
      <c r="C739" s="7">
        <v>3325</v>
      </c>
      <c r="D739" s="7">
        <f t="shared" si="77"/>
        <v>3914</v>
      </c>
      <c r="E739" s="97">
        <v>1950</v>
      </c>
      <c r="F739" s="7">
        <v>650</v>
      </c>
      <c r="G739" s="7">
        <f t="shared" si="78"/>
        <v>1300</v>
      </c>
      <c r="H739" s="98">
        <v>0</v>
      </c>
      <c r="I739" s="7">
        <v>0</v>
      </c>
      <c r="J739" s="7"/>
      <c r="K739" s="99">
        <f t="shared" si="83"/>
        <v>9189</v>
      </c>
      <c r="L739" s="7">
        <v>1500</v>
      </c>
      <c r="M739" s="7">
        <v>6200</v>
      </c>
      <c r="N739" s="7">
        <v>0</v>
      </c>
      <c r="O739" s="7">
        <v>0</v>
      </c>
      <c r="P739" s="7">
        <v>7150.59</v>
      </c>
      <c r="Q739" s="7">
        <v>1465.48</v>
      </c>
      <c r="R739" s="113">
        <f t="shared" si="79"/>
        <v>0.45931758530183725</v>
      </c>
      <c r="S739" s="113">
        <f t="shared" si="80"/>
        <v>0.33333333333333331</v>
      </c>
      <c r="T739" s="113">
        <f t="shared" si="81"/>
        <v>0</v>
      </c>
      <c r="U739" s="113">
        <f t="shared" si="82"/>
        <v>0.26421697287839019</v>
      </c>
    </row>
    <row r="740" spans="1:21" x14ac:dyDescent="0.45">
      <c r="A740" s="95">
        <v>45300</v>
      </c>
      <c r="B740" s="96">
        <v>7239</v>
      </c>
      <c r="C740" s="7">
        <v>3325</v>
      </c>
      <c r="D740" s="7">
        <f t="shared" si="77"/>
        <v>3914</v>
      </c>
      <c r="E740" s="97">
        <v>1950</v>
      </c>
      <c r="F740" s="7">
        <v>650</v>
      </c>
      <c r="G740" s="7">
        <f t="shared" si="78"/>
        <v>1300</v>
      </c>
      <c r="H740" s="98">
        <v>0</v>
      </c>
      <c r="I740" s="7">
        <v>0</v>
      </c>
      <c r="J740" s="7"/>
      <c r="K740" s="99">
        <f t="shared" si="83"/>
        <v>9189</v>
      </c>
      <c r="L740" s="7">
        <v>1500</v>
      </c>
      <c r="M740" s="7">
        <v>6200</v>
      </c>
      <c r="N740" s="7">
        <v>0</v>
      </c>
      <c r="O740" s="7">
        <v>0</v>
      </c>
      <c r="P740" s="7">
        <v>7150.59</v>
      </c>
      <c r="Q740" s="7">
        <v>2789.2199999999993</v>
      </c>
      <c r="R740" s="113">
        <f t="shared" si="79"/>
        <v>0.45931758530183725</v>
      </c>
      <c r="S740" s="113">
        <f t="shared" si="80"/>
        <v>0.33333333333333331</v>
      </c>
      <c r="T740" s="113">
        <f t="shared" si="81"/>
        <v>0</v>
      </c>
      <c r="U740" s="113">
        <f t="shared" si="82"/>
        <v>0.26421697287839019</v>
      </c>
    </row>
    <row r="741" spans="1:21" x14ac:dyDescent="0.45">
      <c r="A741" s="95">
        <v>45301</v>
      </c>
      <c r="B741" s="96">
        <v>7239</v>
      </c>
      <c r="C741" s="7">
        <v>3325</v>
      </c>
      <c r="D741" s="7">
        <f t="shared" si="77"/>
        <v>3914</v>
      </c>
      <c r="E741" s="97">
        <v>1950</v>
      </c>
      <c r="F741" s="7">
        <v>650</v>
      </c>
      <c r="G741" s="7">
        <f t="shared" si="78"/>
        <v>1300</v>
      </c>
      <c r="H741" s="98">
        <v>0</v>
      </c>
      <c r="I741" s="7">
        <v>0</v>
      </c>
      <c r="J741" s="7"/>
      <c r="K741" s="99">
        <f t="shared" si="83"/>
        <v>9189</v>
      </c>
      <c r="L741" s="7">
        <v>1500</v>
      </c>
      <c r="M741" s="7">
        <v>6200</v>
      </c>
      <c r="N741" s="7">
        <v>0</v>
      </c>
      <c r="O741" s="7">
        <v>0</v>
      </c>
      <c r="P741" s="7">
        <v>7150.59</v>
      </c>
      <c r="Q741" s="7">
        <v>2742.57</v>
      </c>
      <c r="R741" s="113">
        <f t="shared" si="79"/>
        <v>0.45931758530183725</v>
      </c>
      <c r="S741" s="113">
        <f t="shared" si="80"/>
        <v>0.33333333333333331</v>
      </c>
      <c r="T741" s="113">
        <f t="shared" si="81"/>
        <v>0</v>
      </c>
      <c r="U741" s="113">
        <f t="shared" si="82"/>
        <v>0.26421697287839019</v>
      </c>
    </row>
    <row r="742" spans="1:21" x14ac:dyDescent="0.45">
      <c r="A742" s="95">
        <v>45302</v>
      </c>
      <c r="B742" s="96">
        <v>7439</v>
      </c>
      <c r="C742" s="7">
        <v>3525</v>
      </c>
      <c r="D742" s="7">
        <f t="shared" si="77"/>
        <v>3914</v>
      </c>
      <c r="E742" s="97">
        <v>1950</v>
      </c>
      <c r="F742" s="7">
        <v>650</v>
      </c>
      <c r="G742" s="7">
        <f t="shared" si="78"/>
        <v>1300</v>
      </c>
      <c r="H742" s="98">
        <v>0</v>
      </c>
      <c r="I742" s="7">
        <v>0</v>
      </c>
      <c r="J742" s="7"/>
      <c r="K742" s="99">
        <f t="shared" si="83"/>
        <v>9389</v>
      </c>
      <c r="L742" s="7">
        <v>1800</v>
      </c>
      <c r="M742" s="7">
        <v>6200</v>
      </c>
      <c r="N742" s="7">
        <v>0</v>
      </c>
      <c r="O742" s="7">
        <v>0</v>
      </c>
      <c r="P742" s="7">
        <v>7150.59</v>
      </c>
      <c r="Q742" s="7">
        <v>2589.2599999999998</v>
      </c>
      <c r="R742" s="113">
        <f t="shared" si="79"/>
        <v>0.47385401263610699</v>
      </c>
      <c r="S742" s="113">
        <f t="shared" si="80"/>
        <v>0.33333333333333331</v>
      </c>
      <c r="T742" s="113">
        <f t="shared" si="81"/>
        <v>0</v>
      </c>
      <c r="U742" s="113">
        <f t="shared" si="82"/>
        <v>0.2690624486564801</v>
      </c>
    </row>
    <row r="743" spans="1:21" x14ac:dyDescent="0.45">
      <c r="A743" s="95">
        <v>45303</v>
      </c>
      <c r="B743" s="96">
        <v>7439</v>
      </c>
      <c r="C743" s="7">
        <v>3525</v>
      </c>
      <c r="D743" s="7">
        <f t="shared" si="77"/>
        <v>3914</v>
      </c>
      <c r="E743" s="97">
        <v>1950</v>
      </c>
      <c r="F743" s="7">
        <v>650</v>
      </c>
      <c r="G743" s="7">
        <f t="shared" si="78"/>
        <v>1300</v>
      </c>
      <c r="H743" s="98">
        <v>0</v>
      </c>
      <c r="I743" s="7">
        <v>0</v>
      </c>
      <c r="J743" s="7"/>
      <c r="K743" s="99">
        <f t="shared" si="83"/>
        <v>9389</v>
      </c>
      <c r="L743" s="7">
        <v>1800</v>
      </c>
      <c r="M743" s="7">
        <v>6200</v>
      </c>
      <c r="N743" s="7">
        <v>0</v>
      </c>
      <c r="O743" s="7">
        <v>0</v>
      </c>
      <c r="P743" s="7">
        <v>7150.59</v>
      </c>
      <c r="Q743" s="7">
        <v>2645.05</v>
      </c>
      <c r="R743" s="113">
        <f t="shared" si="79"/>
        <v>0.47385401263610699</v>
      </c>
      <c r="S743" s="113">
        <f t="shared" si="80"/>
        <v>0.33333333333333331</v>
      </c>
      <c r="T743" s="113">
        <f t="shared" si="81"/>
        <v>0</v>
      </c>
      <c r="U743" s="113">
        <f t="shared" si="82"/>
        <v>0.2690624486564801</v>
      </c>
    </row>
    <row r="744" spans="1:21" x14ac:dyDescent="0.45">
      <c r="A744" s="95">
        <v>45304</v>
      </c>
      <c r="B744" s="96">
        <v>7439</v>
      </c>
      <c r="C744" s="7">
        <v>3525</v>
      </c>
      <c r="D744" s="7">
        <f t="shared" si="77"/>
        <v>3914</v>
      </c>
      <c r="E744" s="97">
        <v>1950</v>
      </c>
      <c r="F744" s="7">
        <v>650</v>
      </c>
      <c r="G744" s="7">
        <f t="shared" si="78"/>
        <v>1300</v>
      </c>
      <c r="H744" s="98">
        <v>0</v>
      </c>
      <c r="I744" s="7">
        <v>0</v>
      </c>
      <c r="J744" s="7"/>
      <c r="K744" s="99">
        <f t="shared" si="83"/>
        <v>9389</v>
      </c>
      <c r="L744" s="7">
        <v>1800</v>
      </c>
      <c r="M744" s="7">
        <v>6200</v>
      </c>
      <c r="N744" s="7">
        <v>0</v>
      </c>
      <c r="O744" s="7">
        <v>0</v>
      </c>
      <c r="P744" s="7">
        <v>7150.59</v>
      </c>
      <c r="Q744" s="7">
        <v>2645.05</v>
      </c>
      <c r="R744" s="113">
        <f t="shared" si="79"/>
        <v>0.47385401263610699</v>
      </c>
      <c r="S744" s="113">
        <f t="shared" si="80"/>
        <v>0.33333333333333331</v>
      </c>
      <c r="T744" s="113">
        <f t="shared" si="81"/>
        <v>0</v>
      </c>
      <c r="U744" s="113">
        <f t="shared" si="82"/>
        <v>0.2690624486564801</v>
      </c>
    </row>
    <row r="745" spans="1:21" x14ac:dyDescent="0.45">
      <c r="A745" s="95">
        <v>45305</v>
      </c>
      <c r="B745" s="96">
        <v>7439</v>
      </c>
      <c r="C745" s="7">
        <v>3525</v>
      </c>
      <c r="D745" s="7">
        <f t="shared" si="77"/>
        <v>3914</v>
      </c>
      <c r="E745" s="97">
        <v>1950</v>
      </c>
      <c r="F745" s="7">
        <v>650</v>
      </c>
      <c r="G745" s="7">
        <f t="shared" si="78"/>
        <v>1300</v>
      </c>
      <c r="H745" s="98">
        <v>0</v>
      </c>
      <c r="I745" s="7">
        <v>0</v>
      </c>
      <c r="J745" s="7"/>
      <c r="K745" s="99">
        <f t="shared" si="83"/>
        <v>9389</v>
      </c>
      <c r="L745" s="7">
        <v>1800</v>
      </c>
      <c r="M745" s="7">
        <v>6200</v>
      </c>
      <c r="N745" s="7">
        <v>0</v>
      </c>
      <c r="O745" s="7">
        <v>0</v>
      </c>
      <c r="P745" s="7">
        <v>7150.59</v>
      </c>
      <c r="Q745" s="7">
        <v>2645.05</v>
      </c>
      <c r="R745" s="113">
        <f t="shared" si="79"/>
        <v>0.47385401263610699</v>
      </c>
      <c r="S745" s="113">
        <f t="shared" si="80"/>
        <v>0.33333333333333331</v>
      </c>
      <c r="T745" s="113">
        <f t="shared" si="81"/>
        <v>0</v>
      </c>
      <c r="U745" s="113">
        <f t="shared" si="82"/>
        <v>0.2690624486564801</v>
      </c>
    </row>
    <row r="746" spans="1:21" x14ac:dyDescent="0.45">
      <c r="A746" s="95">
        <v>45306</v>
      </c>
      <c r="B746" s="96">
        <v>7439</v>
      </c>
      <c r="C746" s="7">
        <v>3525</v>
      </c>
      <c r="D746" s="7">
        <f t="shared" si="77"/>
        <v>3914</v>
      </c>
      <c r="E746" s="97">
        <v>1950</v>
      </c>
      <c r="F746" s="7">
        <v>650</v>
      </c>
      <c r="G746" s="7">
        <f t="shared" si="78"/>
        <v>1300</v>
      </c>
      <c r="H746" s="98">
        <v>0</v>
      </c>
      <c r="I746" s="7">
        <v>0</v>
      </c>
      <c r="J746" s="7"/>
      <c r="K746" s="99">
        <f t="shared" si="83"/>
        <v>9389</v>
      </c>
      <c r="L746" s="7">
        <v>1800</v>
      </c>
      <c r="M746" s="7">
        <v>6200</v>
      </c>
      <c r="N746" s="7">
        <v>0</v>
      </c>
      <c r="O746" s="7">
        <v>0</v>
      </c>
      <c r="P746" s="7">
        <v>7150.59</v>
      </c>
      <c r="Q746" s="7">
        <v>2238.1899999999996</v>
      </c>
      <c r="R746" s="113">
        <f t="shared" si="79"/>
        <v>0.47385401263610699</v>
      </c>
      <c r="S746" s="113">
        <f t="shared" si="80"/>
        <v>0.33333333333333331</v>
      </c>
      <c r="T746" s="113">
        <f t="shared" si="81"/>
        <v>0</v>
      </c>
      <c r="U746" s="113">
        <f t="shared" si="82"/>
        <v>0.2690624486564801</v>
      </c>
    </row>
    <row r="747" spans="1:21" x14ac:dyDescent="0.45">
      <c r="A747" s="95">
        <v>45307</v>
      </c>
      <c r="B747" s="96">
        <v>7439</v>
      </c>
      <c r="C747" s="7">
        <v>3525</v>
      </c>
      <c r="D747" s="7">
        <f t="shared" si="77"/>
        <v>3914</v>
      </c>
      <c r="E747" s="97">
        <v>1950</v>
      </c>
      <c r="F747" s="7">
        <v>650</v>
      </c>
      <c r="G747" s="7">
        <f t="shared" si="78"/>
        <v>1300</v>
      </c>
      <c r="H747" s="98">
        <v>0</v>
      </c>
      <c r="I747" s="7">
        <v>0</v>
      </c>
      <c r="J747" s="7"/>
      <c r="K747" s="99">
        <f t="shared" si="83"/>
        <v>9389</v>
      </c>
      <c r="L747" s="7">
        <v>1800</v>
      </c>
      <c r="M747" s="7">
        <v>6200</v>
      </c>
      <c r="N747" s="7">
        <v>0</v>
      </c>
      <c r="O747" s="7">
        <v>0</v>
      </c>
      <c r="P747" s="7">
        <v>7150.59</v>
      </c>
      <c r="Q747" s="7">
        <v>2183.8100000000004</v>
      </c>
      <c r="R747" s="113">
        <f t="shared" si="79"/>
        <v>0.47385401263610699</v>
      </c>
      <c r="S747" s="113">
        <f t="shared" si="80"/>
        <v>0.33333333333333331</v>
      </c>
      <c r="T747" s="113">
        <f t="shared" si="81"/>
        <v>0</v>
      </c>
      <c r="U747" s="113">
        <f t="shared" si="82"/>
        <v>0.2690624486564801</v>
      </c>
    </row>
    <row r="748" spans="1:21" x14ac:dyDescent="0.45">
      <c r="A748" s="95">
        <v>45308</v>
      </c>
      <c r="B748" s="96">
        <v>7439</v>
      </c>
      <c r="C748" s="7">
        <v>3525</v>
      </c>
      <c r="D748" s="7">
        <f t="shared" si="77"/>
        <v>3914</v>
      </c>
      <c r="E748" s="97">
        <v>1950</v>
      </c>
      <c r="F748" s="7">
        <v>650</v>
      </c>
      <c r="G748" s="7">
        <f t="shared" si="78"/>
        <v>1300</v>
      </c>
      <c r="H748" s="98">
        <v>0</v>
      </c>
      <c r="I748" s="7">
        <v>0</v>
      </c>
      <c r="J748" s="7"/>
      <c r="K748" s="99">
        <f t="shared" si="83"/>
        <v>9389</v>
      </c>
      <c r="L748" s="7">
        <v>1800</v>
      </c>
      <c r="M748" s="7">
        <v>6200</v>
      </c>
      <c r="N748" s="7">
        <v>0</v>
      </c>
      <c r="O748" s="7">
        <v>0</v>
      </c>
      <c r="P748" s="7">
        <v>7150.59</v>
      </c>
      <c r="Q748" s="7">
        <v>2812.1300000000006</v>
      </c>
      <c r="R748" s="113">
        <f t="shared" si="79"/>
        <v>0.47385401263610699</v>
      </c>
      <c r="S748" s="113">
        <f t="shared" si="80"/>
        <v>0.33333333333333331</v>
      </c>
      <c r="T748" s="113">
        <f t="shared" si="81"/>
        <v>0</v>
      </c>
      <c r="U748" s="113">
        <f t="shared" si="82"/>
        <v>0.2690624486564801</v>
      </c>
    </row>
    <row r="749" spans="1:21" x14ac:dyDescent="0.45">
      <c r="A749" s="95">
        <v>45309</v>
      </c>
      <c r="B749" s="96">
        <v>7674</v>
      </c>
      <c r="C749" s="7">
        <v>3920</v>
      </c>
      <c r="D749" s="7">
        <f t="shared" si="77"/>
        <v>3754</v>
      </c>
      <c r="E749" s="97">
        <v>1950</v>
      </c>
      <c r="F749" s="7">
        <v>650</v>
      </c>
      <c r="G749" s="7">
        <f t="shared" si="78"/>
        <v>1300</v>
      </c>
      <c r="H749" s="98">
        <v>0</v>
      </c>
      <c r="I749" s="7">
        <v>0</v>
      </c>
      <c r="J749" s="7"/>
      <c r="K749" s="99">
        <f t="shared" si="83"/>
        <v>9624</v>
      </c>
      <c r="L749" s="7">
        <v>1500</v>
      </c>
      <c r="M749" s="7">
        <v>5200</v>
      </c>
      <c r="N749" s="7">
        <v>0</v>
      </c>
      <c r="O749" s="7">
        <v>0</v>
      </c>
      <c r="P749" s="7">
        <v>7150.59</v>
      </c>
      <c r="Q749" s="7">
        <v>3356.3700000000003</v>
      </c>
      <c r="R749" s="113">
        <f t="shared" si="79"/>
        <v>0.510815741464686</v>
      </c>
      <c r="S749" s="113">
        <f t="shared" si="80"/>
        <v>0.33333333333333331</v>
      </c>
      <c r="T749" s="113">
        <f t="shared" si="81"/>
        <v>0</v>
      </c>
      <c r="U749" s="113">
        <f t="shared" si="82"/>
        <v>0.28138302493267314</v>
      </c>
    </row>
    <row r="750" spans="1:21" x14ac:dyDescent="0.45">
      <c r="A750" s="95">
        <v>45310</v>
      </c>
      <c r="B750" s="96">
        <v>7674</v>
      </c>
      <c r="C750" s="7">
        <v>3920</v>
      </c>
      <c r="D750" s="7">
        <f t="shared" si="77"/>
        <v>3754</v>
      </c>
      <c r="E750" s="97">
        <v>1950</v>
      </c>
      <c r="F750" s="7">
        <v>650</v>
      </c>
      <c r="G750" s="7">
        <f t="shared" si="78"/>
        <v>1300</v>
      </c>
      <c r="H750" s="98">
        <v>0</v>
      </c>
      <c r="I750" s="7">
        <v>0</v>
      </c>
      <c r="J750" s="7"/>
      <c r="K750" s="99">
        <f t="shared" si="83"/>
        <v>9624</v>
      </c>
      <c r="L750" s="7">
        <v>1500</v>
      </c>
      <c r="M750" s="7">
        <v>5200</v>
      </c>
      <c r="N750" s="7">
        <v>0</v>
      </c>
      <c r="O750" s="7">
        <v>0</v>
      </c>
      <c r="P750" s="7">
        <v>7150.59</v>
      </c>
      <c r="Q750" s="7">
        <v>3081.07</v>
      </c>
      <c r="R750" s="113">
        <f t="shared" si="79"/>
        <v>0.510815741464686</v>
      </c>
      <c r="S750" s="113">
        <f t="shared" si="80"/>
        <v>0.33333333333333331</v>
      </c>
      <c r="T750" s="113">
        <f t="shared" si="81"/>
        <v>0</v>
      </c>
      <c r="U750" s="113">
        <f t="shared" si="82"/>
        <v>0.28138302493267314</v>
      </c>
    </row>
    <row r="751" spans="1:21" x14ac:dyDescent="0.45">
      <c r="A751" s="95">
        <v>45311</v>
      </c>
      <c r="B751" s="96">
        <v>7674</v>
      </c>
      <c r="C751" s="7">
        <v>3920</v>
      </c>
      <c r="D751" s="7">
        <f t="shared" si="77"/>
        <v>3754</v>
      </c>
      <c r="E751" s="97">
        <v>1950</v>
      </c>
      <c r="F751" s="7">
        <v>650</v>
      </c>
      <c r="G751" s="7">
        <f t="shared" si="78"/>
        <v>1300</v>
      </c>
      <c r="H751" s="98">
        <v>0</v>
      </c>
      <c r="I751" s="7">
        <v>0</v>
      </c>
      <c r="J751" s="7"/>
      <c r="K751" s="99">
        <f t="shared" si="83"/>
        <v>9624</v>
      </c>
      <c r="L751" s="7">
        <v>1500</v>
      </c>
      <c r="M751" s="7">
        <v>5200</v>
      </c>
      <c r="N751" s="7">
        <v>0</v>
      </c>
      <c r="O751" s="7">
        <v>0</v>
      </c>
      <c r="P751" s="7">
        <v>7150.59</v>
      </c>
      <c r="Q751" s="7">
        <v>3081.07</v>
      </c>
      <c r="R751" s="113">
        <f t="shared" si="79"/>
        <v>0.510815741464686</v>
      </c>
      <c r="S751" s="113">
        <f t="shared" si="80"/>
        <v>0.33333333333333331</v>
      </c>
      <c r="T751" s="113">
        <f t="shared" si="81"/>
        <v>0</v>
      </c>
      <c r="U751" s="113">
        <f t="shared" si="82"/>
        <v>0.28138302493267314</v>
      </c>
    </row>
    <row r="752" spans="1:21" x14ac:dyDescent="0.45">
      <c r="A752" s="95">
        <v>45312</v>
      </c>
      <c r="B752" s="96">
        <v>7674</v>
      </c>
      <c r="C752" s="7">
        <v>3920</v>
      </c>
      <c r="D752" s="7">
        <f t="shared" si="77"/>
        <v>3754</v>
      </c>
      <c r="E752" s="97">
        <v>1950</v>
      </c>
      <c r="F752" s="7">
        <v>650</v>
      </c>
      <c r="G752" s="7">
        <f t="shared" si="78"/>
        <v>1300</v>
      </c>
      <c r="H752" s="98">
        <v>0</v>
      </c>
      <c r="I752" s="7">
        <v>0</v>
      </c>
      <c r="J752" s="7"/>
      <c r="K752" s="99">
        <f t="shared" si="83"/>
        <v>9624</v>
      </c>
      <c r="L752" s="7">
        <v>1500</v>
      </c>
      <c r="M752" s="7">
        <v>5200</v>
      </c>
      <c r="N752" s="7">
        <v>0</v>
      </c>
      <c r="O752" s="7">
        <v>0</v>
      </c>
      <c r="P752" s="7">
        <v>7150.59</v>
      </c>
      <c r="Q752" s="7">
        <v>3081.07</v>
      </c>
      <c r="R752" s="113">
        <f t="shared" si="79"/>
        <v>0.510815741464686</v>
      </c>
      <c r="S752" s="113">
        <f t="shared" si="80"/>
        <v>0.33333333333333331</v>
      </c>
      <c r="T752" s="113">
        <f t="shared" si="81"/>
        <v>0</v>
      </c>
      <c r="U752" s="113">
        <f t="shared" si="82"/>
        <v>0.28138302493267314</v>
      </c>
    </row>
    <row r="753" spans="1:21" x14ac:dyDescent="0.45">
      <c r="A753" s="95">
        <v>45313</v>
      </c>
      <c r="B753" s="96">
        <v>7674</v>
      </c>
      <c r="C753" s="7">
        <v>3920</v>
      </c>
      <c r="D753" s="7">
        <f t="shared" si="77"/>
        <v>3754</v>
      </c>
      <c r="E753" s="97">
        <v>1950</v>
      </c>
      <c r="F753" s="7">
        <v>650</v>
      </c>
      <c r="G753" s="7">
        <f t="shared" si="78"/>
        <v>1300</v>
      </c>
      <c r="H753" s="98">
        <v>0</v>
      </c>
      <c r="I753" s="7">
        <v>0</v>
      </c>
      <c r="J753" s="7"/>
      <c r="K753" s="99">
        <f t="shared" si="83"/>
        <v>9624</v>
      </c>
      <c r="L753" s="7">
        <v>1500</v>
      </c>
      <c r="M753" s="7">
        <v>5200</v>
      </c>
      <c r="N753" s="7">
        <v>0</v>
      </c>
      <c r="O753" s="7">
        <v>0</v>
      </c>
      <c r="P753" s="7">
        <v>7291.0826792044718</v>
      </c>
      <c r="Q753" s="7">
        <v>3686.5412491655288</v>
      </c>
      <c r="R753" s="113">
        <f t="shared" si="79"/>
        <v>0.510815741464686</v>
      </c>
      <c r="S753" s="113">
        <f t="shared" si="80"/>
        <v>0.33333333333333331</v>
      </c>
      <c r="T753" s="113">
        <f t="shared" si="81"/>
        <v>0</v>
      </c>
      <c r="U753" s="113">
        <f t="shared" si="82"/>
        <v>0.28138302493267314</v>
      </c>
    </row>
    <row r="754" spans="1:21" x14ac:dyDescent="0.45">
      <c r="A754" s="95">
        <v>45314</v>
      </c>
      <c r="B754" s="96">
        <v>7674</v>
      </c>
      <c r="C754" s="7">
        <v>3920</v>
      </c>
      <c r="D754" s="7">
        <f t="shared" si="77"/>
        <v>3754</v>
      </c>
      <c r="E754" s="97">
        <v>1950</v>
      </c>
      <c r="F754" s="7">
        <v>150</v>
      </c>
      <c r="G754" s="7">
        <f t="shared" si="78"/>
        <v>1800</v>
      </c>
      <c r="H754" s="98">
        <v>0</v>
      </c>
      <c r="I754" s="7">
        <v>0</v>
      </c>
      <c r="J754" s="7"/>
      <c r="K754" s="99">
        <f t="shared" si="83"/>
        <v>9624</v>
      </c>
      <c r="L754" s="7">
        <v>1500</v>
      </c>
      <c r="M754" s="7">
        <v>5200</v>
      </c>
      <c r="N754" s="7">
        <v>0</v>
      </c>
      <c r="O754" s="7">
        <v>0</v>
      </c>
      <c r="P754" s="7">
        <v>7291.0826792044718</v>
      </c>
      <c r="Q754" s="7">
        <v>4328.6489894255292</v>
      </c>
      <c r="R754" s="113">
        <f t="shared" si="79"/>
        <v>0.510815741464686</v>
      </c>
      <c r="S754" s="113">
        <f t="shared" si="80"/>
        <v>7.6923076923076927E-2</v>
      </c>
      <c r="T754" s="113">
        <f t="shared" si="81"/>
        <v>0</v>
      </c>
      <c r="U754" s="113">
        <f t="shared" si="82"/>
        <v>0.19591293946258767</v>
      </c>
    </row>
    <row r="755" spans="1:21" x14ac:dyDescent="0.45">
      <c r="A755" s="95">
        <v>45315</v>
      </c>
      <c r="B755" s="96">
        <v>7674</v>
      </c>
      <c r="C755" s="7">
        <v>3920</v>
      </c>
      <c r="D755" s="7">
        <f t="shared" si="77"/>
        <v>3754</v>
      </c>
      <c r="E755" s="97">
        <v>1450</v>
      </c>
      <c r="F755" s="7">
        <v>150</v>
      </c>
      <c r="G755" s="7">
        <f t="shared" si="78"/>
        <v>1300</v>
      </c>
      <c r="H755" s="98">
        <v>0</v>
      </c>
      <c r="I755" s="7">
        <v>0</v>
      </c>
      <c r="J755" s="7"/>
      <c r="K755" s="99">
        <f t="shared" si="83"/>
        <v>9124</v>
      </c>
      <c r="L755" s="7">
        <v>1500</v>
      </c>
      <c r="M755" s="7">
        <v>5200</v>
      </c>
      <c r="N755" s="7">
        <v>0</v>
      </c>
      <c r="O755" s="7">
        <v>0</v>
      </c>
      <c r="P755" s="7">
        <v>7291.0826792044718</v>
      </c>
      <c r="Q755" s="7">
        <v>4426.746619975529</v>
      </c>
      <c r="R755" s="113">
        <f t="shared" si="79"/>
        <v>0.510815741464686</v>
      </c>
      <c r="S755" s="113">
        <f t="shared" si="80"/>
        <v>0.10344827586206896</v>
      </c>
      <c r="T755" s="113">
        <f t="shared" si="81"/>
        <v>0</v>
      </c>
      <c r="U755" s="113">
        <f t="shared" si="82"/>
        <v>0.20475467244225165</v>
      </c>
    </row>
    <row r="756" spans="1:21" x14ac:dyDescent="0.45">
      <c r="A756" s="95">
        <v>45316</v>
      </c>
      <c r="B756" s="96">
        <v>7774</v>
      </c>
      <c r="C756" s="7">
        <v>3860</v>
      </c>
      <c r="D756" s="7">
        <f t="shared" si="77"/>
        <v>3914</v>
      </c>
      <c r="E756" s="97">
        <v>1950</v>
      </c>
      <c r="F756" s="7">
        <v>650</v>
      </c>
      <c r="G756" s="7">
        <f t="shared" si="78"/>
        <v>1300</v>
      </c>
      <c r="H756" s="98">
        <v>0</v>
      </c>
      <c r="I756" s="7">
        <v>0</v>
      </c>
      <c r="J756" s="7"/>
      <c r="K756" s="99">
        <f t="shared" si="83"/>
        <v>9724</v>
      </c>
      <c r="L756" s="7">
        <v>2160</v>
      </c>
      <c r="M756" s="7">
        <v>7600</v>
      </c>
      <c r="N756" s="7">
        <v>0</v>
      </c>
      <c r="O756" s="7">
        <v>0</v>
      </c>
      <c r="P756" s="7">
        <v>7291.0826792044718</v>
      </c>
      <c r="Q756" s="7">
        <v>1149.4040697255293</v>
      </c>
      <c r="R756" s="113">
        <f t="shared" si="79"/>
        <v>0.4965268844867507</v>
      </c>
      <c r="S756" s="113">
        <f t="shared" si="80"/>
        <v>0.33333333333333331</v>
      </c>
      <c r="T756" s="113">
        <f t="shared" si="81"/>
        <v>0</v>
      </c>
      <c r="U756" s="113">
        <f t="shared" si="82"/>
        <v>0.27662007260669469</v>
      </c>
    </row>
    <row r="757" spans="1:21" x14ac:dyDescent="0.45">
      <c r="A757" s="95">
        <v>45317</v>
      </c>
      <c r="B757" s="96">
        <v>7774</v>
      </c>
      <c r="C757" s="7">
        <v>3860</v>
      </c>
      <c r="D757" s="7">
        <f t="shared" si="77"/>
        <v>3914</v>
      </c>
      <c r="E757" s="97">
        <v>1950</v>
      </c>
      <c r="F757" s="7">
        <v>650</v>
      </c>
      <c r="G757" s="7">
        <f t="shared" si="78"/>
        <v>1300</v>
      </c>
      <c r="H757" s="98">
        <v>0</v>
      </c>
      <c r="I757" s="7">
        <v>0</v>
      </c>
      <c r="J757" s="7"/>
      <c r="K757" s="99">
        <f t="shared" si="83"/>
        <v>9724</v>
      </c>
      <c r="L757" s="7">
        <v>2160</v>
      </c>
      <c r="M757" s="7">
        <v>7600</v>
      </c>
      <c r="N757" s="7">
        <v>0</v>
      </c>
      <c r="O757" s="7">
        <v>0</v>
      </c>
      <c r="P757" s="7">
        <v>7291.0826792044718</v>
      </c>
      <c r="Q757" s="7">
        <v>2779.3242002655297</v>
      </c>
      <c r="R757" s="113">
        <f t="shared" si="79"/>
        <v>0.4965268844867507</v>
      </c>
      <c r="S757" s="113">
        <f t="shared" si="80"/>
        <v>0.33333333333333331</v>
      </c>
      <c r="T757" s="113">
        <f t="shared" si="81"/>
        <v>0</v>
      </c>
      <c r="U757" s="113">
        <f t="shared" si="82"/>
        <v>0.27662007260669469</v>
      </c>
    </row>
    <row r="758" spans="1:21" x14ac:dyDescent="0.45">
      <c r="A758" s="95">
        <v>45318</v>
      </c>
      <c r="B758" s="96">
        <v>7774</v>
      </c>
      <c r="C758" s="7">
        <v>3860</v>
      </c>
      <c r="D758" s="7">
        <f t="shared" si="77"/>
        <v>3914</v>
      </c>
      <c r="E758" s="97">
        <v>1950</v>
      </c>
      <c r="F758" s="7">
        <v>650</v>
      </c>
      <c r="G758" s="7">
        <f t="shared" si="78"/>
        <v>1300</v>
      </c>
      <c r="H758" s="98">
        <v>0</v>
      </c>
      <c r="I758" s="7">
        <v>0</v>
      </c>
      <c r="J758" s="7"/>
      <c r="K758" s="99">
        <f t="shared" si="83"/>
        <v>9724</v>
      </c>
      <c r="L758" s="7">
        <v>2160</v>
      </c>
      <c r="M758" s="7">
        <v>7600</v>
      </c>
      <c r="N758" s="7">
        <v>0</v>
      </c>
      <c r="O758" s="7">
        <v>0</v>
      </c>
      <c r="P758" s="7">
        <v>7291.0826792044718</v>
      </c>
      <c r="Q758" s="7">
        <v>2779.3242002655297</v>
      </c>
      <c r="R758" s="113">
        <f t="shared" si="79"/>
        <v>0.4965268844867507</v>
      </c>
      <c r="S758" s="113">
        <f t="shared" si="80"/>
        <v>0.33333333333333331</v>
      </c>
      <c r="T758" s="113">
        <f t="shared" si="81"/>
        <v>0</v>
      </c>
      <c r="U758" s="113">
        <f t="shared" si="82"/>
        <v>0.27662007260669469</v>
      </c>
    </row>
    <row r="759" spans="1:21" x14ac:dyDescent="0.45">
      <c r="A759" s="95">
        <v>45319</v>
      </c>
      <c r="B759" s="96">
        <v>7774</v>
      </c>
      <c r="C759" s="7">
        <v>3860</v>
      </c>
      <c r="D759" s="7">
        <f t="shared" si="77"/>
        <v>3914</v>
      </c>
      <c r="E759" s="97">
        <v>1950</v>
      </c>
      <c r="F759" s="7">
        <v>650</v>
      </c>
      <c r="G759" s="7">
        <f t="shared" si="78"/>
        <v>1300</v>
      </c>
      <c r="H759" s="98">
        <v>0</v>
      </c>
      <c r="I759" s="7">
        <v>0</v>
      </c>
      <c r="J759" s="7"/>
      <c r="K759" s="99">
        <f t="shared" si="83"/>
        <v>9724</v>
      </c>
      <c r="L759" s="7">
        <v>2160</v>
      </c>
      <c r="M759" s="7">
        <v>7600</v>
      </c>
      <c r="N759" s="7">
        <v>0</v>
      </c>
      <c r="O759" s="7">
        <v>0</v>
      </c>
      <c r="P759" s="7">
        <v>7291.0826792044718</v>
      </c>
      <c r="Q759" s="7">
        <v>2779.3242002655297</v>
      </c>
      <c r="R759" s="113">
        <f t="shared" si="79"/>
        <v>0.4965268844867507</v>
      </c>
      <c r="S759" s="113">
        <f t="shared" si="80"/>
        <v>0.33333333333333331</v>
      </c>
      <c r="T759" s="113">
        <f t="shared" si="81"/>
        <v>0</v>
      </c>
      <c r="U759" s="113">
        <f t="shared" si="82"/>
        <v>0.27662007260669469</v>
      </c>
    </row>
    <row r="760" spans="1:21" x14ac:dyDescent="0.45">
      <c r="A760" s="95">
        <v>45320</v>
      </c>
      <c r="B760" s="96">
        <v>7774</v>
      </c>
      <c r="C760" s="7">
        <v>3860</v>
      </c>
      <c r="D760" s="7">
        <f t="shared" si="77"/>
        <v>3914</v>
      </c>
      <c r="E760" s="97">
        <v>1950</v>
      </c>
      <c r="F760" s="7">
        <v>650</v>
      </c>
      <c r="G760" s="7">
        <f t="shared" si="78"/>
        <v>1300</v>
      </c>
      <c r="H760" s="98">
        <v>0</v>
      </c>
      <c r="I760" s="7">
        <v>0</v>
      </c>
      <c r="J760" s="7"/>
      <c r="K760" s="99">
        <f t="shared" si="83"/>
        <v>9724</v>
      </c>
      <c r="L760" s="7">
        <v>3280</v>
      </c>
      <c r="M760" s="7">
        <v>7600</v>
      </c>
      <c r="N760" s="7">
        <v>0</v>
      </c>
      <c r="O760" s="7">
        <v>0</v>
      </c>
      <c r="P760" s="7">
        <v>7291.0826792044718</v>
      </c>
      <c r="Q760" s="7">
        <v>1508.6987042355292</v>
      </c>
      <c r="R760" s="113">
        <f t="shared" si="79"/>
        <v>0.4965268844867507</v>
      </c>
      <c r="S760" s="113">
        <f t="shared" si="80"/>
        <v>0.33333333333333331</v>
      </c>
      <c r="T760" s="113">
        <f t="shared" si="81"/>
        <v>0</v>
      </c>
      <c r="U760" s="113">
        <f t="shared" si="82"/>
        <v>0.27662007260669469</v>
      </c>
    </row>
    <row r="761" spans="1:21" x14ac:dyDescent="0.45">
      <c r="A761" s="95">
        <v>45321</v>
      </c>
      <c r="B761" s="96">
        <v>7774</v>
      </c>
      <c r="C761" s="7">
        <v>3860</v>
      </c>
      <c r="D761" s="7">
        <f t="shared" si="77"/>
        <v>3914</v>
      </c>
      <c r="E761" s="97">
        <v>1950</v>
      </c>
      <c r="F761" s="7">
        <v>650</v>
      </c>
      <c r="G761" s="7">
        <f t="shared" si="78"/>
        <v>1300</v>
      </c>
      <c r="H761" s="98">
        <v>0</v>
      </c>
      <c r="I761" s="7">
        <v>0</v>
      </c>
      <c r="J761" s="7"/>
      <c r="K761" s="99">
        <f t="shared" si="83"/>
        <v>9724</v>
      </c>
      <c r="L761" s="7">
        <v>2780</v>
      </c>
      <c r="M761" s="7">
        <v>7600</v>
      </c>
      <c r="N761" s="7">
        <v>0</v>
      </c>
      <c r="O761" s="7">
        <v>0</v>
      </c>
      <c r="P761" s="7">
        <v>7291.0826792044718</v>
      </c>
      <c r="Q761" s="7">
        <v>2150.8962392555295</v>
      </c>
      <c r="R761" s="113">
        <f t="shared" si="79"/>
        <v>0.4965268844867507</v>
      </c>
      <c r="S761" s="113">
        <f t="shared" si="80"/>
        <v>0.33333333333333331</v>
      </c>
      <c r="T761" s="113">
        <f t="shared" si="81"/>
        <v>0</v>
      </c>
      <c r="U761" s="113">
        <f t="shared" si="82"/>
        <v>0.27662007260669469</v>
      </c>
    </row>
    <row r="762" spans="1:21" x14ac:dyDescent="0.45">
      <c r="A762" s="95">
        <v>45322</v>
      </c>
      <c r="B762" s="96">
        <v>7774</v>
      </c>
      <c r="C762" s="7">
        <v>3860</v>
      </c>
      <c r="D762" s="7">
        <f t="shared" si="77"/>
        <v>3914</v>
      </c>
      <c r="E762" s="97">
        <v>1950</v>
      </c>
      <c r="F762" s="7">
        <v>650</v>
      </c>
      <c r="G762" s="7">
        <f t="shared" si="78"/>
        <v>1300</v>
      </c>
      <c r="H762" s="98">
        <v>0</v>
      </c>
      <c r="I762" s="7">
        <v>0</v>
      </c>
      <c r="J762" s="7"/>
      <c r="K762" s="99">
        <f t="shared" si="83"/>
        <v>9724</v>
      </c>
      <c r="L762" s="7">
        <v>2980</v>
      </c>
      <c r="M762" s="7">
        <v>7600</v>
      </c>
      <c r="N762" s="7">
        <v>0</v>
      </c>
      <c r="O762" s="7">
        <v>0</v>
      </c>
      <c r="P762" s="7">
        <v>7291.0826792044718</v>
      </c>
      <c r="Q762" s="7">
        <v>2035.9504086255297</v>
      </c>
      <c r="R762" s="113">
        <f t="shared" si="79"/>
        <v>0.4965268844867507</v>
      </c>
      <c r="S762" s="113">
        <f t="shared" si="80"/>
        <v>0.33333333333333331</v>
      </c>
      <c r="T762" s="113">
        <f t="shared" si="81"/>
        <v>0</v>
      </c>
      <c r="U762" s="113">
        <f t="shared" si="82"/>
        <v>0.27662007260669469</v>
      </c>
    </row>
    <row r="763" spans="1:21" x14ac:dyDescent="0.45">
      <c r="A763" s="95">
        <v>45323</v>
      </c>
      <c r="B763" s="96">
        <v>8014</v>
      </c>
      <c r="C763" s="7">
        <v>4100</v>
      </c>
      <c r="D763" s="7">
        <f t="shared" si="77"/>
        <v>3914</v>
      </c>
      <c r="E763" s="97">
        <v>1950</v>
      </c>
      <c r="F763" s="7">
        <v>650</v>
      </c>
      <c r="G763" s="7">
        <f t="shared" si="78"/>
        <v>1300</v>
      </c>
      <c r="H763" s="98">
        <v>0</v>
      </c>
      <c r="I763" s="7">
        <v>0</v>
      </c>
      <c r="J763" s="7"/>
      <c r="K763" s="99">
        <f t="shared" si="83"/>
        <v>9964</v>
      </c>
      <c r="L763" s="7">
        <v>2280</v>
      </c>
      <c r="M763" s="7">
        <v>8700</v>
      </c>
      <c r="N763" s="7">
        <v>0</v>
      </c>
      <c r="O763" s="7">
        <v>0</v>
      </c>
      <c r="P763" s="7">
        <v>7291.0826792044718</v>
      </c>
      <c r="Q763" s="7">
        <v>815.46137077552919</v>
      </c>
      <c r="R763" s="113">
        <f t="shared" si="79"/>
        <v>0.51160469178936863</v>
      </c>
      <c r="S763" s="113">
        <f t="shared" si="80"/>
        <v>0.33333333333333331</v>
      </c>
      <c r="T763" s="113">
        <f t="shared" si="81"/>
        <v>0</v>
      </c>
      <c r="U763" s="113">
        <f t="shared" si="82"/>
        <v>0.28164600837423398</v>
      </c>
    </row>
    <row r="764" spans="1:21" x14ac:dyDescent="0.45">
      <c r="A764" s="95">
        <v>45324</v>
      </c>
      <c r="B764" s="96">
        <v>8014</v>
      </c>
      <c r="C764" s="7">
        <v>4100</v>
      </c>
      <c r="D764" s="7">
        <f t="shared" si="77"/>
        <v>3914</v>
      </c>
      <c r="E764" s="97">
        <v>1950</v>
      </c>
      <c r="F764" s="7">
        <v>650</v>
      </c>
      <c r="G764" s="7">
        <f t="shared" si="78"/>
        <v>1300</v>
      </c>
      <c r="H764" s="98">
        <v>0</v>
      </c>
      <c r="I764" s="7">
        <v>0</v>
      </c>
      <c r="J764" s="7"/>
      <c r="K764" s="99">
        <f t="shared" si="83"/>
        <v>9964</v>
      </c>
      <c r="L764" s="7">
        <v>2280</v>
      </c>
      <c r="M764" s="7">
        <v>8700</v>
      </c>
      <c r="N764" s="7">
        <v>0</v>
      </c>
      <c r="O764" s="7">
        <v>0</v>
      </c>
      <c r="P764" s="7">
        <v>7291.0826792044718</v>
      </c>
      <c r="Q764" s="7">
        <v>482.28155266552949</v>
      </c>
      <c r="R764" s="113">
        <f t="shared" si="79"/>
        <v>0.51160469178936863</v>
      </c>
      <c r="S764" s="113">
        <f t="shared" si="80"/>
        <v>0.33333333333333331</v>
      </c>
      <c r="T764" s="113">
        <f t="shared" si="81"/>
        <v>0</v>
      </c>
      <c r="U764" s="113">
        <f t="shared" si="82"/>
        <v>0.28164600837423398</v>
      </c>
    </row>
    <row r="765" spans="1:21" x14ac:dyDescent="0.45">
      <c r="A765" s="95">
        <v>45325</v>
      </c>
      <c r="B765" s="96">
        <v>8014</v>
      </c>
      <c r="C765" s="7">
        <v>4100</v>
      </c>
      <c r="D765" s="7">
        <f t="shared" si="77"/>
        <v>3914</v>
      </c>
      <c r="E765" s="97">
        <v>1950</v>
      </c>
      <c r="F765" s="7">
        <v>650</v>
      </c>
      <c r="G765" s="7">
        <f t="shared" si="78"/>
        <v>1300</v>
      </c>
      <c r="H765" s="98">
        <v>0</v>
      </c>
      <c r="I765" s="7">
        <v>0</v>
      </c>
      <c r="J765" s="7"/>
      <c r="K765" s="99">
        <f t="shared" si="83"/>
        <v>9964</v>
      </c>
      <c r="L765" s="7">
        <v>2280</v>
      </c>
      <c r="M765" s="7">
        <v>8700</v>
      </c>
      <c r="N765" s="7">
        <v>0</v>
      </c>
      <c r="O765" s="7">
        <v>0</v>
      </c>
      <c r="P765" s="7">
        <v>7291.0826792044718</v>
      </c>
      <c r="Q765" s="7">
        <v>482.28155266552949</v>
      </c>
      <c r="R765" s="113">
        <f t="shared" si="79"/>
        <v>0.51160469178936863</v>
      </c>
      <c r="S765" s="113">
        <f t="shared" si="80"/>
        <v>0.33333333333333331</v>
      </c>
      <c r="T765" s="113">
        <f t="shared" si="81"/>
        <v>0</v>
      </c>
      <c r="U765" s="113">
        <f t="shared" si="82"/>
        <v>0.28164600837423398</v>
      </c>
    </row>
    <row r="766" spans="1:21" x14ac:dyDescent="0.45">
      <c r="A766" s="95">
        <v>45326</v>
      </c>
      <c r="B766" s="96">
        <v>8014</v>
      </c>
      <c r="C766" s="7">
        <v>4100</v>
      </c>
      <c r="D766" s="7">
        <f t="shared" si="77"/>
        <v>3914</v>
      </c>
      <c r="E766" s="97">
        <v>1950</v>
      </c>
      <c r="F766" s="7">
        <v>650</v>
      </c>
      <c r="G766" s="7">
        <f t="shared" si="78"/>
        <v>1300</v>
      </c>
      <c r="H766" s="98">
        <v>0</v>
      </c>
      <c r="I766" s="7">
        <v>0</v>
      </c>
      <c r="J766" s="7"/>
      <c r="K766" s="99">
        <f t="shared" si="83"/>
        <v>9964</v>
      </c>
      <c r="L766" s="7">
        <v>2280</v>
      </c>
      <c r="M766" s="7">
        <v>8700</v>
      </c>
      <c r="N766" s="7">
        <v>0</v>
      </c>
      <c r="O766" s="7">
        <v>0</v>
      </c>
      <c r="P766" s="7">
        <v>7291.0826792044718</v>
      </c>
      <c r="Q766" s="7">
        <v>482.28155266552949</v>
      </c>
      <c r="R766" s="113">
        <f t="shared" si="79"/>
        <v>0.51160469178936863</v>
      </c>
      <c r="S766" s="113">
        <f t="shared" si="80"/>
        <v>0.33333333333333331</v>
      </c>
      <c r="T766" s="113">
        <f t="shared" si="81"/>
        <v>0</v>
      </c>
      <c r="U766" s="113">
        <f t="shared" si="82"/>
        <v>0.28164600837423398</v>
      </c>
    </row>
    <row r="767" spans="1:21" x14ac:dyDescent="0.45">
      <c r="A767" s="95">
        <v>45327</v>
      </c>
      <c r="B767" s="96">
        <v>8014</v>
      </c>
      <c r="C767" s="7">
        <v>4100</v>
      </c>
      <c r="D767" s="7">
        <f t="shared" si="77"/>
        <v>3914</v>
      </c>
      <c r="E767" s="97">
        <v>1950</v>
      </c>
      <c r="F767" s="7">
        <v>650</v>
      </c>
      <c r="G767" s="7">
        <f t="shared" si="78"/>
        <v>1300</v>
      </c>
      <c r="H767" s="98">
        <v>0</v>
      </c>
      <c r="I767" s="7">
        <v>0</v>
      </c>
      <c r="J767" s="7"/>
      <c r="K767" s="99">
        <f t="shared" si="83"/>
        <v>9964</v>
      </c>
      <c r="L767" s="7">
        <v>2280</v>
      </c>
      <c r="M767" s="7">
        <v>8700</v>
      </c>
      <c r="N767" s="7">
        <v>0</v>
      </c>
      <c r="O767" s="7">
        <v>0</v>
      </c>
      <c r="P767" s="7">
        <v>7291.0826792044718</v>
      </c>
      <c r="Q767" s="7">
        <v>50.951931885529063</v>
      </c>
      <c r="R767" s="113">
        <f t="shared" si="79"/>
        <v>0.51160469178936863</v>
      </c>
      <c r="S767" s="113">
        <f t="shared" si="80"/>
        <v>0.33333333333333331</v>
      </c>
      <c r="T767" s="113">
        <f t="shared" si="81"/>
        <v>0</v>
      </c>
      <c r="U767" s="113">
        <f t="shared" si="82"/>
        <v>0.28164600837423398</v>
      </c>
    </row>
    <row r="768" spans="1:21" x14ac:dyDescent="0.45">
      <c r="A768" s="95">
        <v>45328</v>
      </c>
      <c r="B768" s="96">
        <v>8014</v>
      </c>
      <c r="C768" s="7">
        <v>4100</v>
      </c>
      <c r="D768" s="7">
        <f t="shared" si="77"/>
        <v>3914</v>
      </c>
      <c r="E768" s="97">
        <v>1950</v>
      </c>
      <c r="F768" s="7">
        <v>650</v>
      </c>
      <c r="G768" s="7">
        <f t="shared" si="78"/>
        <v>1300</v>
      </c>
      <c r="H768" s="98">
        <v>0</v>
      </c>
      <c r="I768" s="7">
        <v>0</v>
      </c>
      <c r="J768" s="7"/>
      <c r="K768" s="99">
        <f t="shared" si="83"/>
        <v>9964</v>
      </c>
      <c r="L768" s="7">
        <v>2280</v>
      </c>
      <c r="M768" s="7">
        <v>8700</v>
      </c>
      <c r="N768" s="7">
        <v>0</v>
      </c>
      <c r="O768" s="7">
        <v>0</v>
      </c>
      <c r="P768" s="7">
        <v>7291.0826792044718</v>
      </c>
      <c r="Q768" s="7">
        <v>562.66594914552911</v>
      </c>
      <c r="R768" s="113">
        <f t="shared" si="79"/>
        <v>0.51160469178936863</v>
      </c>
      <c r="S768" s="113">
        <f t="shared" si="80"/>
        <v>0.33333333333333331</v>
      </c>
      <c r="T768" s="113">
        <f t="shared" si="81"/>
        <v>0</v>
      </c>
      <c r="U768" s="113">
        <f t="shared" si="82"/>
        <v>0.28164600837423398</v>
      </c>
    </row>
    <row r="769" spans="1:21" x14ac:dyDescent="0.45">
      <c r="A769" s="95">
        <v>45329</v>
      </c>
      <c r="B769" s="96">
        <v>8014</v>
      </c>
      <c r="C769" s="7">
        <v>4100</v>
      </c>
      <c r="D769" s="7">
        <f t="shared" si="77"/>
        <v>3914</v>
      </c>
      <c r="E769" s="97">
        <v>1950</v>
      </c>
      <c r="F769" s="7">
        <v>650</v>
      </c>
      <c r="G769" s="7">
        <f t="shared" si="78"/>
        <v>1300</v>
      </c>
      <c r="H769" s="98">
        <v>0</v>
      </c>
      <c r="I769" s="7">
        <v>0</v>
      </c>
      <c r="J769" s="7"/>
      <c r="K769" s="99">
        <f t="shared" si="83"/>
        <v>9964</v>
      </c>
      <c r="L769" s="7">
        <v>2280</v>
      </c>
      <c r="M769" s="7">
        <v>8700</v>
      </c>
      <c r="N769" s="7">
        <v>0</v>
      </c>
      <c r="O769" s="7">
        <v>0</v>
      </c>
      <c r="P769" s="7">
        <v>7291.0826792044718</v>
      </c>
      <c r="Q769" s="7">
        <v>548.40401589552903</v>
      </c>
      <c r="R769" s="113">
        <f t="shared" si="79"/>
        <v>0.51160469178936863</v>
      </c>
      <c r="S769" s="113">
        <f t="shared" si="80"/>
        <v>0.33333333333333331</v>
      </c>
      <c r="T769" s="113">
        <f t="shared" si="81"/>
        <v>0</v>
      </c>
      <c r="U769" s="113">
        <f t="shared" si="82"/>
        <v>0.28164600837423398</v>
      </c>
    </row>
    <row r="770" spans="1:21" x14ac:dyDescent="0.45">
      <c r="A770" s="95">
        <v>45330</v>
      </c>
      <c r="B770" s="96">
        <v>7914</v>
      </c>
      <c r="C770" s="7">
        <v>4050</v>
      </c>
      <c r="D770" s="7">
        <f t="shared" ref="D770:D833" si="84">B770-C770</f>
        <v>3864</v>
      </c>
      <c r="E770" s="97">
        <v>1950</v>
      </c>
      <c r="F770" s="7">
        <v>650</v>
      </c>
      <c r="G770" s="7">
        <f t="shared" ref="G770:G833" si="85">E770-F770</f>
        <v>1300</v>
      </c>
      <c r="H770" s="98">
        <v>0</v>
      </c>
      <c r="I770" s="7">
        <v>0</v>
      </c>
      <c r="J770" s="7"/>
      <c r="K770" s="99">
        <f t="shared" si="83"/>
        <v>9864</v>
      </c>
      <c r="L770" s="7">
        <v>2280</v>
      </c>
      <c r="M770" s="7">
        <v>8700</v>
      </c>
      <c r="N770" s="7">
        <v>0</v>
      </c>
      <c r="O770" s="7">
        <v>0</v>
      </c>
      <c r="P770" s="7">
        <v>7291.0826792044718</v>
      </c>
      <c r="Q770" s="7">
        <v>-290.53352626447122</v>
      </c>
      <c r="R770" s="113">
        <f t="shared" si="79"/>
        <v>0.51175132676269897</v>
      </c>
      <c r="S770" s="113">
        <f t="shared" si="80"/>
        <v>0.33333333333333331</v>
      </c>
      <c r="T770" s="113">
        <f t="shared" si="81"/>
        <v>0</v>
      </c>
      <c r="U770" s="113">
        <f t="shared" si="82"/>
        <v>0.28169488669867743</v>
      </c>
    </row>
    <row r="771" spans="1:21" x14ac:dyDescent="0.45">
      <c r="A771" s="95">
        <v>45331</v>
      </c>
      <c r="B771" s="96">
        <v>7914</v>
      </c>
      <c r="C771" s="7">
        <v>4050</v>
      </c>
      <c r="D771" s="7">
        <f t="shared" si="84"/>
        <v>3864</v>
      </c>
      <c r="E771" s="97">
        <v>1950</v>
      </c>
      <c r="F771" s="7">
        <v>650</v>
      </c>
      <c r="G771" s="7">
        <f t="shared" si="85"/>
        <v>1300</v>
      </c>
      <c r="H771" s="98">
        <v>0</v>
      </c>
      <c r="I771" s="7">
        <v>0</v>
      </c>
      <c r="J771" s="7"/>
      <c r="K771" s="99">
        <f t="shared" si="83"/>
        <v>9864</v>
      </c>
      <c r="L771" s="7">
        <v>2280</v>
      </c>
      <c r="M771" s="7">
        <v>8700</v>
      </c>
      <c r="N771" s="7">
        <v>0</v>
      </c>
      <c r="O771" s="7">
        <v>0</v>
      </c>
      <c r="P771" s="7">
        <v>7291.0826792044718</v>
      </c>
      <c r="Q771" s="7">
        <v>-794.66096648447092</v>
      </c>
      <c r="R771" s="113">
        <f t="shared" ref="R771:R834" si="86">C771/B771</f>
        <v>0.51175132676269897</v>
      </c>
      <c r="S771" s="113">
        <f t="shared" ref="S771:S834" si="87">F771/E771</f>
        <v>0.33333333333333331</v>
      </c>
      <c r="T771" s="113">
        <f t="shared" ref="T771:T834" si="88">IF(H771=0,0,I771/H771)</f>
        <v>0</v>
      </c>
      <c r="U771" s="113">
        <f t="shared" ref="U771:U834" si="89">AVERAGE(R771:T771)</f>
        <v>0.28169488669867743</v>
      </c>
    </row>
    <row r="772" spans="1:21" x14ac:dyDescent="0.45">
      <c r="A772" s="95">
        <v>45332</v>
      </c>
      <c r="B772" s="96">
        <v>7914</v>
      </c>
      <c r="C772" s="7">
        <v>4050</v>
      </c>
      <c r="D772" s="7">
        <f t="shared" si="84"/>
        <v>3864</v>
      </c>
      <c r="E772" s="97">
        <v>1950</v>
      </c>
      <c r="F772" s="7">
        <v>650</v>
      </c>
      <c r="G772" s="7">
        <f t="shared" si="85"/>
        <v>1300</v>
      </c>
      <c r="H772" s="98">
        <v>0</v>
      </c>
      <c r="I772" s="7">
        <v>0</v>
      </c>
      <c r="J772" s="7"/>
      <c r="K772" s="99">
        <f t="shared" ref="K772:K835" si="90">B772+E772+H772</f>
        <v>9864</v>
      </c>
      <c r="L772" s="7">
        <v>2280</v>
      </c>
      <c r="M772" s="7">
        <v>8700</v>
      </c>
      <c r="N772" s="7">
        <v>0</v>
      </c>
      <c r="O772" s="7">
        <v>0</v>
      </c>
      <c r="P772" s="7">
        <v>7291.0826792044718</v>
      </c>
      <c r="Q772" s="7">
        <v>-794.66096648447092</v>
      </c>
      <c r="R772" s="113">
        <f t="shared" si="86"/>
        <v>0.51175132676269897</v>
      </c>
      <c r="S772" s="113">
        <f t="shared" si="87"/>
        <v>0.33333333333333331</v>
      </c>
      <c r="T772" s="113">
        <f t="shared" si="88"/>
        <v>0</v>
      </c>
      <c r="U772" s="113">
        <f t="shared" si="89"/>
        <v>0.28169488669867743</v>
      </c>
    </row>
    <row r="773" spans="1:21" x14ac:dyDescent="0.45">
      <c r="A773" s="95">
        <v>45333</v>
      </c>
      <c r="B773" s="96">
        <v>7914</v>
      </c>
      <c r="C773" s="7">
        <v>4050</v>
      </c>
      <c r="D773" s="7">
        <f t="shared" si="84"/>
        <v>3864</v>
      </c>
      <c r="E773" s="97">
        <v>1950</v>
      </c>
      <c r="F773" s="7">
        <v>650</v>
      </c>
      <c r="G773" s="7">
        <f t="shared" si="85"/>
        <v>1300</v>
      </c>
      <c r="H773" s="98">
        <v>0</v>
      </c>
      <c r="I773" s="7">
        <v>0</v>
      </c>
      <c r="J773" s="7"/>
      <c r="K773" s="99">
        <f t="shared" si="90"/>
        <v>9864</v>
      </c>
      <c r="L773" s="7">
        <v>2280</v>
      </c>
      <c r="M773" s="7">
        <v>8700</v>
      </c>
      <c r="N773" s="7">
        <v>0</v>
      </c>
      <c r="O773" s="7">
        <v>0</v>
      </c>
      <c r="P773" s="7">
        <v>7291.0826792044718</v>
      </c>
      <c r="Q773" s="7">
        <v>-794.66096648447092</v>
      </c>
      <c r="R773" s="113">
        <f t="shared" si="86"/>
        <v>0.51175132676269897</v>
      </c>
      <c r="S773" s="113">
        <f t="shared" si="87"/>
        <v>0.33333333333333331</v>
      </c>
      <c r="T773" s="113">
        <f t="shared" si="88"/>
        <v>0</v>
      </c>
      <c r="U773" s="113">
        <f t="shared" si="89"/>
        <v>0.28169488669867743</v>
      </c>
    </row>
    <row r="774" spans="1:21" x14ac:dyDescent="0.45">
      <c r="A774" s="95">
        <v>45334</v>
      </c>
      <c r="B774" s="96">
        <v>7914</v>
      </c>
      <c r="C774" s="7">
        <v>4050</v>
      </c>
      <c r="D774" s="7">
        <f t="shared" si="84"/>
        <v>3864</v>
      </c>
      <c r="E774" s="97">
        <v>1950</v>
      </c>
      <c r="F774" s="7">
        <v>650</v>
      </c>
      <c r="G774" s="7">
        <f t="shared" si="85"/>
        <v>1300</v>
      </c>
      <c r="H774" s="98">
        <v>0</v>
      </c>
      <c r="I774" s="7">
        <v>0</v>
      </c>
      <c r="J774" s="7"/>
      <c r="K774" s="99">
        <f t="shared" si="90"/>
        <v>9864</v>
      </c>
      <c r="L774" s="7">
        <v>2280</v>
      </c>
      <c r="M774" s="7">
        <v>8700</v>
      </c>
      <c r="N774" s="7">
        <v>0</v>
      </c>
      <c r="O774" s="7">
        <v>0</v>
      </c>
      <c r="P774" s="7">
        <v>7291.0826792044718</v>
      </c>
      <c r="Q774" s="7">
        <v>-575.1800010044708</v>
      </c>
      <c r="R774" s="113">
        <f t="shared" si="86"/>
        <v>0.51175132676269897</v>
      </c>
      <c r="S774" s="113">
        <f t="shared" si="87"/>
        <v>0.33333333333333331</v>
      </c>
      <c r="T774" s="113">
        <f t="shared" si="88"/>
        <v>0</v>
      </c>
      <c r="U774" s="113">
        <f t="shared" si="89"/>
        <v>0.28169488669867743</v>
      </c>
    </row>
    <row r="775" spans="1:21" x14ac:dyDescent="0.45">
      <c r="A775" s="95">
        <v>45335</v>
      </c>
      <c r="B775" s="96">
        <v>7914</v>
      </c>
      <c r="C775" s="7">
        <v>4050</v>
      </c>
      <c r="D775" s="7">
        <f t="shared" si="84"/>
        <v>3864</v>
      </c>
      <c r="E775" s="97">
        <v>1950</v>
      </c>
      <c r="F775" s="7">
        <v>650</v>
      </c>
      <c r="G775" s="7">
        <f t="shared" si="85"/>
        <v>1300</v>
      </c>
      <c r="H775" s="98">
        <v>0</v>
      </c>
      <c r="I775" s="7">
        <v>0</v>
      </c>
      <c r="J775" s="7"/>
      <c r="K775" s="99">
        <f t="shared" si="90"/>
        <v>9864</v>
      </c>
      <c r="L775" s="7">
        <v>2280</v>
      </c>
      <c r="M775" s="7">
        <v>8700</v>
      </c>
      <c r="N775" s="7">
        <v>0</v>
      </c>
      <c r="O775" s="7">
        <v>0</v>
      </c>
      <c r="P775" s="7">
        <v>7291.0826792044718</v>
      </c>
      <c r="Q775" s="7">
        <v>-499.39055967447098</v>
      </c>
      <c r="R775" s="113">
        <f t="shared" si="86"/>
        <v>0.51175132676269897</v>
      </c>
      <c r="S775" s="113">
        <f t="shared" si="87"/>
        <v>0.33333333333333331</v>
      </c>
      <c r="T775" s="113">
        <f t="shared" si="88"/>
        <v>0</v>
      </c>
      <c r="U775" s="113">
        <f t="shared" si="89"/>
        <v>0.28169488669867743</v>
      </c>
    </row>
    <row r="776" spans="1:21" x14ac:dyDescent="0.45">
      <c r="A776" s="95">
        <v>45336</v>
      </c>
      <c r="B776" s="96">
        <v>7914</v>
      </c>
      <c r="C776" s="7">
        <v>4050</v>
      </c>
      <c r="D776" s="7">
        <f t="shared" si="84"/>
        <v>3864</v>
      </c>
      <c r="E776" s="97">
        <v>1950</v>
      </c>
      <c r="F776" s="7">
        <v>650</v>
      </c>
      <c r="G776" s="7">
        <f t="shared" si="85"/>
        <v>1300</v>
      </c>
      <c r="H776" s="98">
        <v>0</v>
      </c>
      <c r="I776" s="7">
        <v>0</v>
      </c>
      <c r="J776" s="7"/>
      <c r="K776" s="99">
        <f t="shared" si="90"/>
        <v>9864</v>
      </c>
      <c r="L776" s="7">
        <v>2280</v>
      </c>
      <c r="M776" s="7">
        <v>8700</v>
      </c>
      <c r="N776" s="7">
        <v>0</v>
      </c>
      <c r="O776" s="7">
        <v>0</v>
      </c>
      <c r="P776" s="7">
        <v>7291.0826792044718</v>
      </c>
      <c r="Q776" s="7">
        <v>-717.81007682447057</v>
      </c>
      <c r="R776" s="113">
        <f t="shared" si="86"/>
        <v>0.51175132676269897</v>
      </c>
      <c r="S776" s="113">
        <f t="shared" si="87"/>
        <v>0.33333333333333331</v>
      </c>
      <c r="T776" s="113">
        <f t="shared" si="88"/>
        <v>0</v>
      </c>
      <c r="U776" s="113">
        <f t="shared" si="89"/>
        <v>0.28169488669867743</v>
      </c>
    </row>
    <row r="777" spans="1:21" x14ac:dyDescent="0.45">
      <c r="A777" s="95">
        <v>45337</v>
      </c>
      <c r="B777" s="96">
        <v>7729</v>
      </c>
      <c r="C777" s="7">
        <v>3935</v>
      </c>
      <c r="D777" s="7">
        <f t="shared" si="84"/>
        <v>3794</v>
      </c>
      <c r="E777" s="97">
        <v>1950</v>
      </c>
      <c r="F777" s="7">
        <v>650</v>
      </c>
      <c r="G777" s="7">
        <f t="shared" si="85"/>
        <v>1300</v>
      </c>
      <c r="H777" s="98">
        <v>400</v>
      </c>
      <c r="I777" s="7"/>
      <c r="J777" s="7">
        <f>H777-I777</f>
        <v>400</v>
      </c>
      <c r="K777" s="99">
        <f t="shared" si="90"/>
        <v>10079</v>
      </c>
      <c r="L777" s="7">
        <v>1900</v>
      </c>
      <c r="M777" s="7">
        <v>7000</v>
      </c>
      <c r="N777" s="7">
        <v>0</v>
      </c>
      <c r="O777" s="7">
        <v>0</v>
      </c>
      <c r="P777" s="7">
        <v>7291.0826792044718</v>
      </c>
      <c r="Q777" s="7">
        <v>317.50543150552932</v>
      </c>
      <c r="R777" s="113">
        <f t="shared" si="86"/>
        <v>0.50912149049036093</v>
      </c>
      <c r="S777" s="113">
        <f t="shared" si="87"/>
        <v>0.33333333333333331</v>
      </c>
      <c r="T777" s="113">
        <f t="shared" si="88"/>
        <v>0</v>
      </c>
      <c r="U777" s="113">
        <f t="shared" si="89"/>
        <v>0.28081827460789804</v>
      </c>
    </row>
    <row r="778" spans="1:21" x14ac:dyDescent="0.45">
      <c r="A778" s="95">
        <v>45338</v>
      </c>
      <c r="B778" s="96">
        <v>7729</v>
      </c>
      <c r="C778" s="7">
        <v>3935</v>
      </c>
      <c r="D778" s="7">
        <f t="shared" si="84"/>
        <v>3794</v>
      </c>
      <c r="E778" s="97">
        <v>1950</v>
      </c>
      <c r="F778" s="7">
        <v>650</v>
      </c>
      <c r="G778" s="7">
        <f t="shared" si="85"/>
        <v>1300</v>
      </c>
      <c r="H778" s="98">
        <v>400</v>
      </c>
      <c r="I778" s="7"/>
      <c r="J778" s="7">
        <f t="shared" ref="J778:J841" si="91">H778-I778</f>
        <v>400</v>
      </c>
      <c r="K778" s="99">
        <f t="shared" si="90"/>
        <v>10079</v>
      </c>
      <c r="L778" s="7">
        <v>1900</v>
      </c>
      <c r="M778" s="7">
        <v>7000</v>
      </c>
      <c r="N778" s="7">
        <v>0</v>
      </c>
      <c r="O778" s="7">
        <v>0</v>
      </c>
      <c r="P778" s="7">
        <v>7291.0826792044718</v>
      </c>
      <c r="Q778" s="7">
        <v>220.81523286552903</v>
      </c>
      <c r="R778" s="113">
        <f t="shared" si="86"/>
        <v>0.50912149049036093</v>
      </c>
      <c r="S778" s="113">
        <f t="shared" si="87"/>
        <v>0.33333333333333331</v>
      </c>
      <c r="T778" s="113">
        <f t="shared" si="88"/>
        <v>0</v>
      </c>
      <c r="U778" s="113">
        <f t="shared" si="89"/>
        <v>0.28081827460789804</v>
      </c>
    </row>
    <row r="779" spans="1:21" x14ac:dyDescent="0.45">
      <c r="A779" s="95">
        <v>45339</v>
      </c>
      <c r="B779" s="96">
        <v>7729</v>
      </c>
      <c r="C779" s="7">
        <v>3935</v>
      </c>
      <c r="D779" s="7">
        <f t="shared" si="84"/>
        <v>3794</v>
      </c>
      <c r="E779" s="97">
        <v>1950</v>
      </c>
      <c r="F779" s="7">
        <v>650</v>
      </c>
      <c r="G779" s="7">
        <f t="shared" si="85"/>
        <v>1300</v>
      </c>
      <c r="H779" s="98">
        <v>400</v>
      </c>
      <c r="I779" s="7"/>
      <c r="J779" s="7">
        <f t="shared" si="91"/>
        <v>400</v>
      </c>
      <c r="K779" s="99">
        <f t="shared" si="90"/>
        <v>10079</v>
      </c>
      <c r="L779" s="7">
        <v>1900</v>
      </c>
      <c r="M779" s="7">
        <v>7000</v>
      </c>
      <c r="N779" s="7">
        <v>0</v>
      </c>
      <c r="O779" s="7">
        <v>0</v>
      </c>
      <c r="P779" s="7">
        <v>7291.0826792044718</v>
      </c>
      <c r="Q779" s="7">
        <v>220.81523286552903</v>
      </c>
      <c r="R779" s="113">
        <f t="shared" si="86"/>
        <v>0.50912149049036093</v>
      </c>
      <c r="S779" s="113">
        <f t="shared" si="87"/>
        <v>0.33333333333333331</v>
      </c>
      <c r="T779" s="113">
        <f t="shared" si="88"/>
        <v>0</v>
      </c>
      <c r="U779" s="113">
        <f t="shared" si="89"/>
        <v>0.28081827460789804</v>
      </c>
    </row>
    <row r="780" spans="1:21" x14ac:dyDescent="0.45">
      <c r="A780" s="95">
        <v>45340</v>
      </c>
      <c r="B780" s="96">
        <v>7729</v>
      </c>
      <c r="C780" s="7">
        <v>3935</v>
      </c>
      <c r="D780" s="7">
        <f t="shared" si="84"/>
        <v>3794</v>
      </c>
      <c r="E780" s="97">
        <v>1950</v>
      </c>
      <c r="F780" s="7">
        <v>650</v>
      </c>
      <c r="G780" s="7">
        <f t="shared" si="85"/>
        <v>1300</v>
      </c>
      <c r="H780" s="98">
        <v>400</v>
      </c>
      <c r="I780" s="7"/>
      <c r="J780" s="7">
        <f t="shared" si="91"/>
        <v>400</v>
      </c>
      <c r="K780" s="99">
        <f t="shared" si="90"/>
        <v>10079</v>
      </c>
      <c r="L780" s="7">
        <v>1900</v>
      </c>
      <c r="M780" s="7">
        <v>7000</v>
      </c>
      <c r="N780" s="7">
        <v>0</v>
      </c>
      <c r="O780" s="7">
        <v>0</v>
      </c>
      <c r="P780" s="7">
        <v>7291.0826792044718</v>
      </c>
      <c r="Q780" s="7">
        <v>220.81523286552903</v>
      </c>
      <c r="R780" s="113">
        <f t="shared" si="86"/>
        <v>0.50912149049036093</v>
      </c>
      <c r="S780" s="113">
        <f t="shared" si="87"/>
        <v>0.33333333333333331</v>
      </c>
      <c r="T780" s="113">
        <f t="shared" si="88"/>
        <v>0</v>
      </c>
      <c r="U780" s="113">
        <f t="shared" si="89"/>
        <v>0.28081827460789804</v>
      </c>
    </row>
    <row r="781" spans="1:21" x14ac:dyDescent="0.45">
      <c r="A781" s="95">
        <v>45341</v>
      </c>
      <c r="B781" s="96">
        <v>7729</v>
      </c>
      <c r="C781" s="7">
        <v>3935</v>
      </c>
      <c r="D781" s="7">
        <f t="shared" si="84"/>
        <v>3794</v>
      </c>
      <c r="E781" s="97">
        <v>1950</v>
      </c>
      <c r="F781" s="7">
        <v>650</v>
      </c>
      <c r="G781" s="7">
        <f t="shared" si="85"/>
        <v>1300</v>
      </c>
      <c r="H781" s="98">
        <v>400</v>
      </c>
      <c r="I781" s="7"/>
      <c r="J781" s="7">
        <f t="shared" si="91"/>
        <v>400</v>
      </c>
      <c r="K781" s="99">
        <f t="shared" si="90"/>
        <v>10079</v>
      </c>
      <c r="L781" s="7">
        <v>1900</v>
      </c>
      <c r="M781" s="7">
        <v>7000</v>
      </c>
      <c r="N781" s="7">
        <v>0</v>
      </c>
      <c r="O781" s="7">
        <v>0</v>
      </c>
      <c r="P781" s="7">
        <v>7499.8643890666535</v>
      </c>
      <c r="Q781" s="7">
        <v>627.69812126334773</v>
      </c>
      <c r="R781" s="113">
        <f t="shared" si="86"/>
        <v>0.50912149049036093</v>
      </c>
      <c r="S781" s="113">
        <f t="shared" si="87"/>
        <v>0.33333333333333331</v>
      </c>
      <c r="T781" s="113">
        <f t="shared" si="88"/>
        <v>0</v>
      </c>
      <c r="U781" s="113">
        <f t="shared" si="89"/>
        <v>0.28081827460789804</v>
      </c>
    </row>
    <row r="782" spans="1:21" x14ac:dyDescent="0.45">
      <c r="A782" s="95">
        <v>45342</v>
      </c>
      <c r="B782" s="96">
        <v>7729</v>
      </c>
      <c r="C782" s="7">
        <v>3935</v>
      </c>
      <c r="D782" s="7">
        <f t="shared" si="84"/>
        <v>3794</v>
      </c>
      <c r="E782" s="97">
        <v>1950</v>
      </c>
      <c r="F782" s="7">
        <v>650</v>
      </c>
      <c r="G782" s="7">
        <f t="shared" si="85"/>
        <v>1300</v>
      </c>
      <c r="H782" s="98">
        <v>400</v>
      </c>
      <c r="I782" s="7"/>
      <c r="J782" s="7">
        <f t="shared" si="91"/>
        <v>400</v>
      </c>
      <c r="K782" s="99">
        <f t="shared" si="90"/>
        <v>10079</v>
      </c>
      <c r="L782" s="7">
        <v>1900</v>
      </c>
      <c r="M782" s="7">
        <v>7000</v>
      </c>
      <c r="N782" s="7">
        <v>0</v>
      </c>
      <c r="O782" s="7">
        <v>0</v>
      </c>
      <c r="P782" s="7">
        <v>7499.8643890666535</v>
      </c>
      <c r="Q782" s="7">
        <v>734.65834979334772</v>
      </c>
      <c r="R782" s="113">
        <f t="shared" si="86"/>
        <v>0.50912149049036093</v>
      </c>
      <c r="S782" s="113">
        <f t="shared" si="87"/>
        <v>0.33333333333333331</v>
      </c>
      <c r="T782" s="113">
        <f t="shared" si="88"/>
        <v>0</v>
      </c>
      <c r="U782" s="113">
        <f t="shared" si="89"/>
        <v>0.28081827460789804</v>
      </c>
    </row>
    <row r="783" spans="1:21" x14ac:dyDescent="0.45">
      <c r="A783" s="95">
        <v>45343</v>
      </c>
      <c r="B783" s="96">
        <v>7729</v>
      </c>
      <c r="C783" s="7">
        <v>3935</v>
      </c>
      <c r="D783" s="7">
        <f t="shared" si="84"/>
        <v>3794</v>
      </c>
      <c r="E783" s="97">
        <v>1950</v>
      </c>
      <c r="F783" s="7">
        <v>650</v>
      </c>
      <c r="G783" s="7">
        <f t="shared" si="85"/>
        <v>1300</v>
      </c>
      <c r="H783" s="98">
        <v>400</v>
      </c>
      <c r="I783" s="7"/>
      <c r="J783" s="7">
        <f t="shared" si="91"/>
        <v>400</v>
      </c>
      <c r="K783" s="99">
        <f t="shared" si="90"/>
        <v>10079</v>
      </c>
      <c r="L783" s="7">
        <v>1900</v>
      </c>
      <c r="M783" s="7">
        <v>7000</v>
      </c>
      <c r="N783" s="7">
        <v>0</v>
      </c>
      <c r="O783" s="7">
        <v>0</v>
      </c>
      <c r="P783" s="7">
        <v>7499.8643890666535</v>
      </c>
      <c r="Q783" s="7">
        <v>-218.3704160566524</v>
      </c>
      <c r="R783" s="113">
        <f t="shared" si="86"/>
        <v>0.50912149049036093</v>
      </c>
      <c r="S783" s="113">
        <f t="shared" si="87"/>
        <v>0.33333333333333331</v>
      </c>
      <c r="T783" s="113">
        <f t="shared" si="88"/>
        <v>0</v>
      </c>
      <c r="U783" s="113">
        <f t="shared" si="89"/>
        <v>0.28081827460789804</v>
      </c>
    </row>
    <row r="784" spans="1:21" x14ac:dyDescent="0.45">
      <c r="A784" s="95">
        <v>45344</v>
      </c>
      <c r="B784" s="96">
        <v>8029</v>
      </c>
      <c r="C784" s="7">
        <v>4235</v>
      </c>
      <c r="D784" s="7">
        <f t="shared" si="84"/>
        <v>3794</v>
      </c>
      <c r="E784" s="97">
        <v>1950</v>
      </c>
      <c r="F784" s="7">
        <v>650</v>
      </c>
      <c r="G784" s="7">
        <f t="shared" si="85"/>
        <v>1300</v>
      </c>
      <c r="H784" s="98">
        <v>400</v>
      </c>
      <c r="I784" s="7"/>
      <c r="J784" s="7">
        <f t="shared" si="91"/>
        <v>400</v>
      </c>
      <c r="K784" s="99">
        <f t="shared" si="90"/>
        <v>10379</v>
      </c>
      <c r="L784" s="7">
        <v>1000</v>
      </c>
      <c r="M784" s="7">
        <v>7820</v>
      </c>
      <c r="N784" s="7">
        <v>0</v>
      </c>
      <c r="O784" s="7">
        <v>0</v>
      </c>
      <c r="P784" s="7">
        <v>7499.8643890666535</v>
      </c>
      <c r="Q784" s="7">
        <v>1038.474758433347</v>
      </c>
      <c r="R784" s="113">
        <f t="shared" si="86"/>
        <v>0.52746294681778549</v>
      </c>
      <c r="S784" s="113">
        <f t="shared" si="87"/>
        <v>0.33333333333333331</v>
      </c>
      <c r="T784" s="113">
        <f t="shared" si="88"/>
        <v>0</v>
      </c>
      <c r="U784" s="113">
        <f t="shared" si="89"/>
        <v>0.28693209338370629</v>
      </c>
    </row>
    <row r="785" spans="1:21" x14ac:dyDescent="0.45">
      <c r="A785" s="95">
        <v>45345</v>
      </c>
      <c r="B785" s="96">
        <v>8029</v>
      </c>
      <c r="C785" s="7">
        <v>4235</v>
      </c>
      <c r="D785" s="7">
        <f t="shared" si="84"/>
        <v>3794</v>
      </c>
      <c r="E785" s="97">
        <v>1950</v>
      </c>
      <c r="F785" s="7">
        <v>650</v>
      </c>
      <c r="G785" s="7">
        <f t="shared" si="85"/>
        <v>1300</v>
      </c>
      <c r="H785" s="98">
        <v>400</v>
      </c>
      <c r="I785" s="7"/>
      <c r="J785" s="7">
        <f t="shared" si="91"/>
        <v>400</v>
      </c>
      <c r="K785" s="99">
        <f t="shared" si="90"/>
        <v>10379</v>
      </c>
      <c r="L785" s="7">
        <v>1000</v>
      </c>
      <c r="M785" s="7">
        <v>7820</v>
      </c>
      <c r="N785" s="7">
        <v>0</v>
      </c>
      <c r="O785" s="7">
        <v>0</v>
      </c>
      <c r="P785" s="7">
        <v>7499.8643890666535</v>
      </c>
      <c r="Q785" s="7">
        <v>2073.650280573348</v>
      </c>
      <c r="R785" s="113">
        <f t="shared" si="86"/>
        <v>0.52746294681778549</v>
      </c>
      <c r="S785" s="113">
        <f t="shared" si="87"/>
        <v>0.33333333333333331</v>
      </c>
      <c r="T785" s="113">
        <f t="shared" si="88"/>
        <v>0</v>
      </c>
      <c r="U785" s="113">
        <f t="shared" si="89"/>
        <v>0.28693209338370629</v>
      </c>
    </row>
    <row r="786" spans="1:21" x14ac:dyDescent="0.45">
      <c r="A786" s="95">
        <v>45346</v>
      </c>
      <c r="B786" s="96">
        <v>8029</v>
      </c>
      <c r="C786" s="7">
        <v>4235</v>
      </c>
      <c r="D786" s="7">
        <f t="shared" si="84"/>
        <v>3794</v>
      </c>
      <c r="E786" s="97">
        <v>1950</v>
      </c>
      <c r="F786" s="7">
        <v>650</v>
      </c>
      <c r="G786" s="7">
        <f t="shared" si="85"/>
        <v>1300</v>
      </c>
      <c r="H786" s="98">
        <v>400</v>
      </c>
      <c r="I786" s="7"/>
      <c r="J786" s="7">
        <f t="shared" si="91"/>
        <v>400</v>
      </c>
      <c r="K786" s="99">
        <f t="shared" si="90"/>
        <v>10379</v>
      </c>
      <c r="L786" s="7">
        <v>1000</v>
      </c>
      <c r="M786" s="7">
        <v>7820</v>
      </c>
      <c r="N786" s="7">
        <v>0</v>
      </c>
      <c r="O786" s="7">
        <v>0</v>
      </c>
      <c r="P786" s="7">
        <v>7499.8643890666535</v>
      </c>
      <c r="Q786" s="7">
        <v>2073.650280573348</v>
      </c>
      <c r="R786" s="113">
        <f t="shared" si="86"/>
        <v>0.52746294681778549</v>
      </c>
      <c r="S786" s="113">
        <f t="shared" si="87"/>
        <v>0.33333333333333331</v>
      </c>
      <c r="T786" s="113">
        <f t="shared" si="88"/>
        <v>0</v>
      </c>
      <c r="U786" s="113">
        <f t="shared" si="89"/>
        <v>0.28693209338370629</v>
      </c>
    </row>
    <row r="787" spans="1:21" x14ac:dyDescent="0.45">
      <c r="A787" s="95">
        <v>45347</v>
      </c>
      <c r="B787" s="96">
        <v>8029</v>
      </c>
      <c r="C787" s="7">
        <v>4235</v>
      </c>
      <c r="D787" s="7">
        <f t="shared" si="84"/>
        <v>3794</v>
      </c>
      <c r="E787" s="97">
        <v>1950</v>
      </c>
      <c r="F787" s="7">
        <v>650</v>
      </c>
      <c r="G787" s="7">
        <f t="shared" si="85"/>
        <v>1300</v>
      </c>
      <c r="H787" s="98">
        <v>400</v>
      </c>
      <c r="I787" s="7"/>
      <c r="J787" s="7">
        <f t="shared" si="91"/>
        <v>400</v>
      </c>
      <c r="K787" s="99">
        <f t="shared" si="90"/>
        <v>10379</v>
      </c>
      <c r="L787" s="7">
        <v>1000</v>
      </c>
      <c r="M787" s="7">
        <v>7820</v>
      </c>
      <c r="N787" s="7">
        <v>0</v>
      </c>
      <c r="O787" s="7">
        <v>0</v>
      </c>
      <c r="P787" s="7">
        <v>7499.8643890666535</v>
      </c>
      <c r="Q787" s="7">
        <v>2073.650280573348</v>
      </c>
      <c r="R787" s="113">
        <f t="shared" si="86"/>
        <v>0.52746294681778549</v>
      </c>
      <c r="S787" s="113">
        <f t="shared" si="87"/>
        <v>0.33333333333333331</v>
      </c>
      <c r="T787" s="113">
        <f t="shared" si="88"/>
        <v>0</v>
      </c>
      <c r="U787" s="113">
        <f t="shared" si="89"/>
        <v>0.28693209338370629</v>
      </c>
    </row>
    <row r="788" spans="1:21" x14ac:dyDescent="0.45">
      <c r="A788" s="95">
        <v>45348</v>
      </c>
      <c r="B788" s="96">
        <v>8029</v>
      </c>
      <c r="C788" s="7">
        <v>4235</v>
      </c>
      <c r="D788" s="7">
        <f t="shared" si="84"/>
        <v>3794</v>
      </c>
      <c r="E788" s="97">
        <v>1950</v>
      </c>
      <c r="F788" s="7">
        <v>650</v>
      </c>
      <c r="G788" s="7">
        <f t="shared" si="85"/>
        <v>1300</v>
      </c>
      <c r="H788" s="98">
        <v>400</v>
      </c>
      <c r="I788" s="7"/>
      <c r="J788" s="7">
        <f t="shared" si="91"/>
        <v>400</v>
      </c>
      <c r="K788" s="99">
        <f t="shared" si="90"/>
        <v>10379</v>
      </c>
      <c r="L788" s="7">
        <v>2400</v>
      </c>
      <c r="M788" s="7">
        <v>7820</v>
      </c>
      <c r="N788" s="7">
        <v>0</v>
      </c>
      <c r="O788" s="7">
        <v>0</v>
      </c>
      <c r="P788" s="7">
        <v>7499.8643890666544</v>
      </c>
      <c r="Q788" s="7">
        <v>1176.9446021733459</v>
      </c>
      <c r="R788" s="113">
        <f t="shared" si="86"/>
        <v>0.52746294681778549</v>
      </c>
      <c r="S788" s="113">
        <f t="shared" si="87"/>
        <v>0.33333333333333331</v>
      </c>
      <c r="T788" s="113">
        <f t="shared" si="88"/>
        <v>0</v>
      </c>
      <c r="U788" s="113">
        <f t="shared" si="89"/>
        <v>0.28693209338370629</v>
      </c>
    </row>
    <row r="789" spans="1:21" x14ac:dyDescent="0.45">
      <c r="A789" s="95">
        <v>45349</v>
      </c>
      <c r="B789" s="96">
        <v>8029</v>
      </c>
      <c r="C789" s="7">
        <v>4235</v>
      </c>
      <c r="D789" s="7">
        <f t="shared" si="84"/>
        <v>3794</v>
      </c>
      <c r="E789" s="97">
        <v>1950</v>
      </c>
      <c r="F789" s="7">
        <v>650</v>
      </c>
      <c r="G789" s="7">
        <f t="shared" si="85"/>
        <v>1300</v>
      </c>
      <c r="H789" s="98">
        <v>400</v>
      </c>
      <c r="I789" s="7"/>
      <c r="J789" s="7">
        <f t="shared" si="91"/>
        <v>400</v>
      </c>
      <c r="K789" s="99">
        <f t="shared" si="90"/>
        <v>10379</v>
      </c>
      <c r="L789" s="7">
        <v>2540</v>
      </c>
      <c r="M789" s="7">
        <v>7820</v>
      </c>
      <c r="N789" s="7">
        <v>0</v>
      </c>
      <c r="O789" s="7">
        <v>0</v>
      </c>
      <c r="P789" s="7">
        <v>7499.8643890666544</v>
      </c>
      <c r="Q789" s="7">
        <v>992.36238017334563</v>
      </c>
      <c r="R789" s="113">
        <f t="shared" si="86"/>
        <v>0.52746294681778549</v>
      </c>
      <c r="S789" s="113">
        <f t="shared" si="87"/>
        <v>0.33333333333333331</v>
      </c>
      <c r="T789" s="113">
        <f t="shared" si="88"/>
        <v>0</v>
      </c>
      <c r="U789" s="113">
        <f t="shared" si="89"/>
        <v>0.28693209338370629</v>
      </c>
    </row>
    <row r="790" spans="1:21" x14ac:dyDescent="0.45">
      <c r="A790" s="95">
        <v>45350</v>
      </c>
      <c r="B790" s="96">
        <v>8029</v>
      </c>
      <c r="C790" s="7">
        <v>4235</v>
      </c>
      <c r="D790" s="7">
        <f t="shared" si="84"/>
        <v>3794</v>
      </c>
      <c r="E790" s="97">
        <v>1950</v>
      </c>
      <c r="F790" s="7">
        <v>650</v>
      </c>
      <c r="G790" s="7">
        <f t="shared" si="85"/>
        <v>1300</v>
      </c>
      <c r="H790" s="98">
        <v>400</v>
      </c>
      <c r="I790" s="7"/>
      <c r="J790" s="7">
        <f t="shared" si="91"/>
        <v>400</v>
      </c>
      <c r="K790" s="99">
        <f t="shared" si="90"/>
        <v>10379</v>
      </c>
      <c r="L790" s="7">
        <v>1760</v>
      </c>
      <c r="M790" s="7">
        <v>7820</v>
      </c>
      <c r="N790" s="7">
        <v>0</v>
      </c>
      <c r="O790" s="7">
        <v>0</v>
      </c>
      <c r="P790" s="7">
        <v>7499.8643890666544</v>
      </c>
      <c r="Q790" s="7">
        <v>1788.506516003346</v>
      </c>
      <c r="R790" s="113">
        <f t="shared" si="86"/>
        <v>0.52746294681778549</v>
      </c>
      <c r="S790" s="113">
        <f t="shared" si="87"/>
        <v>0.33333333333333331</v>
      </c>
      <c r="T790" s="113">
        <f t="shared" si="88"/>
        <v>0</v>
      </c>
      <c r="U790" s="113">
        <f t="shared" si="89"/>
        <v>0.28693209338370629</v>
      </c>
    </row>
    <row r="791" spans="1:21" x14ac:dyDescent="0.45">
      <c r="A791" s="95">
        <v>45351</v>
      </c>
      <c r="B791" s="96">
        <v>8479</v>
      </c>
      <c r="C791" s="7">
        <v>4745</v>
      </c>
      <c r="D791" s="7">
        <f t="shared" si="84"/>
        <v>3734</v>
      </c>
      <c r="E791" s="97">
        <v>2050</v>
      </c>
      <c r="F791" s="7">
        <v>750</v>
      </c>
      <c r="G791" s="7">
        <f t="shared" si="85"/>
        <v>1300</v>
      </c>
      <c r="H791" s="98">
        <v>400</v>
      </c>
      <c r="I791" s="7"/>
      <c r="J791" s="7">
        <f t="shared" si="91"/>
        <v>400</v>
      </c>
      <c r="K791" s="99">
        <f t="shared" si="90"/>
        <v>10929</v>
      </c>
      <c r="L791" s="7">
        <v>1400</v>
      </c>
      <c r="M791" s="7">
        <v>8030</v>
      </c>
      <c r="N791" s="7">
        <v>0</v>
      </c>
      <c r="O791" s="7">
        <v>0</v>
      </c>
      <c r="P791" s="7">
        <v>7499.8643890666544</v>
      </c>
      <c r="Q791" s="7">
        <v>1059.9603494633459</v>
      </c>
      <c r="R791" s="113">
        <f t="shared" si="86"/>
        <v>0.55961787946691832</v>
      </c>
      <c r="S791" s="113">
        <f t="shared" si="87"/>
        <v>0.36585365853658536</v>
      </c>
      <c r="T791" s="113">
        <f t="shared" si="88"/>
        <v>0</v>
      </c>
      <c r="U791" s="113">
        <f t="shared" si="89"/>
        <v>0.30849051266783456</v>
      </c>
    </row>
    <row r="792" spans="1:21" x14ac:dyDescent="0.45">
      <c r="A792" s="95">
        <v>45352</v>
      </c>
      <c r="B792" s="96">
        <v>8479</v>
      </c>
      <c r="C792" s="7">
        <v>4745</v>
      </c>
      <c r="D792" s="7">
        <f t="shared" si="84"/>
        <v>3734</v>
      </c>
      <c r="E792" s="97">
        <v>2050</v>
      </c>
      <c r="F792" s="7">
        <v>750</v>
      </c>
      <c r="G792" s="7">
        <f t="shared" si="85"/>
        <v>1300</v>
      </c>
      <c r="H792" s="98">
        <v>400</v>
      </c>
      <c r="I792" s="7"/>
      <c r="J792" s="7">
        <f t="shared" si="91"/>
        <v>400</v>
      </c>
      <c r="K792" s="99">
        <f t="shared" si="90"/>
        <v>10929</v>
      </c>
      <c r="L792" s="7">
        <v>1400</v>
      </c>
      <c r="M792" s="7">
        <v>8030</v>
      </c>
      <c r="N792" s="7">
        <v>0</v>
      </c>
      <c r="O792" s="7">
        <v>0</v>
      </c>
      <c r="P792" s="7">
        <v>7499.8643890666544</v>
      </c>
      <c r="Q792" s="7">
        <v>801.05907905334584</v>
      </c>
      <c r="R792" s="113">
        <f t="shared" si="86"/>
        <v>0.55961787946691832</v>
      </c>
      <c r="S792" s="113">
        <f t="shared" si="87"/>
        <v>0.36585365853658536</v>
      </c>
      <c r="T792" s="113">
        <f t="shared" si="88"/>
        <v>0</v>
      </c>
      <c r="U792" s="113">
        <f t="shared" si="89"/>
        <v>0.30849051266783456</v>
      </c>
    </row>
    <row r="793" spans="1:21" x14ac:dyDescent="0.45">
      <c r="A793" s="95">
        <v>45353</v>
      </c>
      <c r="B793" s="96">
        <v>8479</v>
      </c>
      <c r="C793" s="7">
        <v>4745</v>
      </c>
      <c r="D793" s="7">
        <f t="shared" si="84"/>
        <v>3734</v>
      </c>
      <c r="E793" s="97">
        <v>2050</v>
      </c>
      <c r="F793" s="7">
        <v>750</v>
      </c>
      <c r="G793" s="7">
        <f t="shared" si="85"/>
        <v>1300</v>
      </c>
      <c r="H793" s="98">
        <v>400</v>
      </c>
      <c r="I793" s="7"/>
      <c r="J793" s="7">
        <f t="shared" si="91"/>
        <v>400</v>
      </c>
      <c r="K793" s="99">
        <f t="shared" si="90"/>
        <v>10929</v>
      </c>
      <c r="L793" s="7">
        <v>1400</v>
      </c>
      <c r="M793" s="7">
        <v>8030</v>
      </c>
      <c r="N793" s="7">
        <v>0</v>
      </c>
      <c r="O793" s="7">
        <v>0</v>
      </c>
      <c r="P793" s="7">
        <v>7499.8643890666544</v>
      </c>
      <c r="Q793" s="7">
        <v>801.05907905334584</v>
      </c>
      <c r="R793" s="113">
        <f t="shared" si="86"/>
        <v>0.55961787946691832</v>
      </c>
      <c r="S793" s="113">
        <f t="shared" si="87"/>
        <v>0.36585365853658536</v>
      </c>
      <c r="T793" s="113">
        <f t="shared" si="88"/>
        <v>0</v>
      </c>
      <c r="U793" s="113">
        <f t="shared" si="89"/>
        <v>0.30849051266783456</v>
      </c>
    </row>
    <row r="794" spans="1:21" x14ac:dyDescent="0.45">
      <c r="A794" s="95">
        <v>45354</v>
      </c>
      <c r="B794" s="96">
        <v>8479</v>
      </c>
      <c r="C794" s="7">
        <v>4745</v>
      </c>
      <c r="D794" s="7">
        <f t="shared" si="84"/>
        <v>3734</v>
      </c>
      <c r="E794" s="97">
        <v>2050</v>
      </c>
      <c r="F794" s="7">
        <v>750</v>
      </c>
      <c r="G794" s="7">
        <f t="shared" si="85"/>
        <v>1300</v>
      </c>
      <c r="H794" s="98">
        <v>400</v>
      </c>
      <c r="I794" s="7"/>
      <c r="J794" s="7">
        <f t="shared" si="91"/>
        <v>400</v>
      </c>
      <c r="K794" s="99">
        <f t="shared" si="90"/>
        <v>10929</v>
      </c>
      <c r="L794" s="7">
        <v>1400</v>
      </c>
      <c r="M794" s="7">
        <v>8030</v>
      </c>
      <c r="N794" s="7">
        <v>0</v>
      </c>
      <c r="O794" s="7">
        <v>0</v>
      </c>
      <c r="P794" s="7">
        <v>7499.8643890666544</v>
      </c>
      <c r="Q794" s="7">
        <v>801.05907905334584</v>
      </c>
      <c r="R794" s="113">
        <f t="shared" si="86"/>
        <v>0.55961787946691832</v>
      </c>
      <c r="S794" s="113">
        <f t="shared" si="87"/>
        <v>0.36585365853658536</v>
      </c>
      <c r="T794" s="113">
        <f t="shared" si="88"/>
        <v>0</v>
      </c>
      <c r="U794" s="113">
        <f t="shared" si="89"/>
        <v>0.30849051266783456</v>
      </c>
    </row>
    <row r="795" spans="1:21" x14ac:dyDescent="0.45">
      <c r="A795" s="95">
        <v>45355</v>
      </c>
      <c r="B795" s="96">
        <v>8479</v>
      </c>
      <c r="C795" s="7">
        <v>4745</v>
      </c>
      <c r="D795" s="7">
        <f t="shared" si="84"/>
        <v>3734</v>
      </c>
      <c r="E795" s="97">
        <v>2050</v>
      </c>
      <c r="F795" s="7">
        <v>750</v>
      </c>
      <c r="G795" s="7">
        <f t="shared" si="85"/>
        <v>1300</v>
      </c>
      <c r="H795" s="98">
        <v>400</v>
      </c>
      <c r="I795" s="7"/>
      <c r="J795" s="7">
        <f t="shared" si="91"/>
        <v>400</v>
      </c>
      <c r="K795" s="99">
        <f t="shared" si="90"/>
        <v>10929</v>
      </c>
      <c r="L795" s="7">
        <v>1400</v>
      </c>
      <c r="M795" s="7">
        <v>8030</v>
      </c>
      <c r="N795" s="7">
        <v>0</v>
      </c>
      <c r="O795" s="7">
        <v>0</v>
      </c>
      <c r="P795" s="7">
        <v>7499.8643890666544</v>
      </c>
      <c r="Q795" s="7">
        <v>551.65561620334597</v>
      </c>
      <c r="R795" s="113">
        <f t="shared" si="86"/>
        <v>0.55961787946691832</v>
      </c>
      <c r="S795" s="113">
        <f t="shared" si="87"/>
        <v>0.36585365853658536</v>
      </c>
      <c r="T795" s="113">
        <f t="shared" si="88"/>
        <v>0</v>
      </c>
      <c r="U795" s="113">
        <f t="shared" si="89"/>
        <v>0.30849051266783456</v>
      </c>
    </row>
    <row r="796" spans="1:21" x14ac:dyDescent="0.45">
      <c r="A796" s="95">
        <v>45356</v>
      </c>
      <c r="B796" s="96">
        <v>8479</v>
      </c>
      <c r="C796" s="7">
        <v>4745</v>
      </c>
      <c r="D796" s="7">
        <f t="shared" si="84"/>
        <v>3734</v>
      </c>
      <c r="E796" s="97">
        <v>2050</v>
      </c>
      <c r="F796" s="7">
        <v>750</v>
      </c>
      <c r="G796" s="7">
        <f t="shared" si="85"/>
        <v>1300</v>
      </c>
      <c r="H796" s="98">
        <v>400</v>
      </c>
      <c r="I796" s="7"/>
      <c r="J796" s="7">
        <f t="shared" si="91"/>
        <v>400</v>
      </c>
      <c r="K796" s="99">
        <f t="shared" si="90"/>
        <v>10929</v>
      </c>
      <c r="L796" s="7">
        <v>1400</v>
      </c>
      <c r="M796" s="7">
        <v>8030</v>
      </c>
      <c r="N796" s="7">
        <v>0</v>
      </c>
      <c r="O796" s="7">
        <v>0</v>
      </c>
      <c r="P796" s="7">
        <v>7499.8643890666544</v>
      </c>
      <c r="Q796" s="7">
        <v>554.81126911334593</v>
      </c>
      <c r="R796" s="113">
        <f t="shared" si="86"/>
        <v>0.55961787946691832</v>
      </c>
      <c r="S796" s="113">
        <f t="shared" si="87"/>
        <v>0.36585365853658536</v>
      </c>
      <c r="T796" s="113">
        <f t="shared" si="88"/>
        <v>0</v>
      </c>
      <c r="U796" s="113">
        <f t="shared" si="89"/>
        <v>0.30849051266783456</v>
      </c>
    </row>
    <row r="797" spans="1:21" x14ac:dyDescent="0.45">
      <c r="A797" s="95">
        <v>45357</v>
      </c>
      <c r="B797" s="96">
        <v>8479</v>
      </c>
      <c r="C797" s="7">
        <v>4745</v>
      </c>
      <c r="D797" s="7">
        <f t="shared" si="84"/>
        <v>3734</v>
      </c>
      <c r="E797" s="97">
        <v>2050</v>
      </c>
      <c r="F797" s="7">
        <v>750</v>
      </c>
      <c r="G797" s="7">
        <f t="shared" si="85"/>
        <v>1300</v>
      </c>
      <c r="H797" s="98">
        <v>400</v>
      </c>
      <c r="I797" s="7"/>
      <c r="J797" s="7">
        <f t="shared" si="91"/>
        <v>400</v>
      </c>
      <c r="K797" s="99">
        <f t="shared" si="90"/>
        <v>10929</v>
      </c>
      <c r="L797" s="7">
        <v>1400</v>
      </c>
      <c r="M797" s="7">
        <v>8030</v>
      </c>
      <c r="N797" s="7">
        <v>0</v>
      </c>
      <c r="O797" s="7">
        <v>0</v>
      </c>
      <c r="P797" s="7">
        <v>7499.8643890666544</v>
      </c>
      <c r="Q797" s="7">
        <v>552.82389690334617</v>
      </c>
      <c r="R797" s="113">
        <f t="shared" si="86"/>
        <v>0.55961787946691832</v>
      </c>
      <c r="S797" s="113">
        <f t="shared" si="87"/>
        <v>0.36585365853658536</v>
      </c>
      <c r="T797" s="113">
        <f t="shared" si="88"/>
        <v>0</v>
      </c>
      <c r="U797" s="113">
        <f t="shared" si="89"/>
        <v>0.30849051266783456</v>
      </c>
    </row>
    <row r="798" spans="1:21" x14ac:dyDescent="0.45">
      <c r="A798" s="95">
        <v>45358</v>
      </c>
      <c r="B798" s="96">
        <v>8659</v>
      </c>
      <c r="C798" s="7">
        <v>4865</v>
      </c>
      <c r="D798" s="7">
        <f t="shared" si="84"/>
        <v>3794</v>
      </c>
      <c r="E798" s="97">
        <v>2050</v>
      </c>
      <c r="F798" s="7">
        <v>750</v>
      </c>
      <c r="G798" s="7">
        <f t="shared" si="85"/>
        <v>1300</v>
      </c>
      <c r="H798" s="98">
        <v>400</v>
      </c>
      <c r="I798" s="7"/>
      <c r="J798" s="7">
        <f t="shared" si="91"/>
        <v>400</v>
      </c>
      <c r="K798" s="99">
        <f t="shared" si="90"/>
        <v>11109</v>
      </c>
      <c r="L798" s="7">
        <v>1780</v>
      </c>
      <c r="M798" s="7">
        <v>7140</v>
      </c>
      <c r="N798" s="7">
        <v>0</v>
      </c>
      <c r="O798" s="7">
        <v>0</v>
      </c>
      <c r="P798" s="7">
        <v>7499.8643890666544</v>
      </c>
      <c r="Q798" s="7">
        <v>860.93355113334587</v>
      </c>
      <c r="R798" s="113">
        <f t="shared" si="86"/>
        <v>0.56184316895715436</v>
      </c>
      <c r="S798" s="113">
        <f t="shared" si="87"/>
        <v>0.36585365853658536</v>
      </c>
      <c r="T798" s="113">
        <f t="shared" si="88"/>
        <v>0</v>
      </c>
      <c r="U798" s="113">
        <f t="shared" si="89"/>
        <v>0.30923227583124657</v>
      </c>
    </row>
    <row r="799" spans="1:21" x14ac:dyDescent="0.45">
      <c r="A799" s="95">
        <v>45359</v>
      </c>
      <c r="B799" s="96">
        <v>8659</v>
      </c>
      <c r="C799" s="7">
        <v>4865</v>
      </c>
      <c r="D799" s="7">
        <f t="shared" si="84"/>
        <v>3794</v>
      </c>
      <c r="E799" s="97">
        <v>2050</v>
      </c>
      <c r="F799" s="7">
        <v>750</v>
      </c>
      <c r="G799" s="7">
        <f t="shared" si="85"/>
        <v>1300</v>
      </c>
      <c r="H799" s="98">
        <v>400</v>
      </c>
      <c r="I799" s="7"/>
      <c r="J799" s="7">
        <f t="shared" si="91"/>
        <v>400</v>
      </c>
      <c r="K799" s="99">
        <f t="shared" si="90"/>
        <v>11109</v>
      </c>
      <c r="L799" s="7">
        <v>1780</v>
      </c>
      <c r="M799" s="7">
        <v>7140</v>
      </c>
      <c r="N799" s="7">
        <v>0</v>
      </c>
      <c r="O799" s="7">
        <v>0</v>
      </c>
      <c r="P799" s="7">
        <v>7499.8643890666544</v>
      </c>
      <c r="Q799" s="7">
        <v>1112.5245914133459</v>
      </c>
      <c r="R799" s="113">
        <f t="shared" si="86"/>
        <v>0.56184316895715436</v>
      </c>
      <c r="S799" s="113">
        <f t="shared" si="87"/>
        <v>0.36585365853658536</v>
      </c>
      <c r="T799" s="113">
        <f t="shared" si="88"/>
        <v>0</v>
      </c>
      <c r="U799" s="113">
        <f t="shared" si="89"/>
        <v>0.30923227583124657</v>
      </c>
    </row>
    <row r="800" spans="1:21" x14ac:dyDescent="0.45">
      <c r="A800" s="95">
        <v>45360</v>
      </c>
      <c r="B800" s="96">
        <v>8659</v>
      </c>
      <c r="C800" s="7">
        <v>4865</v>
      </c>
      <c r="D800" s="7">
        <f t="shared" si="84"/>
        <v>3794</v>
      </c>
      <c r="E800" s="97">
        <v>2050</v>
      </c>
      <c r="F800" s="7">
        <v>750</v>
      </c>
      <c r="G800" s="7">
        <f t="shared" si="85"/>
        <v>1300</v>
      </c>
      <c r="H800" s="98">
        <v>400</v>
      </c>
      <c r="I800" s="7"/>
      <c r="J800" s="7">
        <f t="shared" si="91"/>
        <v>400</v>
      </c>
      <c r="K800" s="99">
        <f t="shared" si="90"/>
        <v>11109</v>
      </c>
      <c r="L800" s="7">
        <v>1780</v>
      </c>
      <c r="M800" s="7">
        <v>7140</v>
      </c>
      <c r="N800" s="7">
        <v>0</v>
      </c>
      <c r="O800" s="7">
        <v>0</v>
      </c>
      <c r="P800" s="7">
        <v>7499.8643890666544</v>
      </c>
      <c r="Q800" s="7">
        <v>1112.5245914133459</v>
      </c>
      <c r="R800" s="113">
        <f t="shared" si="86"/>
        <v>0.56184316895715436</v>
      </c>
      <c r="S800" s="113">
        <f t="shared" si="87"/>
        <v>0.36585365853658536</v>
      </c>
      <c r="T800" s="113">
        <f t="shared" si="88"/>
        <v>0</v>
      </c>
      <c r="U800" s="113">
        <f t="shared" si="89"/>
        <v>0.30923227583124657</v>
      </c>
    </row>
    <row r="801" spans="1:21" x14ac:dyDescent="0.45">
      <c r="A801" s="95">
        <v>45361</v>
      </c>
      <c r="B801" s="96">
        <v>8659</v>
      </c>
      <c r="C801" s="7">
        <v>4865</v>
      </c>
      <c r="D801" s="7">
        <f t="shared" si="84"/>
        <v>3794</v>
      </c>
      <c r="E801" s="97">
        <v>2050</v>
      </c>
      <c r="F801" s="7">
        <v>750</v>
      </c>
      <c r="G801" s="7">
        <f t="shared" si="85"/>
        <v>1300</v>
      </c>
      <c r="H801" s="98">
        <v>400</v>
      </c>
      <c r="I801" s="7"/>
      <c r="J801" s="7">
        <f t="shared" si="91"/>
        <v>400</v>
      </c>
      <c r="K801" s="99">
        <f t="shared" si="90"/>
        <v>11109</v>
      </c>
      <c r="L801" s="7">
        <v>1780</v>
      </c>
      <c r="M801" s="7">
        <v>7140</v>
      </c>
      <c r="N801" s="7">
        <v>0</v>
      </c>
      <c r="O801" s="7">
        <v>0</v>
      </c>
      <c r="P801" s="7">
        <v>7499.8643890666544</v>
      </c>
      <c r="Q801" s="7">
        <v>1112.5245914133459</v>
      </c>
      <c r="R801" s="113">
        <f t="shared" si="86"/>
        <v>0.56184316895715436</v>
      </c>
      <c r="S801" s="113">
        <f t="shared" si="87"/>
        <v>0.36585365853658536</v>
      </c>
      <c r="T801" s="113">
        <f t="shared" si="88"/>
        <v>0</v>
      </c>
      <c r="U801" s="113">
        <f t="shared" si="89"/>
        <v>0.30923227583124657</v>
      </c>
    </row>
    <row r="802" spans="1:21" x14ac:dyDescent="0.45">
      <c r="A802" s="95">
        <v>45362</v>
      </c>
      <c r="B802" s="96">
        <v>8659</v>
      </c>
      <c r="C802" s="7">
        <v>4865</v>
      </c>
      <c r="D802" s="7">
        <f t="shared" si="84"/>
        <v>3794</v>
      </c>
      <c r="E802" s="97">
        <v>2050</v>
      </c>
      <c r="F802" s="7">
        <v>750</v>
      </c>
      <c r="G802" s="7">
        <f t="shared" si="85"/>
        <v>1300</v>
      </c>
      <c r="H802" s="98">
        <v>400</v>
      </c>
      <c r="I802" s="7"/>
      <c r="J802" s="7">
        <f t="shared" si="91"/>
        <v>400</v>
      </c>
      <c r="K802" s="99">
        <f t="shared" si="90"/>
        <v>11109</v>
      </c>
      <c r="L802" s="7">
        <v>1780</v>
      </c>
      <c r="M802" s="7">
        <v>7140</v>
      </c>
      <c r="N802" s="7">
        <v>0</v>
      </c>
      <c r="O802" s="7">
        <v>0</v>
      </c>
      <c r="P802" s="7">
        <v>7499.8643890666544</v>
      </c>
      <c r="Q802" s="7">
        <v>855.61180799334556</v>
      </c>
      <c r="R802" s="113">
        <f t="shared" si="86"/>
        <v>0.56184316895715436</v>
      </c>
      <c r="S802" s="113">
        <f t="shared" si="87"/>
        <v>0.36585365853658536</v>
      </c>
      <c r="T802" s="113">
        <f t="shared" si="88"/>
        <v>0</v>
      </c>
      <c r="U802" s="113">
        <f t="shared" si="89"/>
        <v>0.30923227583124657</v>
      </c>
    </row>
    <row r="803" spans="1:21" x14ac:dyDescent="0.45">
      <c r="A803" s="95">
        <v>45363</v>
      </c>
      <c r="B803" s="96">
        <v>8659</v>
      </c>
      <c r="C803" s="7">
        <v>4865</v>
      </c>
      <c r="D803" s="7">
        <f t="shared" si="84"/>
        <v>3794</v>
      </c>
      <c r="E803" s="97">
        <v>2050</v>
      </c>
      <c r="F803" s="7">
        <v>750</v>
      </c>
      <c r="G803" s="7">
        <f t="shared" si="85"/>
        <v>1300</v>
      </c>
      <c r="H803" s="98">
        <v>400</v>
      </c>
      <c r="I803" s="7"/>
      <c r="J803" s="7">
        <f t="shared" si="91"/>
        <v>400</v>
      </c>
      <c r="K803" s="99">
        <f t="shared" si="90"/>
        <v>11109</v>
      </c>
      <c r="L803" s="7">
        <v>1780</v>
      </c>
      <c r="M803" s="7">
        <v>7140</v>
      </c>
      <c r="N803" s="7">
        <v>0</v>
      </c>
      <c r="O803" s="7">
        <v>0</v>
      </c>
      <c r="P803" s="7">
        <v>7499.8643890666544</v>
      </c>
      <c r="Q803" s="7">
        <v>1049.9929436733464</v>
      </c>
      <c r="R803" s="113">
        <f t="shared" si="86"/>
        <v>0.56184316895715436</v>
      </c>
      <c r="S803" s="113">
        <f t="shared" si="87"/>
        <v>0.36585365853658536</v>
      </c>
      <c r="T803" s="113">
        <f t="shared" si="88"/>
        <v>0</v>
      </c>
      <c r="U803" s="113">
        <f t="shared" si="89"/>
        <v>0.30923227583124657</v>
      </c>
    </row>
    <row r="804" spans="1:21" x14ac:dyDescent="0.45">
      <c r="A804" s="95">
        <v>45364</v>
      </c>
      <c r="B804" s="96">
        <v>8659</v>
      </c>
      <c r="C804" s="7">
        <v>4865</v>
      </c>
      <c r="D804" s="7">
        <f t="shared" si="84"/>
        <v>3794</v>
      </c>
      <c r="E804" s="97">
        <v>2050</v>
      </c>
      <c r="F804" s="7">
        <v>750</v>
      </c>
      <c r="G804" s="7">
        <f t="shared" si="85"/>
        <v>1300</v>
      </c>
      <c r="H804" s="98">
        <v>400</v>
      </c>
      <c r="I804" s="7"/>
      <c r="J804" s="7">
        <f t="shared" si="91"/>
        <v>400</v>
      </c>
      <c r="K804" s="99">
        <f t="shared" si="90"/>
        <v>11109</v>
      </c>
      <c r="L804" s="7">
        <v>1780</v>
      </c>
      <c r="M804" s="7">
        <v>7140</v>
      </c>
      <c r="N804" s="7">
        <v>0</v>
      </c>
      <c r="O804" s="7">
        <v>0</v>
      </c>
      <c r="P804" s="7">
        <v>7499.8643890666544</v>
      </c>
      <c r="Q804" s="7">
        <v>1113.1438302133458</v>
      </c>
      <c r="R804" s="113">
        <f t="shared" si="86"/>
        <v>0.56184316895715436</v>
      </c>
      <c r="S804" s="113">
        <f t="shared" si="87"/>
        <v>0.36585365853658536</v>
      </c>
      <c r="T804" s="113">
        <f t="shared" si="88"/>
        <v>0</v>
      </c>
      <c r="U804" s="113">
        <f t="shared" si="89"/>
        <v>0.30923227583124657</v>
      </c>
    </row>
    <row r="805" spans="1:21" x14ac:dyDescent="0.45">
      <c r="A805" s="95">
        <v>45365</v>
      </c>
      <c r="B805" s="96">
        <v>8909</v>
      </c>
      <c r="C805" s="7">
        <v>5010</v>
      </c>
      <c r="D805" s="7">
        <f t="shared" si="84"/>
        <v>3899</v>
      </c>
      <c r="E805" s="97">
        <v>2050</v>
      </c>
      <c r="F805" s="7">
        <v>750</v>
      </c>
      <c r="G805" s="7">
        <f t="shared" si="85"/>
        <v>1300</v>
      </c>
      <c r="H805" s="98">
        <v>400</v>
      </c>
      <c r="I805" s="7"/>
      <c r="J805" s="7">
        <f t="shared" si="91"/>
        <v>400</v>
      </c>
      <c r="K805" s="99">
        <f t="shared" si="90"/>
        <v>11359</v>
      </c>
      <c r="L805" s="7">
        <v>1000</v>
      </c>
      <c r="M805" s="7">
        <v>7140</v>
      </c>
      <c r="N805" s="7">
        <v>0</v>
      </c>
      <c r="O805" s="7">
        <v>0</v>
      </c>
      <c r="P805" s="7">
        <v>7499.8643890666544</v>
      </c>
      <c r="Q805" s="7">
        <v>1544.3398088033455</v>
      </c>
      <c r="R805" s="113">
        <f t="shared" si="86"/>
        <v>0.5623526770681333</v>
      </c>
      <c r="S805" s="113">
        <f t="shared" si="87"/>
        <v>0.36585365853658536</v>
      </c>
      <c r="T805" s="113">
        <f t="shared" si="88"/>
        <v>0</v>
      </c>
      <c r="U805" s="113">
        <f t="shared" si="89"/>
        <v>0.30940211186823957</v>
      </c>
    </row>
    <row r="806" spans="1:21" x14ac:dyDescent="0.45">
      <c r="A806" s="95">
        <v>45366</v>
      </c>
      <c r="B806" s="96">
        <v>8909</v>
      </c>
      <c r="C806" s="7">
        <v>5010</v>
      </c>
      <c r="D806" s="7">
        <f t="shared" si="84"/>
        <v>3899</v>
      </c>
      <c r="E806" s="97">
        <v>2050</v>
      </c>
      <c r="F806" s="7">
        <v>750</v>
      </c>
      <c r="G806" s="7">
        <f t="shared" si="85"/>
        <v>1300</v>
      </c>
      <c r="H806" s="98">
        <v>400</v>
      </c>
      <c r="I806" s="7"/>
      <c r="J806" s="7">
        <f t="shared" si="91"/>
        <v>400</v>
      </c>
      <c r="K806" s="99">
        <f t="shared" si="90"/>
        <v>11359</v>
      </c>
      <c r="L806" s="7">
        <v>1000</v>
      </c>
      <c r="M806" s="7">
        <v>7140</v>
      </c>
      <c r="N806" s="7">
        <v>0</v>
      </c>
      <c r="O806" s="7">
        <v>0</v>
      </c>
      <c r="P806" s="7">
        <v>7499.8643890666544</v>
      </c>
      <c r="Q806" s="7">
        <v>1642.184910063346</v>
      </c>
      <c r="R806" s="113">
        <f t="shared" si="86"/>
        <v>0.5623526770681333</v>
      </c>
      <c r="S806" s="113">
        <f t="shared" si="87"/>
        <v>0.36585365853658536</v>
      </c>
      <c r="T806" s="113">
        <f t="shared" si="88"/>
        <v>0</v>
      </c>
      <c r="U806" s="113">
        <f t="shared" si="89"/>
        <v>0.30940211186823957</v>
      </c>
    </row>
    <row r="807" spans="1:21" x14ac:dyDescent="0.45">
      <c r="A807" s="95">
        <v>45367</v>
      </c>
      <c r="B807" s="96">
        <v>8909</v>
      </c>
      <c r="C807" s="7">
        <v>5010</v>
      </c>
      <c r="D807" s="7">
        <f t="shared" si="84"/>
        <v>3899</v>
      </c>
      <c r="E807" s="97">
        <v>2050</v>
      </c>
      <c r="F807" s="7">
        <v>750</v>
      </c>
      <c r="G807" s="7">
        <f t="shared" si="85"/>
        <v>1300</v>
      </c>
      <c r="H807" s="98">
        <v>400</v>
      </c>
      <c r="I807" s="7"/>
      <c r="J807" s="7">
        <f t="shared" si="91"/>
        <v>400</v>
      </c>
      <c r="K807" s="99">
        <f t="shared" si="90"/>
        <v>11359</v>
      </c>
      <c r="L807" s="7">
        <v>1000</v>
      </c>
      <c r="M807" s="7">
        <v>7140</v>
      </c>
      <c r="N807" s="7">
        <v>0</v>
      </c>
      <c r="O807" s="7">
        <v>0</v>
      </c>
      <c r="P807" s="7">
        <v>7499.8643890666544</v>
      </c>
      <c r="Q807" s="7">
        <v>1642.184910063346</v>
      </c>
      <c r="R807" s="113">
        <f t="shared" si="86"/>
        <v>0.5623526770681333</v>
      </c>
      <c r="S807" s="113">
        <f t="shared" si="87"/>
        <v>0.36585365853658536</v>
      </c>
      <c r="T807" s="113">
        <f t="shared" si="88"/>
        <v>0</v>
      </c>
      <c r="U807" s="113">
        <f t="shared" si="89"/>
        <v>0.30940211186823957</v>
      </c>
    </row>
    <row r="808" spans="1:21" x14ac:dyDescent="0.45">
      <c r="A808" s="95">
        <v>45368</v>
      </c>
      <c r="B808" s="96">
        <v>8909</v>
      </c>
      <c r="C808" s="7">
        <v>5010</v>
      </c>
      <c r="D808" s="7">
        <f t="shared" si="84"/>
        <v>3899</v>
      </c>
      <c r="E808" s="97">
        <v>2050</v>
      </c>
      <c r="F808" s="7">
        <v>750</v>
      </c>
      <c r="G808" s="7">
        <f t="shared" si="85"/>
        <v>1300</v>
      </c>
      <c r="H808" s="98">
        <v>400</v>
      </c>
      <c r="I808" s="7"/>
      <c r="J808" s="7">
        <f t="shared" si="91"/>
        <v>400</v>
      </c>
      <c r="K808" s="99">
        <f t="shared" si="90"/>
        <v>11359</v>
      </c>
      <c r="L808" s="7">
        <v>1000</v>
      </c>
      <c r="M808" s="7">
        <v>7140</v>
      </c>
      <c r="N808" s="7">
        <v>0</v>
      </c>
      <c r="O808" s="7">
        <v>0</v>
      </c>
      <c r="P808" s="7">
        <v>7499.8643890666544</v>
      </c>
      <c r="Q808" s="7">
        <v>1642.184910063346</v>
      </c>
      <c r="R808" s="113">
        <f t="shared" si="86"/>
        <v>0.5623526770681333</v>
      </c>
      <c r="S808" s="113">
        <f t="shared" si="87"/>
        <v>0.36585365853658536</v>
      </c>
      <c r="T808" s="113">
        <f t="shared" si="88"/>
        <v>0</v>
      </c>
      <c r="U808" s="113">
        <f t="shared" si="89"/>
        <v>0.30940211186823957</v>
      </c>
    </row>
    <row r="809" spans="1:21" x14ac:dyDescent="0.45">
      <c r="A809" s="95">
        <v>45369</v>
      </c>
      <c r="B809" s="96">
        <v>8909</v>
      </c>
      <c r="C809" s="7">
        <v>5010</v>
      </c>
      <c r="D809" s="7">
        <f t="shared" si="84"/>
        <v>3899</v>
      </c>
      <c r="E809" s="97">
        <v>2050</v>
      </c>
      <c r="F809" s="7">
        <v>750</v>
      </c>
      <c r="G809" s="7">
        <f t="shared" si="85"/>
        <v>1300</v>
      </c>
      <c r="H809" s="98">
        <v>400</v>
      </c>
      <c r="I809" s="7"/>
      <c r="J809" s="7">
        <f t="shared" si="91"/>
        <v>400</v>
      </c>
      <c r="K809" s="99">
        <f t="shared" si="90"/>
        <v>11359</v>
      </c>
      <c r="L809" s="7">
        <v>1000</v>
      </c>
      <c r="M809" s="7">
        <v>7140</v>
      </c>
      <c r="N809" s="7">
        <v>0</v>
      </c>
      <c r="O809" s="7">
        <v>0</v>
      </c>
      <c r="P809" s="7">
        <v>7559.081330668896</v>
      </c>
      <c r="Q809" s="7">
        <v>1599.8560164411047</v>
      </c>
      <c r="R809" s="113">
        <f t="shared" si="86"/>
        <v>0.5623526770681333</v>
      </c>
      <c r="S809" s="113">
        <f t="shared" si="87"/>
        <v>0.36585365853658536</v>
      </c>
      <c r="T809" s="113">
        <f t="shared" si="88"/>
        <v>0</v>
      </c>
      <c r="U809" s="113">
        <f t="shared" si="89"/>
        <v>0.30940211186823957</v>
      </c>
    </row>
    <row r="810" spans="1:21" x14ac:dyDescent="0.45">
      <c r="A810" s="95">
        <v>45370</v>
      </c>
      <c r="B810" s="96">
        <v>8909</v>
      </c>
      <c r="C810" s="7">
        <v>5010</v>
      </c>
      <c r="D810" s="7">
        <f t="shared" si="84"/>
        <v>3899</v>
      </c>
      <c r="E810" s="97">
        <v>2050</v>
      </c>
      <c r="F810" s="7">
        <v>750</v>
      </c>
      <c r="G810" s="7">
        <f t="shared" si="85"/>
        <v>1300</v>
      </c>
      <c r="H810" s="98">
        <v>400</v>
      </c>
      <c r="I810" s="7"/>
      <c r="J810" s="7">
        <f t="shared" si="91"/>
        <v>400</v>
      </c>
      <c r="K810" s="99">
        <f t="shared" si="90"/>
        <v>11359</v>
      </c>
      <c r="L810" s="7">
        <v>1000</v>
      </c>
      <c r="M810" s="7">
        <v>7140</v>
      </c>
      <c r="N810" s="7">
        <v>0</v>
      </c>
      <c r="O810" s="7">
        <v>0</v>
      </c>
      <c r="P810" s="7">
        <v>7559.081330668896</v>
      </c>
      <c r="Q810" s="7">
        <v>2022.1120588111039</v>
      </c>
      <c r="R810" s="113">
        <f t="shared" si="86"/>
        <v>0.5623526770681333</v>
      </c>
      <c r="S810" s="113">
        <f t="shared" si="87"/>
        <v>0.36585365853658536</v>
      </c>
      <c r="T810" s="113">
        <f t="shared" si="88"/>
        <v>0</v>
      </c>
      <c r="U810" s="113">
        <f t="shared" si="89"/>
        <v>0.30940211186823957</v>
      </c>
    </row>
    <row r="811" spans="1:21" x14ac:dyDescent="0.45">
      <c r="A811" s="95">
        <v>45371</v>
      </c>
      <c r="B811" s="96">
        <v>8909</v>
      </c>
      <c r="C811" s="7">
        <v>5010</v>
      </c>
      <c r="D811" s="7">
        <f t="shared" si="84"/>
        <v>3899</v>
      </c>
      <c r="E811" s="97">
        <v>2050</v>
      </c>
      <c r="F811" s="7">
        <v>750</v>
      </c>
      <c r="G811" s="7">
        <f t="shared" si="85"/>
        <v>1300</v>
      </c>
      <c r="H811" s="98">
        <v>400</v>
      </c>
      <c r="I811" s="7"/>
      <c r="J811" s="7">
        <f t="shared" si="91"/>
        <v>400</v>
      </c>
      <c r="K811" s="99">
        <f t="shared" si="90"/>
        <v>11359</v>
      </c>
      <c r="L811" s="7">
        <v>1000</v>
      </c>
      <c r="M811" s="7">
        <v>7140</v>
      </c>
      <c r="N811" s="7">
        <v>0</v>
      </c>
      <c r="O811" s="7">
        <v>0</v>
      </c>
      <c r="P811" s="7">
        <v>7559.081330668896</v>
      </c>
      <c r="Q811" s="7">
        <v>1749.3500272011038</v>
      </c>
      <c r="R811" s="113">
        <f t="shared" si="86"/>
        <v>0.5623526770681333</v>
      </c>
      <c r="S811" s="113">
        <f t="shared" si="87"/>
        <v>0.36585365853658536</v>
      </c>
      <c r="T811" s="113">
        <f t="shared" si="88"/>
        <v>0</v>
      </c>
      <c r="U811" s="113">
        <f t="shared" si="89"/>
        <v>0.30940211186823957</v>
      </c>
    </row>
    <row r="812" spans="1:21" x14ac:dyDescent="0.45">
      <c r="A812" s="95">
        <v>45372</v>
      </c>
      <c r="B812" s="96">
        <v>8909</v>
      </c>
      <c r="C812" s="7">
        <v>5010</v>
      </c>
      <c r="D812" s="7">
        <f t="shared" si="84"/>
        <v>3899</v>
      </c>
      <c r="E812" s="97">
        <v>2050</v>
      </c>
      <c r="F812" s="7">
        <v>750</v>
      </c>
      <c r="G812" s="7">
        <f t="shared" si="85"/>
        <v>1300</v>
      </c>
      <c r="H812" s="98">
        <v>400</v>
      </c>
      <c r="I812" s="7"/>
      <c r="J812" s="7">
        <f t="shared" si="91"/>
        <v>400</v>
      </c>
      <c r="K812" s="99">
        <f t="shared" si="90"/>
        <v>11359</v>
      </c>
      <c r="L812" s="7">
        <v>1300</v>
      </c>
      <c r="M812" s="7">
        <v>8660</v>
      </c>
      <c r="N812" s="7">
        <v>0</v>
      </c>
      <c r="O812" s="7">
        <v>0</v>
      </c>
      <c r="P812" s="7">
        <v>7559.081330668896</v>
      </c>
      <c r="Q812" s="7">
        <v>-94.937920848895885</v>
      </c>
      <c r="R812" s="113">
        <f t="shared" si="86"/>
        <v>0.5623526770681333</v>
      </c>
      <c r="S812" s="113">
        <f t="shared" si="87"/>
        <v>0.36585365853658536</v>
      </c>
      <c r="T812" s="113">
        <f t="shared" si="88"/>
        <v>0</v>
      </c>
      <c r="U812" s="113">
        <f t="shared" si="89"/>
        <v>0.30940211186823957</v>
      </c>
    </row>
    <row r="813" spans="1:21" x14ac:dyDescent="0.45">
      <c r="A813" s="95">
        <v>45373</v>
      </c>
      <c r="B813" s="96">
        <v>8909</v>
      </c>
      <c r="C813" s="7">
        <v>5010</v>
      </c>
      <c r="D813" s="7">
        <f t="shared" si="84"/>
        <v>3899</v>
      </c>
      <c r="E813" s="97">
        <v>2050</v>
      </c>
      <c r="F813" s="7">
        <v>750</v>
      </c>
      <c r="G813" s="7">
        <f t="shared" si="85"/>
        <v>1300</v>
      </c>
      <c r="H813" s="98">
        <v>400</v>
      </c>
      <c r="I813" s="7"/>
      <c r="J813" s="7">
        <f t="shared" si="91"/>
        <v>400</v>
      </c>
      <c r="K813" s="99">
        <f t="shared" si="90"/>
        <v>11359</v>
      </c>
      <c r="L813" s="7">
        <v>1300</v>
      </c>
      <c r="M813" s="7">
        <v>8660</v>
      </c>
      <c r="N813" s="7">
        <v>0</v>
      </c>
      <c r="O813" s="7">
        <v>0</v>
      </c>
      <c r="P813" s="7">
        <v>7559.081330668896</v>
      </c>
      <c r="Q813" s="7">
        <v>160.69190609110393</v>
      </c>
      <c r="R813" s="113">
        <f t="shared" si="86"/>
        <v>0.5623526770681333</v>
      </c>
      <c r="S813" s="113">
        <f t="shared" si="87"/>
        <v>0.36585365853658536</v>
      </c>
      <c r="T813" s="113">
        <f t="shared" si="88"/>
        <v>0</v>
      </c>
      <c r="U813" s="113">
        <f t="shared" si="89"/>
        <v>0.30940211186823957</v>
      </c>
    </row>
    <row r="814" spans="1:21" x14ac:dyDescent="0.45">
      <c r="A814" s="95">
        <v>45374</v>
      </c>
      <c r="B814" s="96">
        <v>8909</v>
      </c>
      <c r="C814" s="7">
        <v>5010</v>
      </c>
      <c r="D814" s="7">
        <f t="shared" si="84"/>
        <v>3899</v>
      </c>
      <c r="E814" s="97">
        <v>2050</v>
      </c>
      <c r="F814" s="7">
        <v>900</v>
      </c>
      <c r="G814" s="7">
        <f t="shared" si="85"/>
        <v>1150</v>
      </c>
      <c r="H814" s="98">
        <v>400</v>
      </c>
      <c r="I814" s="7"/>
      <c r="J814" s="7">
        <f t="shared" si="91"/>
        <v>400</v>
      </c>
      <c r="K814" s="99">
        <f t="shared" si="90"/>
        <v>11359</v>
      </c>
      <c r="L814" s="7">
        <v>1300</v>
      </c>
      <c r="M814" s="7">
        <v>8660</v>
      </c>
      <c r="N814" s="7">
        <v>0</v>
      </c>
      <c r="O814" s="7">
        <v>0</v>
      </c>
      <c r="P814" s="7">
        <v>7559.081330668896</v>
      </c>
      <c r="Q814" s="7">
        <v>160.69190609110393</v>
      </c>
      <c r="R814" s="113">
        <f t="shared" si="86"/>
        <v>0.5623526770681333</v>
      </c>
      <c r="S814" s="113">
        <f t="shared" si="87"/>
        <v>0.43902439024390244</v>
      </c>
      <c r="T814" s="113">
        <f t="shared" si="88"/>
        <v>0</v>
      </c>
      <c r="U814" s="113">
        <f t="shared" si="89"/>
        <v>0.33379235577067856</v>
      </c>
    </row>
    <row r="815" spans="1:21" x14ac:dyDescent="0.45">
      <c r="A815" s="95">
        <v>45375</v>
      </c>
      <c r="B815" s="96">
        <v>8909</v>
      </c>
      <c r="C815" s="7">
        <v>5010</v>
      </c>
      <c r="D815" s="7">
        <f t="shared" si="84"/>
        <v>3899</v>
      </c>
      <c r="E815" s="97">
        <v>2050</v>
      </c>
      <c r="F815" s="7">
        <v>900</v>
      </c>
      <c r="G815" s="7">
        <f t="shared" si="85"/>
        <v>1150</v>
      </c>
      <c r="H815" s="98">
        <v>400</v>
      </c>
      <c r="I815" s="7"/>
      <c r="J815" s="7">
        <f t="shared" si="91"/>
        <v>400</v>
      </c>
      <c r="K815" s="99">
        <f t="shared" si="90"/>
        <v>11359</v>
      </c>
      <c r="L815" s="7">
        <v>1300</v>
      </c>
      <c r="M815" s="7">
        <v>8660</v>
      </c>
      <c r="N815" s="7">
        <v>0</v>
      </c>
      <c r="O815" s="7">
        <v>0</v>
      </c>
      <c r="P815" s="7">
        <v>7559.081330668896</v>
      </c>
      <c r="Q815" s="7">
        <v>160.69190609110393</v>
      </c>
      <c r="R815" s="113">
        <f t="shared" si="86"/>
        <v>0.5623526770681333</v>
      </c>
      <c r="S815" s="113">
        <f t="shared" si="87"/>
        <v>0.43902439024390244</v>
      </c>
      <c r="T815" s="113">
        <f t="shared" si="88"/>
        <v>0</v>
      </c>
      <c r="U815" s="113">
        <f t="shared" si="89"/>
        <v>0.33379235577067856</v>
      </c>
    </row>
    <row r="816" spans="1:21" x14ac:dyDescent="0.45">
      <c r="A816" s="95">
        <v>45376</v>
      </c>
      <c r="B816" s="96">
        <v>8909</v>
      </c>
      <c r="C816" s="7">
        <v>5010</v>
      </c>
      <c r="D816" s="7">
        <f t="shared" si="84"/>
        <v>3899</v>
      </c>
      <c r="E816" s="97">
        <v>2050</v>
      </c>
      <c r="F816" s="7">
        <v>900</v>
      </c>
      <c r="G816" s="7">
        <f t="shared" si="85"/>
        <v>1150</v>
      </c>
      <c r="H816" s="98">
        <v>400</v>
      </c>
      <c r="I816" s="7"/>
      <c r="J816" s="7">
        <f t="shared" si="91"/>
        <v>400</v>
      </c>
      <c r="K816" s="99">
        <f t="shared" si="90"/>
        <v>11359</v>
      </c>
      <c r="L816" s="7">
        <v>1300</v>
      </c>
      <c r="M816" s="7">
        <v>8660</v>
      </c>
      <c r="N816" s="7">
        <v>0</v>
      </c>
      <c r="O816" s="7">
        <v>0</v>
      </c>
      <c r="P816" s="7">
        <v>7559.081330668896</v>
      </c>
      <c r="Q816" s="7">
        <v>1529.2847454711041</v>
      </c>
      <c r="R816" s="113">
        <f t="shared" si="86"/>
        <v>0.5623526770681333</v>
      </c>
      <c r="S816" s="113">
        <f t="shared" si="87"/>
        <v>0.43902439024390244</v>
      </c>
      <c r="T816" s="113">
        <f t="shared" si="88"/>
        <v>0</v>
      </c>
      <c r="U816" s="113">
        <f t="shared" si="89"/>
        <v>0.33379235577067856</v>
      </c>
    </row>
    <row r="817" spans="1:21" x14ac:dyDescent="0.45">
      <c r="A817" s="95">
        <v>45377</v>
      </c>
      <c r="B817" s="96">
        <v>8909</v>
      </c>
      <c r="C817" s="7">
        <v>5010</v>
      </c>
      <c r="D817" s="7">
        <f t="shared" si="84"/>
        <v>3899</v>
      </c>
      <c r="E817" s="97">
        <v>1650</v>
      </c>
      <c r="F817" s="7">
        <v>750</v>
      </c>
      <c r="G817" s="7">
        <f t="shared" si="85"/>
        <v>900</v>
      </c>
      <c r="H817" s="98">
        <v>400</v>
      </c>
      <c r="I817" s="7"/>
      <c r="J817" s="7">
        <f t="shared" si="91"/>
        <v>400</v>
      </c>
      <c r="K817" s="99">
        <f t="shared" si="90"/>
        <v>10959</v>
      </c>
      <c r="L817" s="7">
        <v>1300</v>
      </c>
      <c r="M817" s="7">
        <v>8660</v>
      </c>
      <c r="N817" s="7">
        <v>0</v>
      </c>
      <c r="O817" s="7">
        <v>0</v>
      </c>
      <c r="P817" s="7">
        <v>7559.081330668896</v>
      </c>
      <c r="Q817" s="7">
        <v>1854.3067151811042</v>
      </c>
      <c r="R817" s="113">
        <f t="shared" si="86"/>
        <v>0.5623526770681333</v>
      </c>
      <c r="S817" s="113">
        <f t="shared" si="87"/>
        <v>0.45454545454545453</v>
      </c>
      <c r="T817" s="113">
        <f t="shared" si="88"/>
        <v>0</v>
      </c>
      <c r="U817" s="113">
        <f t="shared" si="89"/>
        <v>0.33896604387119594</v>
      </c>
    </row>
    <row r="818" spans="1:21" x14ac:dyDescent="0.45">
      <c r="A818" s="95">
        <v>45378</v>
      </c>
      <c r="B818" s="96">
        <v>8909</v>
      </c>
      <c r="C818" s="7">
        <v>5010</v>
      </c>
      <c r="D818" s="7">
        <f t="shared" si="84"/>
        <v>3899</v>
      </c>
      <c r="E818" s="97">
        <v>1650</v>
      </c>
      <c r="F818" s="7">
        <v>750</v>
      </c>
      <c r="G818" s="7">
        <f t="shared" si="85"/>
        <v>900</v>
      </c>
      <c r="H818" s="98">
        <v>400</v>
      </c>
      <c r="I818" s="7"/>
      <c r="J818" s="7">
        <f t="shared" si="91"/>
        <v>400</v>
      </c>
      <c r="K818" s="99">
        <f t="shared" si="90"/>
        <v>10959</v>
      </c>
      <c r="L818" s="7">
        <v>1300</v>
      </c>
      <c r="M818" s="7">
        <v>8660</v>
      </c>
      <c r="N818" s="7">
        <v>0</v>
      </c>
      <c r="O818" s="7">
        <v>0</v>
      </c>
      <c r="P818" s="7">
        <v>7559.081330668896</v>
      </c>
      <c r="Q818" s="7">
        <v>1838.978701571104</v>
      </c>
      <c r="R818" s="113">
        <f t="shared" si="86"/>
        <v>0.5623526770681333</v>
      </c>
      <c r="S818" s="113">
        <f t="shared" si="87"/>
        <v>0.45454545454545453</v>
      </c>
      <c r="T818" s="113">
        <f t="shared" si="88"/>
        <v>0</v>
      </c>
      <c r="U818" s="113">
        <f t="shared" si="89"/>
        <v>0.33896604387119594</v>
      </c>
    </row>
    <row r="819" spans="1:21" x14ac:dyDescent="0.45">
      <c r="A819" s="95">
        <v>45379</v>
      </c>
      <c r="B819" s="96">
        <v>9479</v>
      </c>
      <c r="C819" s="7">
        <v>5580</v>
      </c>
      <c r="D819" s="7">
        <f t="shared" si="84"/>
        <v>3899</v>
      </c>
      <c r="E819" s="97">
        <v>2250</v>
      </c>
      <c r="F819" s="7">
        <v>1050</v>
      </c>
      <c r="G819" s="7">
        <f t="shared" si="85"/>
        <v>1200</v>
      </c>
      <c r="H819" s="98">
        <v>400</v>
      </c>
      <c r="I819" s="7"/>
      <c r="J819" s="7">
        <f t="shared" si="91"/>
        <v>400</v>
      </c>
      <c r="K819" s="99">
        <f t="shared" si="90"/>
        <v>12129</v>
      </c>
      <c r="L819" s="7">
        <v>1400</v>
      </c>
      <c r="M819" s="7">
        <v>8060</v>
      </c>
      <c r="N819" s="7">
        <v>0</v>
      </c>
      <c r="O819" s="7">
        <v>0</v>
      </c>
      <c r="P819" s="7">
        <v>7559.081330668896</v>
      </c>
      <c r="Q819" s="7">
        <v>1346.4846100211039</v>
      </c>
      <c r="R819" s="113">
        <f t="shared" si="86"/>
        <v>0.58866969089566412</v>
      </c>
      <c r="S819" s="113">
        <f t="shared" si="87"/>
        <v>0.46666666666666667</v>
      </c>
      <c r="T819" s="113">
        <f t="shared" si="88"/>
        <v>0</v>
      </c>
      <c r="U819" s="113">
        <f t="shared" si="89"/>
        <v>0.35177878585411032</v>
      </c>
    </row>
    <row r="820" spans="1:21" x14ac:dyDescent="0.45">
      <c r="A820" s="95">
        <v>45380</v>
      </c>
      <c r="B820" s="96">
        <v>9479</v>
      </c>
      <c r="C820" s="7">
        <v>5580</v>
      </c>
      <c r="D820" s="7">
        <f t="shared" si="84"/>
        <v>3899</v>
      </c>
      <c r="E820" s="97">
        <v>2250</v>
      </c>
      <c r="F820" s="7">
        <v>1050</v>
      </c>
      <c r="G820" s="7">
        <f t="shared" si="85"/>
        <v>1200</v>
      </c>
      <c r="H820" s="98">
        <v>400</v>
      </c>
      <c r="I820" s="7"/>
      <c r="J820" s="7">
        <f t="shared" si="91"/>
        <v>400</v>
      </c>
      <c r="K820" s="99">
        <f t="shared" si="90"/>
        <v>12129</v>
      </c>
      <c r="L820" s="7">
        <v>900</v>
      </c>
      <c r="M820" s="7">
        <v>9660</v>
      </c>
      <c r="N820" s="7">
        <v>0</v>
      </c>
      <c r="O820" s="7">
        <v>0</v>
      </c>
      <c r="P820" s="7">
        <v>7559.081330668896</v>
      </c>
      <c r="Q820" s="7">
        <v>-1289.3397439288963</v>
      </c>
      <c r="R820" s="113">
        <f t="shared" si="86"/>
        <v>0.58866969089566412</v>
      </c>
      <c r="S820" s="113">
        <f t="shared" si="87"/>
        <v>0.46666666666666667</v>
      </c>
      <c r="T820" s="113">
        <f t="shared" si="88"/>
        <v>0</v>
      </c>
      <c r="U820" s="113">
        <f t="shared" si="89"/>
        <v>0.35177878585411032</v>
      </c>
    </row>
    <row r="821" spans="1:21" x14ac:dyDescent="0.45">
      <c r="A821" s="95">
        <v>45381</v>
      </c>
      <c r="B821" s="96">
        <v>9479</v>
      </c>
      <c r="C821" s="7">
        <v>5580</v>
      </c>
      <c r="D821" s="7">
        <f t="shared" si="84"/>
        <v>3899</v>
      </c>
      <c r="E821" s="97">
        <v>2250</v>
      </c>
      <c r="F821" s="7">
        <v>1050</v>
      </c>
      <c r="G821" s="7">
        <f t="shared" si="85"/>
        <v>1200</v>
      </c>
      <c r="H821" s="98">
        <v>400</v>
      </c>
      <c r="I821" s="7"/>
      <c r="J821" s="7">
        <f t="shared" si="91"/>
        <v>400</v>
      </c>
      <c r="K821" s="99">
        <f t="shared" si="90"/>
        <v>12129</v>
      </c>
      <c r="L821" s="7">
        <v>900</v>
      </c>
      <c r="M821" s="7">
        <v>9660</v>
      </c>
      <c r="N821" s="7">
        <v>0</v>
      </c>
      <c r="O821" s="7">
        <v>0</v>
      </c>
      <c r="P821" s="7">
        <v>7559.081330668896</v>
      </c>
      <c r="Q821" s="7">
        <v>-1289.3397439288963</v>
      </c>
      <c r="R821" s="113">
        <f t="shared" si="86"/>
        <v>0.58866969089566412</v>
      </c>
      <c r="S821" s="113">
        <f t="shared" si="87"/>
        <v>0.46666666666666667</v>
      </c>
      <c r="T821" s="113">
        <f t="shared" si="88"/>
        <v>0</v>
      </c>
      <c r="U821" s="113">
        <f t="shared" si="89"/>
        <v>0.35177878585411032</v>
      </c>
    </row>
    <row r="822" spans="1:21" x14ac:dyDescent="0.45">
      <c r="A822" s="95">
        <v>45382</v>
      </c>
      <c r="B822" s="96">
        <v>9479</v>
      </c>
      <c r="C822" s="7">
        <v>5580</v>
      </c>
      <c r="D822" s="7">
        <f t="shared" si="84"/>
        <v>3899</v>
      </c>
      <c r="E822" s="97">
        <v>2250</v>
      </c>
      <c r="F822" s="7">
        <v>1050</v>
      </c>
      <c r="G822" s="7">
        <f t="shared" si="85"/>
        <v>1200</v>
      </c>
      <c r="H822" s="98">
        <v>400</v>
      </c>
      <c r="I822" s="7"/>
      <c r="J822" s="7">
        <f t="shared" si="91"/>
        <v>400</v>
      </c>
      <c r="K822" s="99">
        <f t="shared" si="90"/>
        <v>12129</v>
      </c>
      <c r="L822" s="7">
        <v>900</v>
      </c>
      <c r="M822" s="7">
        <v>9660</v>
      </c>
      <c r="N822" s="7">
        <v>0</v>
      </c>
      <c r="O822" s="7">
        <v>0</v>
      </c>
      <c r="P822" s="7">
        <v>7559.081330668896</v>
      </c>
      <c r="Q822" s="7">
        <v>-1289.3397439288963</v>
      </c>
      <c r="R822" s="113">
        <f t="shared" si="86"/>
        <v>0.58866969089566412</v>
      </c>
      <c r="S822" s="113">
        <f t="shared" si="87"/>
        <v>0.46666666666666667</v>
      </c>
      <c r="T822" s="113">
        <f t="shared" si="88"/>
        <v>0</v>
      </c>
      <c r="U822" s="113">
        <f t="shared" si="89"/>
        <v>0.35177878585411032</v>
      </c>
    </row>
    <row r="823" spans="1:21" x14ac:dyDescent="0.45">
      <c r="A823" s="95">
        <v>45383</v>
      </c>
      <c r="B823" s="96">
        <v>9479</v>
      </c>
      <c r="C823" s="7">
        <v>5580</v>
      </c>
      <c r="D823" s="7">
        <f t="shared" si="84"/>
        <v>3899</v>
      </c>
      <c r="E823" s="97">
        <v>2250</v>
      </c>
      <c r="F823" s="7">
        <v>1050</v>
      </c>
      <c r="G823" s="7">
        <f t="shared" si="85"/>
        <v>1200</v>
      </c>
      <c r="H823" s="98">
        <v>400</v>
      </c>
      <c r="I823" s="7"/>
      <c r="J823" s="7">
        <f t="shared" si="91"/>
        <v>400</v>
      </c>
      <c r="K823" s="99">
        <f t="shared" si="90"/>
        <v>12129</v>
      </c>
      <c r="L823" s="7">
        <v>900</v>
      </c>
      <c r="M823" s="7">
        <v>9660</v>
      </c>
      <c r="N823" s="7">
        <v>0</v>
      </c>
      <c r="O823" s="7">
        <v>0</v>
      </c>
      <c r="P823" s="7">
        <v>7559.081330668896</v>
      </c>
      <c r="Q823" s="7">
        <v>1184.7809969211039</v>
      </c>
      <c r="R823" s="113">
        <f t="shared" si="86"/>
        <v>0.58866969089566412</v>
      </c>
      <c r="S823" s="113">
        <f t="shared" si="87"/>
        <v>0.46666666666666667</v>
      </c>
      <c r="T823" s="113">
        <f t="shared" si="88"/>
        <v>0</v>
      </c>
      <c r="U823" s="113">
        <f t="shared" si="89"/>
        <v>0.35177878585411032</v>
      </c>
    </row>
    <row r="824" spans="1:21" x14ac:dyDescent="0.45">
      <c r="A824" s="95">
        <v>45384</v>
      </c>
      <c r="B824" s="96">
        <v>9479</v>
      </c>
      <c r="C824" s="7">
        <v>5580</v>
      </c>
      <c r="D824" s="7">
        <f t="shared" si="84"/>
        <v>3899</v>
      </c>
      <c r="E824" s="97">
        <v>2250</v>
      </c>
      <c r="F824" s="7">
        <v>1050</v>
      </c>
      <c r="G824" s="7">
        <f t="shared" si="85"/>
        <v>1200</v>
      </c>
      <c r="H824" s="98">
        <v>400</v>
      </c>
      <c r="I824" s="7"/>
      <c r="J824" s="7">
        <f t="shared" si="91"/>
        <v>400</v>
      </c>
      <c r="K824" s="99">
        <f t="shared" si="90"/>
        <v>12129</v>
      </c>
      <c r="L824" s="7">
        <v>900</v>
      </c>
      <c r="M824" s="7">
        <v>9660</v>
      </c>
      <c r="N824" s="7">
        <v>0</v>
      </c>
      <c r="O824" s="7">
        <v>0</v>
      </c>
      <c r="P824" s="7">
        <v>7559.081330668896</v>
      </c>
      <c r="Q824" s="7">
        <v>786.71604825110421</v>
      </c>
      <c r="R824" s="113">
        <f t="shared" si="86"/>
        <v>0.58866969089566412</v>
      </c>
      <c r="S824" s="113">
        <f t="shared" si="87"/>
        <v>0.46666666666666667</v>
      </c>
      <c r="T824" s="113">
        <f t="shared" si="88"/>
        <v>0</v>
      </c>
      <c r="U824" s="113">
        <f t="shared" si="89"/>
        <v>0.35177878585411032</v>
      </c>
    </row>
    <row r="825" spans="1:21" x14ac:dyDescent="0.45">
      <c r="A825" s="95">
        <v>45385</v>
      </c>
      <c r="B825" s="96">
        <v>9479</v>
      </c>
      <c r="C825" s="7">
        <v>5580</v>
      </c>
      <c r="D825" s="7">
        <f t="shared" si="84"/>
        <v>3899</v>
      </c>
      <c r="E825" s="97">
        <v>2250</v>
      </c>
      <c r="F825" s="7">
        <v>1050</v>
      </c>
      <c r="G825" s="7">
        <f t="shared" si="85"/>
        <v>1200</v>
      </c>
      <c r="H825" s="98">
        <v>400</v>
      </c>
      <c r="I825" s="7"/>
      <c r="J825" s="7">
        <f t="shared" si="91"/>
        <v>400</v>
      </c>
      <c r="K825" s="99">
        <f t="shared" si="90"/>
        <v>12129</v>
      </c>
      <c r="L825" s="7">
        <v>900</v>
      </c>
      <c r="M825" s="7">
        <v>9660</v>
      </c>
      <c r="N825" s="7">
        <v>0</v>
      </c>
      <c r="O825" s="7">
        <v>0</v>
      </c>
      <c r="P825" s="7">
        <v>7559.081330668896</v>
      </c>
      <c r="Q825" s="7">
        <v>523.15960044110398</v>
      </c>
      <c r="R825" s="113">
        <f t="shared" si="86"/>
        <v>0.58866969089566412</v>
      </c>
      <c r="S825" s="113">
        <f t="shared" si="87"/>
        <v>0.46666666666666667</v>
      </c>
      <c r="T825" s="113">
        <f t="shared" si="88"/>
        <v>0</v>
      </c>
      <c r="U825" s="113">
        <f t="shared" si="89"/>
        <v>0.35177878585411032</v>
      </c>
    </row>
    <row r="826" spans="1:21" x14ac:dyDescent="0.45">
      <c r="A826" s="95">
        <v>45386</v>
      </c>
      <c r="B826" s="96">
        <v>9529.4</v>
      </c>
      <c r="C826" s="7">
        <v>5696.4</v>
      </c>
      <c r="D826" s="7">
        <f t="shared" si="84"/>
        <v>3833</v>
      </c>
      <c r="E826" s="97">
        <v>2250</v>
      </c>
      <c r="F826" s="7">
        <v>1050</v>
      </c>
      <c r="G826" s="7">
        <f t="shared" si="85"/>
        <v>1200</v>
      </c>
      <c r="H826" s="98">
        <v>400</v>
      </c>
      <c r="I826" s="7"/>
      <c r="J826" s="7">
        <f t="shared" si="91"/>
        <v>400</v>
      </c>
      <c r="K826" s="99">
        <f t="shared" si="90"/>
        <v>12179.4</v>
      </c>
      <c r="L826" s="7">
        <v>1150</v>
      </c>
      <c r="M826" s="7">
        <v>7080</v>
      </c>
      <c r="N826" s="7">
        <v>0</v>
      </c>
      <c r="O826" s="7">
        <v>0</v>
      </c>
      <c r="P826" s="7">
        <v>7559.081330668896</v>
      </c>
      <c r="Q826" s="7">
        <v>1664.2795220011044</v>
      </c>
      <c r="R826" s="113">
        <f t="shared" si="86"/>
        <v>0.59777110835939307</v>
      </c>
      <c r="S826" s="113">
        <f t="shared" si="87"/>
        <v>0.46666666666666667</v>
      </c>
      <c r="T826" s="113">
        <f t="shared" si="88"/>
        <v>0</v>
      </c>
      <c r="U826" s="113">
        <f t="shared" si="89"/>
        <v>0.35481259167535323</v>
      </c>
    </row>
    <row r="827" spans="1:21" x14ac:dyDescent="0.45">
      <c r="A827" s="95">
        <v>45387</v>
      </c>
      <c r="B827" s="96">
        <v>9529.4</v>
      </c>
      <c r="C827" s="7">
        <v>5696.4</v>
      </c>
      <c r="D827" s="7">
        <f t="shared" si="84"/>
        <v>3833</v>
      </c>
      <c r="E827" s="97">
        <v>2250</v>
      </c>
      <c r="F827" s="7">
        <v>1050</v>
      </c>
      <c r="G827" s="7">
        <f t="shared" si="85"/>
        <v>1200</v>
      </c>
      <c r="H827" s="98">
        <v>400</v>
      </c>
      <c r="I827" s="7"/>
      <c r="J827" s="7">
        <f t="shared" si="91"/>
        <v>400</v>
      </c>
      <c r="K827" s="99">
        <f t="shared" si="90"/>
        <v>12179.4</v>
      </c>
      <c r="L827" s="7">
        <v>1150</v>
      </c>
      <c r="M827" s="7">
        <v>7080</v>
      </c>
      <c r="N827" s="7">
        <v>0</v>
      </c>
      <c r="O827" s="7">
        <v>0</v>
      </c>
      <c r="P827" s="7">
        <v>7559.081330668896</v>
      </c>
      <c r="Q827" s="7">
        <v>942.05408034110428</v>
      </c>
      <c r="R827" s="113">
        <f t="shared" si="86"/>
        <v>0.59777110835939307</v>
      </c>
      <c r="S827" s="113">
        <f t="shared" si="87"/>
        <v>0.46666666666666667</v>
      </c>
      <c r="T827" s="113">
        <f t="shared" si="88"/>
        <v>0</v>
      </c>
      <c r="U827" s="113">
        <f t="shared" si="89"/>
        <v>0.35481259167535323</v>
      </c>
    </row>
    <row r="828" spans="1:21" x14ac:dyDescent="0.45">
      <c r="A828" s="95">
        <v>45388</v>
      </c>
      <c r="B828" s="96">
        <v>9529.4</v>
      </c>
      <c r="C828" s="7">
        <v>5696.4</v>
      </c>
      <c r="D828" s="7">
        <f t="shared" si="84"/>
        <v>3833</v>
      </c>
      <c r="E828" s="97">
        <v>2250</v>
      </c>
      <c r="F828" s="7">
        <v>1050</v>
      </c>
      <c r="G828" s="7">
        <f t="shared" si="85"/>
        <v>1200</v>
      </c>
      <c r="H828" s="98">
        <v>400</v>
      </c>
      <c r="I828" s="7"/>
      <c r="J828" s="7">
        <f t="shared" si="91"/>
        <v>400</v>
      </c>
      <c r="K828" s="99">
        <f t="shared" si="90"/>
        <v>12179.4</v>
      </c>
      <c r="L828" s="7">
        <v>1150</v>
      </c>
      <c r="M828" s="7">
        <v>7080</v>
      </c>
      <c r="N828" s="7">
        <v>0</v>
      </c>
      <c r="O828" s="7">
        <v>0</v>
      </c>
      <c r="P828" s="7">
        <v>7559.081330668896</v>
      </c>
      <c r="Q828" s="7">
        <v>942.05408034110428</v>
      </c>
      <c r="R828" s="113">
        <f t="shared" si="86"/>
        <v>0.59777110835939307</v>
      </c>
      <c r="S828" s="113">
        <f t="shared" si="87"/>
        <v>0.46666666666666667</v>
      </c>
      <c r="T828" s="113">
        <f t="shared" si="88"/>
        <v>0</v>
      </c>
      <c r="U828" s="113">
        <f t="shared" si="89"/>
        <v>0.35481259167535323</v>
      </c>
    </row>
    <row r="829" spans="1:21" x14ac:dyDescent="0.45">
      <c r="A829" s="95">
        <v>45389</v>
      </c>
      <c r="B829" s="96">
        <v>9529.4</v>
      </c>
      <c r="C829" s="7">
        <v>5696.4</v>
      </c>
      <c r="D829" s="7">
        <f t="shared" si="84"/>
        <v>3833</v>
      </c>
      <c r="E829" s="97">
        <v>2250</v>
      </c>
      <c r="F829" s="7">
        <v>1050</v>
      </c>
      <c r="G829" s="7">
        <f t="shared" si="85"/>
        <v>1200</v>
      </c>
      <c r="H829" s="98">
        <v>400</v>
      </c>
      <c r="I829" s="7"/>
      <c r="J829" s="7">
        <f t="shared" si="91"/>
        <v>400</v>
      </c>
      <c r="K829" s="99">
        <f t="shared" si="90"/>
        <v>12179.4</v>
      </c>
      <c r="L829" s="7">
        <v>1150</v>
      </c>
      <c r="M829" s="7">
        <v>7080</v>
      </c>
      <c r="N829" s="7">
        <v>0</v>
      </c>
      <c r="O829" s="7">
        <v>0</v>
      </c>
      <c r="P829" s="7">
        <v>7559.081330668896</v>
      </c>
      <c r="Q829" s="7">
        <v>942.05408034110428</v>
      </c>
      <c r="R829" s="113">
        <f t="shared" si="86"/>
        <v>0.59777110835939307</v>
      </c>
      <c r="S829" s="113">
        <f t="shared" si="87"/>
        <v>0.46666666666666667</v>
      </c>
      <c r="T829" s="113">
        <f t="shared" si="88"/>
        <v>0</v>
      </c>
      <c r="U829" s="113">
        <f t="shared" si="89"/>
        <v>0.35481259167535323</v>
      </c>
    </row>
    <row r="830" spans="1:21" x14ac:dyDescent="0.45">
      <c r="A830" s="95">
        <v>45390</v>
      </c>
      <c r="B830" s="96">
        <v>9529.4</v>
      </c>
      <c r="C830" s="7">
        <v>5696.4</v>
      </c>
      <c r="D830" s="7">
        <f t="shared" si="84"/>
        <v>3833</v>
      </c>
      <c r="E830" s="97">
        <v>2250</v>
      </c>
      <c r="F830" s="7">
        <v>1050</v>
      </c>
      <c r="G830" s="7">
        <f t="shared" si="85"/>
        <v>1200</v>
      </c>
      <c r="H830" s="98">
        <v>400</v>
      </c>
      <c r="I830" s="7"/>
      <c r="J830" s="7">
        <f t="shared" si="91"/>
        <v>400</v>
      </c>
      <c r="K830" s="99">
        <f t="shared" si="90"/>
        <v>12179.4</v>
      </c>
      <c r="L830" s="7">
        <v>1150</v>
      </c>
      <c r="M830" s="7">
        <v>7080</v>
      </c>
      <c r="N830" s="7">
        <v>0</v>
      </c>
      <c r="O830" s="7">
        <v>0</v>
      </c>
      <c r="P830" s="7">
        <v>7559.081330668896</v>
      </c>
      <c r="Q830" s="7">
        <v>745.4964950611045</v>
      </c>
      <c r="R830" s="113">
        <f t="shared" si="86"/>
        <v>0.59777110835939307</v>
      </c>
      <c r="S830" s="113">
        <f t="shared" si="87"/>
        <v>0.46666666666666667</v>
      </c>
      <c r="T830" s="113">
        <f t="shared" si="88"/>
        <v>0</v>
      </c>
      <c r="U830" s="113">
        <f t="shared" si="89"/>
        <v>0.35481259167535323</v>
      </c>
    </row>
    <row r="831" spans="1:21" x14ac:dyDescent="0.45">
      <c r="A831" s="95">
        <v>45391</v>
      </c>
      <c r="B831" s="96">
        <v>9529.4</v>
      </c>
      <c r="C831" s="7">
        <v>5696.4</v>
      </c>
      <c r="D831" s="7">
        <f t="shared" si="84"/>
        <v>3833</v>
      </c>
      <c r="E831" s="97">
        <v>2250</v>
      </c>
      <c r="F831" s="7">
        <v>1050</v>
      </c>
      <c r="G831" s="7">
        <f t="shared" si="85"/>
        <v>1200</v>
      </c>
      <c r="H831" s="98">
        <v>400</v>
      </c>
      <c r="I831" s="7"/>
      <c r="J831" s="7">
        <f t="shared" si="91"/>
        <v>400</v>
      </c>
      <c r="K831" s="99">
        <f t="shared" si="90"/>
        <v>12179.4</v>
      </c>
      <c r="L831" s="7">
        <v>1150</v>
      </c>
      <c r="M831" s="7">
        <v>7080</v>
      </c>
      <c r="N831" s="7">
        <v>0</v>
      </c>
      <c r="O831" s="7">
        <v>0</v>
      </c>
      <c r="P831" s="7">
        <v>7559.081330668896</v>
      </c>
      <c r="Q831" s="7">
        <v>1694.196207461104</v>
      </c>
      <c r="R831" s="113">
        <f t="shared" si="86"/>
        <v>0.59777110835939307</v>
      </c>
      <c r="S831" s="113">
        <f t="shared" si="87"/>
        <v>0.46666666666666667</v>
      </c>
      <c r="T831" s="113">
        <f t="shared" si="88"/>
        <v>0</v>
      </c>
      <c r="U831" s="113">
        <f t="shared" si="89"/>
        <v>0.35481259167535323</v>
      </c>
    </row>
    <row r="832" spans="1:21" x14ac:dyDescent="0.45">
      <c r="A832" s="95">
        <v>45392</v>
      </c>
      <c r="B832" s="96">
        <v>9529.4</v>
      </c>
      <c r="C832" s="7">
        <v>5696.4</v>
      </c>
      <c r="D832" s="7">
        <f t="shared" si="84"/>
        <v>3833</v>
      </c>
      <c r="E832" s="97">
        <v>2250</v>
      </c>
      <c r="F832" s="7">
        <v>1050</v>
      </c>
      <c r="G832" s="7">
        <f t="shared" si="85"/>
        <v>1200</v>
      </c>
      <c r="H832" s="98">
        <v>400</v>
      </c>
      <c r="I832" s="7"/>
      <c r="J832" s="7">
        <f t="shared" si="91"/>
        <v>400</v>
      </c>
      <c r="K832" s="99">
        <f t="shared" si="90"/>
        <v>12179.4</v>
      </c>
      <c r="L832" s="7">
        <v>1150</v>
      </c>
      <c r="M832" s="7">
        <v>7080</v>
      </c>
      <c r="N832" s="7">
        <v>0</v>
      </c>
      <c r="O832" s="7">
        <v>0</v>
      </c>
      <c r="P832" s="7">
        <v>7559.081330668896</v>
      </c>
      <c r="Q832" s="7">
        <v>1694.196207461104</v>
      </c>
      <c r="R832" s="113">
        <f t="shared" si="86"/>
        <v>0.59777110835939307</v>
      </c>
      <c r="S832" s="113">
        <f t="shared" si="87"/>
        <v>0.46666666666666667</v>
      </c>
      <c r="T832" s="113">
        <f t="shared" si="88"/>
        <v>0</v>
      </c>
      <c r="U832" s="113">
        <f t="shared" si="89"/>
        <v>0.35481259167535323</v>
      </c>
    </row>
    <row r="833" spans="1:21" x14ac:dyDescent="0.45">
      <c r="A833" s="95">
        <v>45393</v>
      </c>
      <c r="B833" s="96">
        <v>9549.4</v>
      </c>
      <c r="C833" s="7">
        <v>5310.4</v>
      </c>
      <c r="D833" s="7">
        <f t="shared" si="84"/>
        <v>4239</v>
      </c>
      <c r="E833" s="97">
        <v>2250</v>
      </c>
      <c r="F833" s="7">
        <v>1050</v>
      </c>
      <c r="G833" s="7">
        <f t="shared" si="85"/>
        <v>1200</v>
      </c>
      <c r="H833" s="98">
        <v>400</v>
      </c>
      <c r="I833" s="7"/>
      <c r="J833" s="7">
        <f t="shared" si="91"/>
        <v>400</v>
      </c>
      <c r="K833" s="99">
        <f t="shared" si="90"/>
        <v>12199.4</v>
      </c>
      <c r="L833" s="7">
        <v>1150</v>
      </c>
      <c r="M833" s="7">
        <v>7080</v>
      </c>
      <c r="N833" s="7">
        <v>0</v>
      </c>
      <c r="O833" s="7">
        <v>0</v>
      </c>
      <c r="P833" s="7">
        <v>7559.081330668896</v>
      </c>
      <c r="Q833" s="7">
        <v>1694.196207461104</v>
      </c>
      <c r="R833" s="113">
        <f t="shared" si="86"/>
        <v>0.5560977653046264</v>
      </c>
      <c r="S833" s="113">
        <f t="shared" si="87"/>
        <v>0.46666666666666667</v>
      </c>
      <c r="T833" s="113">
        <f t="shared" si="88"/>
        <v>0</v>
      </c>
      <c r="U833" s="113">
        <f t="shared" si="89"/>
        <v>0.34092147732376432</v>
      </c>
    </row>
    <row r="834" spans="1:21" x14ac:dyDescent="0.45">
      <c r="A834" s="95">
        <v>45394</v>
      </c>
      <c r="B834" s="96">
        <v>9549.4</v>
      </c>
      <c r="C834" s="7">
        <v>5310.4</v>
      </c>
      <c r="D834" s="7">
        <f t="shared" ref="D834:D897" si="92">B834-C834</f>
        <v>4239</v>
      </c>
      <c r="E834" s="97">
        <v>2250</v>
      </c>
      <c r="F834" s="7">
        <v>1050</v>
      </c>
      <c r="G834" s="7">
        <f t="shared" ref="G834:G897" si="93">E834-F834</f>
        <v>1200</v>
      </c>
      <c r="H834" s="98">
        <v>400</v>
      </c>
      <c r="I834" s="7"/>
      <c r="J834" s="7">
        <f t="shared" si="91"/>
        <v>400</v>
      </c>
      <c r="K834" s="99">
        <f t="shared" si="90"/>
        <v>12199.4</v>
      </c>
      <c r="L834" s="7">
        <v>1150</v>
      </c>
      <c r="M834" s="7">
        <v>7080</v>
      </c>
      <c r="N834" s="7">
        <v>0</v>
      </c>
      <c r="O834" s="7">
        <v>0</v>
      </c>
      <c r="P834" s="7">
        <v>7559.081330668896</v>
      </c>
      <c r="Q834" s="7">
        <v>1694.196207461104</v>
      </c>
      <c r="R834" s="113">
        <f t="shared" si="86"/>
        <v>0.5560977653046264</v>
      </c>
      <c r="S834" s="113">
        <f t="shared" si="87"/>
        <v>0.46666666666666667</v>
      </c>
      <c r="T834" s="113">
        <f t="shared" si="88"/>
        <v>0</v>
      </c>
      <c r="U834" s="113">
        <f t="shared" si="89"/>
        <v>0.34092147732376432</v>
      </c>
    </row>
    <row r="835" spans="1:21" x14ac:dyDescent="0.45">
      <c r="A835" s="95">
        <v>45395</v>
      </c>
      <c r="B835" s="96">
        <v>9549.4</v>
      </c>
      <c r="C835" s="7">
        <v>5310.4</v>
      </c>
      <c r="D835" s="7">
        <f t="shared" si="92"/>
        <v>4239</v>
      </c>
      <c r="E835" s="97">
        <v>2250</v>
      </c>
      <c r="F835" s="7">
        <v>1050</v>
      </c>
      <c r="G835" s="7">
        <f t="shared" si="93"/>
        <v>1200</v>
      </c>
      <c r="H835" s="98">
        <v>400</v>
      </c>
      <c r="I835" s="7"/>
      <c r="J835" s="7">
        <f t="shared" si="91"/>
        <v>400</v>
      </c>
      <c r="K835" s="99">
        <f t="shared" si="90"/>
        <v>12199.4</v>
      </c>
      <c r="L835" s="7">
        <v>1150</v>
      </c>
      <c r="M835" s="7">
        <v>7080</v>
      </c>
      <c r="N835" s="7">
        <v>0</v>
      </c>
      <c r="O835" s="7">
        <v>0</v>
      </c>
      <c r="P835" s="7">
        <v>7559.081330668896</v>
      </c>
      <c r="Q835" s="7">
        <v>1694.196207461104</v>
      </c>
      <c r="R835" s="113">
        <f t="shared" ref="R835:R898" si="94">C835/B835</f>
        <v>0.5560977653046264</v>
      </c>
      <c r="S835" s="113">
        <f t="shared" ref="S835:S898" si="95">F835/E835</f>
        <v>0.46666666666666667</v>
      </c>
      <c r="T835" s="113">
        <f t="shared" ref="T835:T898" si="96">IF(H835=0,0,I835/H835)</f>
        <v>0</v>
      </c>
      <c r="U835" s="113">
        <f t="shared" ref="U835:U898" si="97">AVERAGE(R835:T835)</f>
        <v>0.34092147732376432</v>
      </c>
    </row>
    <row r="836" spans="1:21" x14ac:dyDescent="0.45">
      <c r="A836" s="95">
        <v>45396</v>
      </c>
      <c r="B836" s="96">
        <v>9549.4</v>
      </c>
      <c r="C836" s="7">
        <v>5310.4</v>
      </c>
      <c r="D836" s="7">
        <f t="shared" si="92"/>
        <v>4239</v>
      </c>
      <c r="E836" s="97">
        <v>2250</v>
      </c>
      <c r="F836" s="7">
        <v>1050</v>
      </c>
      <c r="G836" s="7">
        <f t="shared" si="93"/>
        <v>1200</v>
      </c>
      <c r="H836" s="98">
        <v>400</v>
      </c>
      <c r="I836" s="7"/>
      <c r="J836" s="7">
        <f t="shared" si="91"/>
        <v>400</v>
      </c>
      <c r="K836" s="99">
        <f t="shared" ref="K836:K899" si="98">B836+E836+H836</f>
        <v>12199.4</v>
      </c>
      <c r="L836" s="7">
        <v>1150</v>
      </c>
      <c r="M836" s="7">
        <v>7080</v>
      </c>
      <c r="N836" s="7">
        <v>0</v>
      </c>
      <c r="O836" s="7">
        <v>0</v>
      </c>
      <c r="P836" s="7">
        <v>7559.081330668896</v>
      </c>
      <c r="Q836" s="7">
        <v>1694.196207461104</v>
      </c>
      <c r="R836" s="113">
        <f t="shared" si="94"/>
        <v>0.5560977653046264</v>
      </c>
      <c r="S836" s="113">
        <f t="shared" si="95"/>
        <v>0.46666666666666667</v>
      </c>
      <c r="T836" s="113">
        <f t="shared" si="96"/>
        <v>0</v>
      </c>
      <c r="U836" s="113">
        <f t="shared" si="97"/>
        <v>0.34092147732376432</v>
      </c>
    </row>
    <row r="837" spans="1:21" x14ac:dyDescent="0.45">
      <c r="A837" s="95">
        <v>45397</v>
      </c>
      <c r="B837" s="96">
        <v>9549.4</v>
      </c>
      <c r="C837" s="7">
        <v>5310.4</v>
      </c>
      <c r="D837" s="7">
        <f t="shared" si="92"/>
        <v>4239</v>
      </c>
      <c r="E837" s="97">
        <v>2250</v>
      </c>
      <c r="F837" s="7">
        <v>1050</v>
      </c>
      <c r="G837" s="7">
        <f t="shared" si="93"/>
        <v>1200</v>
      </c>
      <c r="H837" s="98">
        <v>400</v>
      </c>
      <c r="I837" s="7"/>
      <c r="J837" s="7">
        <f t="shared" si="91"/>
        <v>400</v>
      </c>
      <c r="K837" s="99">
        <f t="shared" si="98"/>
        <v>12199.4</v>
      </c>
      <c r="L837" s="7">
        <v>1000</v>
      </c>
      <c r="M837" s="7">
        <v>10060</v>
      </c>
      <c r="N837" s="7">
        <v>0</v>
      </c>
      <c r="O837" s="7">
        <v>0</v>
      </c>
      <c r="P837" s="7">
        <v>7684.6328851466496</v>
      </c>
      <c r="Q837" s="7">
        <v>2387.5558711333501</v>
      </c>
      <c r="R837" s="113">
        <f t="shared" si="94"/>
        <v>0.5560977653046264</v>
      </c>
      <c r="S837" s="113">
        <f t="shared" si="95"/>
        <v>0.46666666666666667</v>
      </c>
      <c r="T837" s="113">
        <f t="shared" si="96"/>
        <v>0</v>
      </c>
      <c r="U837" s="113">
        <f t="shared" si="97"/>
        <v>0.34092147732376432</v>
      </c>
    </row>
    <row r="838" spans="1:21" x14ac:dyDescent="0.45">
      <c r="A838" s="95">
        <v>45398</v>
      </c>
      <c r="B838" s="96">
        <v>9549.4</v>
      </c>
      <c r="C838" s="7">
        <v>5310.4</v>
      </c>
      <c r="D838" s="7">
        <f t="shared" si="92"/>
        <v>4239</v>
      </c>
      <c r="E838" s="97">
        <v>2250</v>
      </c>
      <c r="F838" s="7">
        <v>1050</v>
      </c>
      <c r="G838" s="7">
        <f t="shared" si="93"/>
        <v>1200</v>
      </c>
      <c r="H838" s="98">
        <v>400</v>
      </c>
      <c r="I838" s="7"/>
      <c r="J838" s="7">
        <f t="shared" si="91"/>
        <v>400</v>
      </c>
      <c r="K838" s="99">
        <f t="shared" si="98"/>
        <v>12199.4</v>
      </c>
      <c r="L838" s="7">
        <v>1000</v>
      </c>
      <c r="M838" s="7">
        <v>8500</v>
      </c>
      <c r="N838" s="7">
        <v>0</v>
      </c>
      <c r="O838" s="7">
        <v>0</v>
      </c>
      <c r="P838" s="7">
        <v>7684.6328851466496</v>
      </c>
      <c r="Q838" s="7">
        <v>1014.8135523033503</v>
      </c>
      <c r="R838" s="113">
        <f t="shared" si="94"/>
        <v>0.5560977653046264</v>
      </c>
      <c r="S838" s="113">
        <f t="shared" si="95"/>
        <v>0.46666666666666667</v>
      </c>
      <c r="T838" s="113">
        <f t="shared" si="96"/>
        <v>0</v>
      </c>
      <c r="U838" s="113">
        <f t="shared" si="97"/>
        <v>0.34092147732376432</v>
      </c>
    </row>
    <row r="839" spans="1:21" x14ac:dyDescent="0.45">
      <c r="A839" s="95">
        <v>45399</v>
      </c>
      <c r="B839" s="96">
        <v>9549.4</v>
      </c>
      <c r="C839" s="7">
        <v>5310.4</v>
      </c>
      <c r="D839" s="7">
        <f t="shared" si="92"/>
        <v>4239</v>
      </c>
      <c r="E839" s="97">
        <v>2250</v>
      </c>
      <c r="F839" s="7">
        <v>1050</v>
      </c>
      <c r="G839" s="7">
        <f t="shared" si="93"/>
        <v>1200</v>
      </c>
      <c r="H839" s="98">
        <v>400</v>
      </c>
      <c r="I839" s="7"/>
      <c r="J839" s="7">
        <f t="shared" si="91"/>
        <v>400</v>
      </c>
      <c r="K839" s="99">
        <f t="shared" si="98"/>
        <v>12199.4</v>
      </c>
      <c r="L839" s="7">
        <v>1000</v>
      </c>
      <c r="M839" s="7">
        <v>8500</v>
      </c>
      <c r="N839" s="7">
        <v>0</v>
      </c>
      <c r="O839" s="7">
        <v>0</v>
      </c>
      <c r="P839" s="7">
        <v>7684.6328851466496</v>
      </c>
      <c r="Q839" s="7">
        <v>753.96302633335029</v>
      </c>
      <c r="R839" s="113">
        <f t="shared" si="94"/>
        <v>0.5560977653046264</v>
      </c>
      <c r="S839" s="113">
        <f t="shared" si="95"/>
        <v>0.46666666666666667</v>
      </c>
      <c r="T839" s="113">
        <f t="shared" si="96"/>
        <v>0</v>
      </c>
      <c r="U839" s="113">
        <f t="shared" si="97"/>
        <v>0.34092147732376432</v>
      </c>
    </row>
    <row r="840" spans="1:21" x14ac:dyDescent="0.45">
      <c r="A840" s="95">
        <v>45400</v>
      </c>
      <c r="B840" s="96">
        <v>9449.4</v>
      </c>
      <c r="C840" s="7">
        <v>5210.3999999999996</v>
      </c>
      <c r="D840" s="7">
        <f t="shared" si="92"/>
        <v>4239</v>
      </c>
      <c r="E840" s="97">
        <v>2250</v>
      </c>
      <c r="F840" s="7">
        <v>1050</v>
      </c>
      <c r="G840" s="7">
        <f t="shared" si="93"/>
        <v>1200</v>
      </c>
      <c r="H840" s="98">
        <v>400</v>
      </c>
      <c r="I840" s="7"/>
      <c r="J840" s="7">
        <f t="shared" si="91"/>
        <v>400</v>
      </c>
      <c r="K840" s="99">
        <f t="shared" si="98"/>
        <v>12099.4</v>
      </c>
      <c r="L840" s="7">
        <v>1020</v>
      </c>
      <c r="M840" s="7">
        <v>8500</v>
      </c>
      <c r="N840" s="7">
        <v>0</v>
      </c>
      <c r="O840" s="7">
        <v>0</v>
      </c>
      <c r="P840" s="7">
        <v>7684.6328851466496</v>
      </c>
      <c r="Q840" s="7">
        <v>1954.1189099133503</v>
      </c>
      <c r="R840" s="113">
        <f t="shared" si="94"/>
        <v>0.55140008889453296</v>
      </c>
      <c r="S840" s="113">
        <f t="shared" si="95"/>
        <v>0.46666666666666667</v>
      </c>
      <c r="T840" s="113">
        <f t="shared" si="96"/>
        <v>0</v>
      </c>
      <c r="U840" s="113">
        <f t="shared" si="97"/>
        <v>0.33935558518706649</v>
      </c>
    </row>
    <row r="841" spans="1:21" x14ac:dyDescent="0.45">
      <c r="A841" s="95">
        <v>45401</v>
      </c>
      <c r="B841" s="96">
        <v>9449.4</v>
      </c>
      <c r="C841" s="7">
        <v>5210.3999999999996</v>
      </c>
      <c r="D841" s="7">
        <f t="shared" si="92"/>
        <v>4239</v>
      </c>
      <c r="E841" s="97">
        <v>2250</v>
      </c>
      <c r="F841" s="7">
        <v>1050</v>
      </c>
      <c r="G841" s="7">
        <f t="shared" si="93"/>
        <v>1200</v>
      </c>
      <c r="H841" s="98">
        <v>400</v>
      </c>
      <c r="I841" s="7"/>
      <c r="J841" s="7">
        <f t="shared" si="91"/>
        <v>400</v>
      </c>
      <c r="K841" s="99">
        <f t="shared" si="98"/>
        <v>12099.4</v>
      </c>
      <c r="L841" s="7">
        <v>1020</v>
      </c>
      <c r="M841" s="7">
        <v>8500</v>
      </c>
      <c r="N841" s="7">
        <v>0</v>
      </c>
      <c r="O841" s="7">
        <v>0</v>
      </c>
      <c r="P841" s="7">
        <v>7684.6328851466496</v>
      </c>
      <c r="Q841" s="7">
        <v>1474.6096190433504</v>
      </c>
      <c r="R841" s="113">
        <f t="shared" si="94"/>
        <v>0.55140008889453296</v>
      </c>
      <c r="S841" s="113">
        <f t="shared" si="95"/>
        <v>0.46666666666666667</v>
      </c>
      <c r="T841" s="113">
        <f t="shared" si="96"/>
        <v>0</v>
      </c>
      <c r="U841" s="113">
        <f t="shared" si="97"/>
        <v>0.33935558518706649</v>
      </c>
    </row>
    <row r="842" spans="1:21" x14ac:dyDescent="0.45">
      <c r="A842" s="95">
        <v>45402</v>
      </c>
      <c r="B842" s="96">
        <v>9449.4</v>
      </c>
      <c r="C842" s="7">
        <v>5210.3999999999996</v>
      </c>
      <c r="D842" s="7">
        <f t="shared" si="92"/>
        <v>4239</v>
      </c>
      <c r="E842" s="97">
        <v>2250</v>
      </c>
      <c r="F842" s="7">
        <v>1050</v>
      </c>
      <c r="G842" s="7">
        <f t="shared" si="93"/>
        <v>1200</v>
      </c>
      <c r="H842" s="98">
        <v>400</v>
      </c>
      <c r="I842" s="7"/>
      <c r="J842" s="7">
        <f t="shared" ref="J842:J905" si="99">H842-I842</f>
        <v>400</v>
      </c>
      <c r="K842" s="99">
        <f t="shared" si="98"/>
        <v>12099.4</v>
      </c>
      <c r="L842" s="7">
        <v>1020</v>
      </c>
      <c r="M842" s="7">
        <v>8500</v>
      </c>
      <c r="N842" s="7">
        <v>0</v>
      </c>
      <c r="O842" s="7">
        <v>0</v>
      </c>
      <c r="P842" s="7">
        <v>7684.6328851466496</v>
      </c>
      <c r="Q842" s="7">
        <v>1474.6096190433504</v>
      </c>
      <c r="R842" s="113">
        <f t="shared" si="94"/>
        <v>0.55140008889453296</v>
      </c>
      <c r="S842" s="113">
        <f t="shared" si="95"/>
        <v>0.46666666666666667</v>
      </c>
      <c r="T842" s="113">
        <f t="shared" si="96"/>
        <v>0</v>
      </c>
      <c r="U842" s="113">
        <f t="shared" si="97"/>
        <v>0.33935558518706649</v>
      </c>
    </row>
    <row r="843" spans="1:21" x14ac:dyDescent="0.45">
      <c r="A843" s="95">
        <v>45403</v>
      </c>
      <c r="B843" s="96">
        <v>9449.4</v>
      </c>
      <c r="C843" s="7">
        <v>5210.3999999999996</v>
      </c>
      <c r="D843" s="7">
        <f t="shared" si="92"/>
        <v>4239</v>
      </c>
      <c r="E843" s="97">
        <v>2250</v>
      </c>
      <c r="F843" s="7">
        <v>1050</v>
      </c>
      <c r="G843" s="7">
        <f t="shared" si="93"/>
        <v>1200</v>
      </c>
      <c r="H843" s="98">
        <v>400</v>
      </c>
      <c r="I843" s="7"/>
      <c r="J843" s="7">
        <f t="shared" si="99"/>
        <v>400</v>
      </c>
      <c r="K843" s="99">
        <f t="shared" si="98"/>
        <v>12099.4</v>
      </c>
      <c r="L843" s="7">
        <v>1020</v>
      </c>
      <c r="M843" s="7">
        <v>8500</v>
      </c>
      <c r="N843" s="7">
        <v>0</v>
      </c>
      <c r="O843" s="7">
        <v>0</v>
      </c>
      <c r="P843" s="7">
        <v>7684.6328851466496</v>
      </c>
      <c r="Q843" s="7">
        <v>1474.6096190433504</v>
      </c>
      <c r="R843" s="113">
        <f t="shared" si="94"/>
        <v>0.55140008889453296</v>
      </c>
      <c r="S843" s="113">
        <f t="shared" si="95"/>
        <v>0.46666666666666667</v>
      </c>
      <c r="T843" s="113">
        <f t="shared" si="96"/>
        <v>0</v>
      </c>
      <c r="U843" s="113">
        <f t="shared" si="97"/>
        <v>0.33935558518706649</v>
      </c>
    </row>
    <row r="844" spans="1:21" x14ac:dyDescent="0.45">
      <c r="A844" s="95">
        <v>45404</v>
      </c>
      <c r="B844" s="96">
        <v>9449.4</v>
      </c>
      <c r="C844" s="7">
        <v>5210.3999999999996</v>
      </c>
      <c r="D844" s="7">
        <f t="shared" si="92"/>
        <v>4239</v>
      </c>
      <c r="E844" s="97">
        <v>2250</v>
      </c>
      <c r="F844" s="7">
        <v>1050</v>
      </c>
      <c r="G844" s="7">
        <f t="shared" si="93"/>
        <v>1200</v>
      </c>
      <c r="H844" s="98">
        <v>400</v>
      </c>
      <c r="I844" s="7"/>
      <c r="J844" s="7">
        <f t="shared" si="99"/>
        <v>400</v>
      </c>
      <c r="K844" s="99">
        <f t="shared" si="98"/>
        <v>12099.4</v>
      </c>
      <c r="L844" s="7">
        <v>1020</v>
      </c>
      <c r="M844" s="7">
        <v>8500</v>
      </c>
      <c r="N844" s="7">
        <v>0</v>
      </c>
      <c r="O844" s="7">
        <v>0</v>
      </c>
      <c r="P844" s="7">
        <v>7684.6328851466496</v>
      </c>
      <c r="Q844" s="7">
        <v>1385.3476583933507</v>
      </c>
      <c r="R844" s="113">
        <f t="shared" si="94"/>
        <v>0.55140008889453296</v>
      </c>
      <c r="S844" s="113">
        <f t="shared" si="95"/>
        <v>0.46666666666666667</v>
      </c>
      <c r="T844" s="113">
        <f t="shared" si="96"/>
        <v>0</v>
      </c>
      <c r="U844" s="113">
        <f t="shared" si="97"/>
        <v>0.33935558518706649</v>
      </c>
    </row>
    <row r="845" spans="1:21" x14ac:dyDescent="0.45">
      <c r="A845" s="95">
        <v>45405</v>
      </c>
      <c r="B845" s="96">
        <v>9449.4</v>
      </c>
      <c r="C845" s="7">
        <v>5210.3999999999996</v>
      </c>
      <c r="D845" s="7">
        <f t="shared" si="92"/>
        <v>4239</v>
      </c>
      <c r="E845" s="97">
        <v>2100</v>
      </c>
      <c r="F845" s="7">
        <v>900</v>
      </c>
      <c r="G845" s="7">
        <f t="shared" si="93"/>
        <v>1200</v>
      </c>
      <c r="H845" s="98">
        <v>400</v>
      </c>
      <c r="I845" s="7"/>
      <c r="J845" s="7">
        <f t="shared" si="99"/>
        <v>400</v>
      </c>
      <c r="K845" s="99">
        <f t="shared" si="98"/>
        <v>11949.4</v>
      </c>
      <c r="L845" s="7">
        <v>1020</v>
      </c>
      <c r="M845" s="7">
        <v>8500</v>
      </c>
      <c r="N845" s="7">
        <v>0</v>
      </c>
      <c r="O845" s="7">
        <v>0</v>
      </c>
      <c r="P845" s="7">
        <v>7684.6328851466496</v>
      </c>
      <c r="Q845" s="7">
        <v>2047.1551229433499</v>
      </c>
      <c r="R845" s="113">
        <f t="shared" si="94"/>
        <v>0.55140008889453296</v>
      </c>
      <c r="S845" s="113">
        <f t="shared" si="95"/>
        <v>0.42857142857142855</v>
      </c>
      <c r="T845" s="113">
        <f t="shared" si="96"/>
        <v>0</v>
      </c>
      <c r="U845" s="113">
        <f t="shared" si="97"/>
        <v>0.32665717248865384</v>
      </c>
    </row>
    <row r="846" spans="1:21" x14ac:dyDescent="0.45">
      <c r="A846" s="95">
        <v>45406</v>
      </c>
      <c r="B846" s="96">
        <v>9449.4</v>
      </c>
      <c r="C846" s="7">
        <v>5210.3999999999996</v>
      </c>
      <c r="D846" s="7">
        <f t="shared" si="92"/>
        <v>4239</v>
      </c>
      <c r="E846" s="97">
        <v>2100</v>
      </c>
      <c r="F846" s="7">
        <v>900</v>
      </c>
      <c r="G846" s="7">
        <f t="shared" si="93"/>
        <v>1200</v>
      </c>
      <c r="H846" s="98">
        <v>400</v>
      </c>
      <c r="I846" s="7"/>
      <c r="J846" s="7">
        <f t="shared" si="99"/>
        <v>400</v>
      </c>
      <c r="K846" s="99">
        <f t="shared" si="98"/>
        <v>11949.4</v>
      </c>
      <c r="L846" s="7">
        <v>2950</v>
      </c>
      <c r="M846" s="7">
        <v>8500</v>
      </c>
      <c r="N846" s="7">
        <v>0</v>
      </c>
      <c r="O846" s="7">
        <v>0</v>
      </c>
      <c r="P846" s="7">
        <v>7684.6328851466496</v>
      </c>
      <c r="Q846" s="7">
        <v>2493.2649530533508</v>
      </c>
      <c r="R846" s="113">
        <f t="shared" si="94"/>
        <v>0.55140008889453296</v>
      </c>
      <c r="S846" s="113">
        <f t="shared" si="95"/>
        <v>0.42857142857142855</v>
      </c>
      <c r="T846" s="113">
        <f t="shared" si="96"/>
        <v>0</v>
      </c>
      <c r="U846" s="113">
        <f t="shared" si="97"/>
        <v>0.32665717248865384</v>
      </c>
    </row>
    <row r="847" spans="1:21" x14ac:dyDescent="0.45">
      <c r="A847" s="95">
        <v>45407</v>
      </c>
      <c r="B847" s="96">
        <v>9289.4</v>
      </c>
      <c r="C847" s="7">
        <v>4990.3999999999996</v>
      </c>
      <c r="D847" s="7">
        <f t="shared" si="92"/>
        <v>4299</v>
      </c>
      <c r="E847" s="97">
        <v>2600</v>
      </c>
      <c r="F847" s="7">
        <v>1400</v>
      </c>
      <c r="G847" s="7">
        <f t="shared" si="93"/>
        <v>1200</v>
      </c>
      <c r="H847" s="98">
        <v>400</v>
      </c>
      <c r="I847" s="7"/>
      <c r="J847" s="7">
        <f t="shared" si="99"/>
        <v>400</v>
      </c>
      <c r="K847" s="99">
        <f t="shared" si="98"/>
        <v>12289.4</v>
      </c>
      <c r="L847" s="7">
        <v>3000</v>
      </c>
      <c r="M847" s="7">
        <v>8580</v>
      </c>
      <c r="N847" s="7">
        <v>0</v>
      </c>
      <c r="O847" s="7">
        <v>0</v>
      </c>
      <c r="P847" s="7">
        <v>7684.6328851466496</v>
      </c>
      <c r="Q847" s="7">
        <v>1241.9927954033503</v>
      </c>
      <c r="R847" s="113">
        <f t="shared" si="94"/>
        <v>0.5372144594914634</v>
      </c>
      <c r="S847" s="113">
        <f t="shared" si="95"/>
        <v>0.53846153846153844</v>
      </c>
      <c r="T847" s="113">
        <f t="shared" si="96"/>
        <v>0</v>
      </c>
      <c r="U847" s="113">
        <f t="shared" si="97"/>
        <v>0.358558665984334</v>
      </c>
    </row>
    <row r="848" spans="1:21" x14ac:dyDescent="0.45">
      <c r="A848" s="95">
        <v>45408</v>
      </c>
      <c r="B848" s="96">
        <v>9289.4</v>
      </c>
      <c r="C848" s="7">
        <v>4990.3999999999996</v>
      </c>
      <c r="D848" s="7">
        <f t="shared" si="92"/>
        <v>4299</v>
      </c>
      <c r="E848" s="97">
        <v>2600</v>
      </c>
      <c r="F848" s="7">
        <v>1400</v>
      </c>
      <c r="G848" s="7">
        <f t="shared" si="93"/>
        <v>1200</v>
      </c>
      <c r="H848" s="98">
        <v>400</v>
      </c>
      <c r="I848" s="7"/>
      <c r="J848" s="7">
        <f t="shared" si="99"/>
        <v>400</v>
      </c>
      <c r="K848" s="99">
        <f t="shared" si="98"/>
        <v>12289.4</v>
      </c>
      <c r="L848" s="7">
        <v>3000</v>
      </c>
      <c r="M848" s="7">
        <v>8580</v>
      </c>
      <c r="N848" s="7">
        <v>0</v>
      </c>
      <c r="O848" s="7">
        <v>0</v>
      </c>
      <c r="P848" s="7">
        <v>7684.6328851466496</v>
      </c>
      <c r="Q848" s="7">
        <v>839.47980752335059</v>
      </c>
      <c r="R848" s="113">
        <f t="shared" si="94"/>
        <v>0.5372144594914634</v>
      </c>
      <c r="S848" s="113">
        <f t="shared" si="95"/>
        <v>0.53846153846153844</v>
      </c>
      <c r="T848" s="113">
        <f t="shared" si="96"/>
        <v>0</v>
      </c>
      <c r="U848" s="113">
        <f t="shared" si="97"/>
        <v>0.358558665984334</v>
      </c>
    </row>
    <row r="849" spans="1:21" x14ac:dyDescent="0.45">
      <c r="A849" s="95">
        <v>45409</v>
      </c>
      <c r="B849" s="96">
        <v>9289.4</v>
      </c>
      <c r="C849" s="7">
        <v>4990.3999999999996</v>
      </c>
      <c r="D849" s="7">
        <f t="shared" si="92"/>
        <v>4299</v>
      </c>
      <c r="E849" s="97">
        <v>2600</v>
      </c>
      <c r="F849" s="7">
        <v>1400</v>
      </c>
      <c r="G849" s="7">
        <f t="shared" si="93"/>
        <v>1200</v>
      </c>
      <c r="H849" s="98">
        <v>400</v>
      </c>
      <c r="I849" s="7"/>
      <c r="J849" s="7">
        <f t="shared" si="99"/>
        <v>400</v>
      </c>
      <c r="K849" s="99">
        <f t="shared" si="98"/>
        <v>12289.4</v>
      </c>
      <c r="L849" s="7">
        <v>3000</v>
      </c>
      <c r="M849" s="7">
        <v>8580</v>
      </c>
      <c r="N849" s="7">
        <v>0</v>
      </c>
      <c r="O849" s="7">
        <v>0</v>
      </c>
      <c r="P849" s="7">
        <v>7684.6328851466496</v>
      </c>
      <c r="Q849" s="7">
        <v>839.47980752335059</v>
      </c>
      <c r="R849" s="113">
        <f t="shared" si="94"/>
        <v>0.5372144594914634</v>
      </c>
      <c r="S849" s="113">
        <f t="shared" si="95"/>
        <v>0.53846153846153844</v>
      </c>
      <c r="T849" s="113">
        <f t="shared" si="96"/>
        <v>0</v>
      </c>
      <c r="U849" s="113">
        <f t="shared" si="97"/>
        <v>0.358558665984334</v>
      </c>
    </row>
    <row r="850" spans="1:21" x14ac:dyDescent="0.45">
      <c r="A850" s="95">
        <v>45410</v>
      </c>
      <c r="B850" s="96">
        <v>9289.4</v>
      </c>
      <c r="C850" s="7">
        <v>4990.3999999999996</v>
      </c>
      <c r="D850" s="7">
        <f t="shared" si="92"/>
        <v>4299</v>
      </c>
      <c r="E850" s="97">
        <v>2600</v>
      </c>
      <c r="F850" s="7">
        <v>1400</v>
      </c>
      <c r="G850" s="7">
        <f t="shared" si="93"/>
        <v>1200</v>
      </c>
      <c r="H850" s="98">
        <v>400</v>
      </c>
      <c r="I850" s="7"/>
      <c r="J850" s="7">
        <f t="shared" si="99"/>
        <v>400</v>
      </c>
      <c r="K850" s="99">
        <f t="shared" si="98"/>
        <v>12289.4</v>
      </c>
      <c r="L850" s="7">
        <v>3000</v>
      </c>
      <c r="M850" s="7">
        <v>8580</v>
      </c>
      <c r="N850" s="7">
        <v>0</v>
      </c>
      <c r="O850" s="7">
        <v>0</v>
      </c>
      <c r="P850" s="7">
        <v>7684.6328851466496</v>
      </c>
      <c r="Q850" s="7">
        <v>839.47980752335059</v>
      </c>
      <c r="R850" s="113">
        <f t="shared" si="94"/>
        <v>0.5372144594914634</v>
      </c>
      <c r="S850" s="113">
        <f t="shared" si="95"/>
        <v>0.53846153846153844</v>
      </c>
      <c r="T850" s="113">
        <f t="shared" si="96"/>
        <v>0</v>
      </c>
      <c r="U850" s="113">
        <f t="shared" si="97"/>
        <v>0.358558665984334</v>
      </c>
    </row>
    <row r="851" spans="1:21" x14ac:dyDescent="0.45">
      <c r="A851" s="95">
        <v>45411</v>
      </c>
      <c r="B851" s="96">
        <v>9289.4</v>
      </c>
      <c r="C851" s="7">
        <v>4990.3999999999996</v>
      </c>
      <c r="D851" s="7">
        <f t="shared" si="92"/>
        <v>4299</v>
      </c>
      <c r="E851" s="97">
        <v>2600</v>
      </c>
      <c r="F851" s="7">
        <v>1400</v>
      </c>
      <c r="G851" s="7">
        <f t="shared" si="93"/>
        <v>1200</v>
      </c>
      <c r="H851" s="98">
        <v>400</v>
      </c>
      <c r="I851" s="7"/>
      <c r="J851" s="7">
        <f t="shared" si="99"/>
        <v>400</v>
      </c>
      <c r="K851" s="99">
        <f t="shared" si="98"/>
        <v>12289.4</v>
      </c>
      <c r="L851" s="7">
        <v>3000</v>
      </c>
      <c r="M851" s="7">
        <v>8580</v>
      </c>
      <c r="N851" s="7">
        <v>0</v>
      </c>
      <c r="O851" s="7">
        <v>0</v>
      </c>
      <c r="P851" s="7">
        <v>7684.6328851466496</v>
      </c>
      <c r="Q851" s="7">
        <v>1610.7298326033506</v>
      </c>
      <c r="R851" s="113">
        <f t="shared" si="94"/>
        <v>0.5372144594914634</v>
      </c>
      <c r="S851" s="113">
        <f t="shared" si="95"/>
        <v>0.53846153846153844</v>
      </c>
      <c r="T851" s="113">
        <f t="shared" si="96"/>
        <v>0</v>
      </c>
      <c r="U851" s="113">
        <f t="shared" si="97"/>
        <v>0.358558665984334</v>
      </c>
    </row>
    <row r="852" spans="1:21" x14ac:dyDescent="0.45">
      <c r="A852" s="95">
        <v>45412</v>
      </c>
      <c r="B852" s="96">
        <v>9289.4</v>
      </c>
      <c r="C852" s="7">
        <v>4990.3999999999996</v>
      </c>
      <c r="D852" s="7">
        <f t="shared" si="92"/>
        <v>4299</v>
      </c>
      <c r="E852" s="97">
        <v>2600</v>
      </c>
      <c r="F852" s="7">
        <v>1400</v>
      </c>
      <c r="G852" s="7">
        <f t="shared" si="93"/>
        <v>1200</v>
      </c>
      <c r="H852" s="98">
        <v>400</v>
      </c>
      <c r="I852" s="7"/>
      <c r="J852" s="7">
        <f t="shared" si="99"/>
        <v>400</v>
      </c>
      <c r="K852" s="99">
        <f t="shared" si="98"/>
        <v>12289.4</v>
      </c>
      <c r="L852" s="7">
        <v>3000</v>
      </c>
      <c r="M852" s="7">
        <v>8580</v>
      </c>
      <c r="N852" s="7">
        <v>0</v>
      </c>
      <c r="O852" s="7">
        <v>0</v>
      </c>
      <c r="P852" s="7">
        <v>7684.6328851466496</v>
      </c>
      <c r="Q852" s="7">
        <v>2003.2018571033502</v>
      </c>
      <c r="R852" s="113">
        <f t="shared" si="94"/>
        <v>0.5372144594914634</v>
      </c>
      <c r="S852" s="113">
        <f t="shared" si="95"/>
        <v>0.53846153846153844</v>
      </c>
      <c r="T852" s="113">
        <f t="shared" si="96"/>
        <v>0</v>
      </c>
      <c r="U852" s="113">
        <f t="shared" si="97"/>
        <v>0.358558665984334</v>
      </c>
    </row>
    <row r="853" spans="1:21" x14ac:dyDescent="0.45">
      <c r="A853" s="95">
        <v>45413</v>
      </c>
      <c r="B853" s="96">
        <v>9289.4</v>
      </c>
      <c r="C853" s="7">
        <v>4990.3999999999996</v>
      </c>
      <c r="D853" s="7">
        <f t="shared" si="92"/>
        <v>4299</v>
      </c>
      <c r="E853" s="97">
        <v>2600</v>
      </c>
      <c r="F853" s="7">
        <v>1400</v>
      </c>
      <c r="G853" s="7">
        <f t="shared" si="93"/>
        <v>1200</v>
      </c>
      <c r="H853" s="98">
        <v>400</v>
      </c>
      <c r="I853" s="7"/>
      <c r="J853" s="7">
        <f t="shared" si="99"/>
        <v>400</v>
      </c>
      <c r="K853" s="99">
        <f t="shared" si="98"/>
        <v>12289.4</v>
      </c>
      <c r="L853" s="7">
        <v>3000</v>
      </c>
      <c r="M853" s="7">
        <v>8580</v>
      </c>
      <c r="N853" s="7">
        <v>0</v>
      </c>
      <c r="O853" s="7">
        <v>0</v>
      </c>
      <c r="P853" s="7">
        <v>7684.6328851466496</v>
      </c>
      <c r="Q853" s="7">
        <v>2003.2018571033502</v>
      </c>
      <c r="R853" s="113">
        <f t="shared" si="94"/>
        <v>0.5372144594914634</v>
      </c>
      <c r="S853" s="113">
        <f t="shared" si="95"/>
        <v>0.53846153846153844</v>
      </c>
      <c r="T853" s="113">
        <f t="shared" si="96"/>
        <v>0</v>
      </c>
      <c r="U853" s="113">
        <f t="shared" si="97"/>
        <v>0.358558665984334</v>
      </c>
    </row>
    <row r="854" spans="1:21" x14ac:dyDescent="0.45">
      <c r="A854" s="95">
        <v>45414</v>
      </c>
      <c r="B854" s="96">
        <v>9219</v>
      </c>
      <c r="C854" s="7">
        <v>4820</v>
      </c>
      <c r="D854" s="7">
        <f t="shared" si="92"/>
        <v>4399</v>
      </c>
      <c r="E854" s="97">
        <v>2600</v>
      </c>
      <c r="F854" s="7">
        <v>1400</v>
      </c>
      <c r="G854" s="7">
        <f t="shared" si="93"/>
        <v>1200</v>
      </c>
      <c r="H854" s="98">
        <v>400</v>
      </c>
      <c r="I854" s="7"/>
      <c r="J854" s="7">
        <f t="shared" si="99"/>
        <v>400</v>
      </c>
      <c r="K854" s="99">
        <f t="shared" si="98"/>
        <v>12219</v>
      </c>
      <c r="L854" s="7">
        <v>3360</v>
      </c>
      <c r="M854" s="7">
        <v>7180</v>
      </c>
      <c r="N854" s="7">
        <v>0</v>
      </c>
      <c r="O854" s="7">
        <v>0</v>
      </c>
      <c r="P854" s="7">
        <v>7684.6328851466496</v>
      </c>
      <c r="Q854" s="7">
        <v>2395.0624505233491</v>
      </c>
      <c r="R854" s="113">
        <f t="shared" si="94"/>
        <v>0.52283327909751598</v>
      </c>
      <c r="S854" s="113">
        <f t="shared" si="95"/>
        <v>0.53846153846153844</v>
      </c>
      <c r="T854" s="113">
        <f t="shared" si="96"/>
        <v>0</v>
      </c>
      <c r="U854" s="113">
        <f t="shared" si="97"/>
        <v>0.35376493918635149</v>
      </c>
    </row>
    <row r="855" spans="1:21" x14ac:dyDescent="0.45">
      <c r="A855" s="95">
        <v>45415</v>
      </c>
      <c r="B855" s="96">
        <v>9219</v>
      </c>
      <c r="C855" s="7">
        <v>4820</v>
      </c>
      <c r="D855" s="7">
        <f t="shared" si="92"/>
        <v>4399</v>
      </c>
      <c r="E855" s="97">
        <v>2600</v>
      </c>
      <c r="F855" s="7">
        <v>1400</v>
      </c>
      <c r="G855" s="7">
        <f t="shared" si="93"/>
        <v>1200</v>
      </c>
      <c r="H855" s="98">
        <v>400</v>
      </c>
      <c r="I855" s="7"/>
      <c r="J855" s="7">
        <f t="shared" si="99"/>
        <v>400</v>
      </c>
      <c r="K855" s="99">
        <f t="shared" si="98"/>
        <v>12219</v>
      </c>
      <c r="L855" s="7">
        <v>1060</v>
      </c>
      <c r="M855" s="7">
        <v>7180</v>
      </c>
      <c r="N855" s="7">
        <v>0</v>
      </c>
      <c r="O855" s="7">
        <v>0</v>
      </c>
      <c r="P855" s="7">
        <v>7684.6328851466496</v>
      </c>
      <c r="Q855" s="7">
        <v>1158.3586161833505</v>
      </c>
      <c r="R855" s="113">
        <f t="shared" si="94"/>
        <v>0.52283327909751598</v>
      </c>
      <c r="S855" s="113">
        <f t="shared" si="95"/>
        <v>0.53846153846153844</v>
      </c>
      <c r="T855" s="113">
        <f t="shared" si="96"/>
        <v>0</v>
      </c>
      <c r="U855" s="113">
        <f t="shared" si="97"/>
        <v>0.35376493918635149</v>
      </c>
    </row>
    <row r="856" spans="1:21" x14ac:dyDescent="0.45">
      <c r="A856" s="95">
        <v>45416</v>
      </c>
      <c r="B856" s="96">
        <v>9219</v>
      </c>
      <c r="C856" s="7">
        <v>4820</v>
      </c>
      <c r="D856" s="7">
        <f t="shared" si="92"/>
        <v>4399</v>
      </c>
      <c r="E856" s="97">
        <v>2600</v>
      </c>
      <c r="F856" s="7">
        <v>1400</v>
      </c>
      <c r="G856" s="7">
        <f t="shared" si="93"/>
        <v>1200</v>
      </c>
      <c r="H856" s="98">
        <v>400</v>
      </c>
      <c r="I856" s="7"/>
      <c r="J856" s="7">
        <f t="shared" si="99"/>
        <v>400</v>
      </c>
      <c r="K856" s="99">
        <f t="shared" si="98"/>
        <v>12219</v>
      </c>
      <c r="L856" s="7">
        <v>1060</v>
      </c>
      <c r="M856" s="7">
        <v>7180</v>
      </c>
      <c r="N856" s="7">
        <v>0</v>
      </c>
      <c r="O856" s="7">
        <v>0</v>
      </c>
      <c r="P856" s="7">
        <v>7684.6328851466496</v>
      </c>
      <c r="Q856" s="7">
        <v>1158.3586161833505</v>
      </c>
      <c r="R856" s="113">
        <f t="shared" si="94"/>
        <v>0.52283327909751598</v>
      </c>
      <c r="S856" s="113">
        <f t="shared" si="95"/>
        <v>0.53846153846153844</v>
      </c>
      <c r="T856" s="113">
        <f t="shared" si="96"/>
        <v>0</v>
      </c>
      <c r="U856" s="113">
        <f t="shared" si="97"/>
        <v>0.35376493918635149</v>
      </c>
    </row>
    <row r="857" spans="1:21" x14ac:dyDescent="0.45">
      <c r="A857" s="95">
        <v>45417</v>
      </c>
      <c r="B857" s="96">
        <v>9219</v>
      </c>
      <c r="C857" s="7">
        <v>4820</v>
      </c>
      <c r="D857" s="7">
        <f t="shared" si="92"/>
        <v>4399</v>
      </c>
      <c r="E857" s="97">
        <v>2600</v>
      </c>
      <c r="F857" s="7">
        <v>1400</v>
      </c>
      <c r="G857" s="7">
        <f t="shared" si="93"/>
        <v>1200</v>
      </c>
      <c r="H857" s="98">
        <v>400</v>
      </c>
      <c r="I857" s="7"/>
      <c r="J857" s="7">
        <f t="shared" si="99"/>
        <v>400</v>
      </c>
      <c r="K857" s="99">
        <f t="shared" si="98"/>
        <v>12219</v>
      </c>
      <c r="L857" s="7">
        <v>1060</v>
      </c>
      <c r="M857" s="7">
        <v>7180</v>
      </c>
      <c r="N857" s="7">
        <v>0</v>
      </c>
      <c r="O857" s="7">
        <v>0</v>
      </c>
      <c r="P857" s="7">
        <v>7684.6328851466496</v>
      </c>
      <c r="Q857" s="7">
        <v>1158.3586161833505</v>
      </c>
      <c r="R857" s="113">
        <f t="shared" si="94"/>
        <v>0.52283327909751598</v>
      </c>
      <c r="S857" s="113">
        <f t="shared" si="95"/>
        <v>0.53846153846153844</v>
      </c>
      <c r="T857" s="113">
        <f t="shared" si="96"/>
        <v>0</v>
      </c>
      <c r="U857" s="113">
        <f t="shared" si="97"/>
        <v>0.35376493918635149</v>
      </c>
    </row>
    <row r="858" spans="1:21" x14ac:dyDescent="0.45">
      <c r="A858" s="95">
        <v>45418</v>
      </c>
      <c r="B858" s="96">
        <v>9219</v>
      </c>
      <c r="C858" s="7">
        <v>4820</v>
      </c>
      <c r="D858" s="7">
        <f t="shared" si="92"/>
        <v>4399</v>
      </c>
      <c r="E858" s="97">
        <v>2600</v>
      </c>
      <c r="F858" s="7">
        <v>1400</v>
      </c>
      <c r="G858" s="7">
        <f t="shared" si="93"/>
        <v>1200</v>
      </c>
      <c r="H858" s="98">
        <v>400</v>
      </c>
      <c r="I858" s="7"/>
      <c r="J858" s="7">
        <f t="shared" si="99"/>
        <v>400</v>
      </c>
      <c r="K858" s="99">
        <f t="shared" si="98"/>
        <v>12219</v>
      </c>
      <c r="L858" s="7">
        <v>1605</v>
      </c>
      <c r="M858" s="7">
        <v>7180</v>
      </c>
      <c r="N858" s="7">
        <v>0</v>
      </c>
      <c r="O858" s="7">
        <v>0</v>
      </c>
      <c r="P858" s="7">
        <v>7684.6328851466496</v>
      </c>
      <c r="Q858" s="7">
        <v>1672.9836453133503</v>
      </c>
      <c r="R858" s="113">
        <f t="shared" si="94"/>
        <v>0.52283327909751598</v>
      </c>
      <c r="S858" s="113">
        <f t="shared" si="95"/>
        <v>0.53846153846153844</v>
      </c>
      <c r="T858" s="113">
        <f t="shared" si="96"/>
        <v>0</v>
      </c>
      <c r="U858" s="113">
        <f t="shared" si="97"/>
        <v>0.35376493918635149</v>
      </c>
    </row>
    <row r="859" spans="1:21" x14ac:dyDescent="0.45">
      <c r="A859" s="95">
        <v>45419</v>
      </c>
      <c r="B859" s="96">
        <v>9219</v>
      </c>
      <c r="C859" s="7">
        <v>4820</v>
      </c>
      <c r="D859" s="7">
        <f t="shared" si="92"/>
        <v>4399</v>
      </c>
      <c r="E859" s="97">
        <v>2600</v>
      </c>
      <c r="F859" s="7">
        <v>1400</v>
      </c>
      <c r="G859" s="7">
        <f t="shared" si="93"/>
        <v>1200</v>
      </c>
      <c r="H859" s="98">
        <v>400</v>
      </c>
      <c r="I859" s="7"/>
      <c r="J859" s="7">
        <f t="shared" si="99"/>
        <v>400</v>
      </c>
      <c r="K859" s="99">
        <f t="shared" si="98"/>
        <v>12219</v>
      </c>
      <c r="L859" s="7">
        <v>2060</v>
      </c>
      <c r="M859" s="7">
        <v>7180</v>
      </c>
      <c r="N859" s="7">
        <v>0</v>
      </c>
      <c r="O859" s="7">
        <v>0</v>
      </c>
      <c r="P859" s="7">
        <v>7684.6328851466496</v>
      </c>
      <c r="Q859" s="7">
        <v>1908.2637470433501</v>
      </c>
      <c r="R859" s="113">
        <f t="shared" si="94"/>
        <v>0.52283327909751598</v>
      </c>
      <c r="S859" s="113">
        <f t="shared" si="95"/>
        <v>0.53846153846153844</v>
      </c>
      <c r="T859" s="113">
        <f t="shared" si="96"/>
        <v>0</v>
      </c>
      <c r="U859" s="113">
        <f t="shared" si="97"/>
        <v>0.35376493918635149</v>
      </c>
    </row>
    <row r="860" spans="1:21" x14ac:dyDescent="0.45">
      <c r="A860" s="95">
        <v>45420</v>
      </c>
      <c r="B860" s="96">
        <v>9219</v>
      </c>
      <c r="C860" s="7">
        <v>4820</v>
      </c>
      <c r="D860" s="7">
        <f t="shared" si="92"/>
        <v>4399</v>
      </c>
      <c r="E860" s="97">
        <v>2600</v>
      </c>
      <c r="F860" s="7">
        <v>1400</v>
      </c>
      <c r="G860" s="7">
        <f t="shared" si="93"/>
        <v>1200</v>
      </c>
      <c r="H860" s="98">
        <v>400</v>
      </c>
      <c r="I860" s="7"/>
      <c r="J860" s="7">
        <f t="shared" si="99"/>
        <v>400</v>
      </c>
      <c r="K860" s="99">
        <f t="shared" si="98"/>
        <v>12219</v>
      </c>
      <c r="L860" s="7">
        <v>1980</v>
      </c>
      <c r="M860" s="7">
        <v>7180</v>
      </c>
      <c r="N860" s="7">
        <v>0</v>
      </c>
      <c r="O860" s="7">
        <v>0</v>
      </c>
      <c r="P860" s="7">
        <v>7684.6328851466496</v>
      </c>
      <c r="Q860" s="7">
        <v>1838.5740946333508</v>
      </c>
      <c r="R860" s="113">
        <f t="shared" si="94"/>
        <v>0.52283327909751598</v>
      </c>
      <c r="S860" s="113">
        <f t="shared" si="95"/>
        <v>0.53846153846153844</v>
      </c>
      <c r="T860" s="113">
        <f t="shared" si="96"/>
        <v>0</v>
      </c>
      <c r="U860" s="113">
        <f t="shared" si="97"/>
        <v>0.35376493918635149</v>
      </c>
    </row>
    <row r="861" spans="1:21" x14ac:dyDescent="0.45">
      <c r="A861" s="95">
        <v>45421</v>
      </c>
      <c r="B861" s="96">
        <v>9429</v>
      </c>
      <c r="C861" s="7">
        <v>5030</v>
      </c>
      <c r="D861" s="7">
        <f t="shared" si="92"/>
        <v>4399</v>
      </c>
      <c r="E861" s="97">
        <v>2600</v>
      </c>
      <c r="F861" s="7">
        <v>1400</v>
      </c>
      <c r="G861" s="7">
        <f t="shared" si="93"/>
        <v>1200</v>
      </c>
      <c r="H861" s="98">
        <v>400</v>
      </c>
      <c r="I861" s="7"/>
      <c r="J861" s="7">
        <f t="shared" si="99"/>
        <v>400</v>
      </c>
      <c r="K861" s="99">
        <f t="shared" si="98"/>
        <v>12429</v>
      </c>
      <c r="L861" s="7">
        <v>3150</v>
      </c>
      <c r="M861" s="7">
        <v>7680</v>
      </c>
      <c r="N861" s="7">
        <v>0</v>
      </c>
      <c r="O861" s="7">
        <v>0</v>
      </c>
      <c r="P861" s="7">
        <v>7684.6328851466496</v>
      </c>
      <c r="Q861" s="7">
        <v>2692.34271404335</v>
      </c>
      <c r="R861" s="113">
        <f t="shared" si="94"/>
        <v>0.53346060027574504</v>
      </c>
      <c r="S861" s="113">
        <f t="shared" si="95"/>
        <v>0.53846153846153844</v>
      </c>
      <c r="T861" s="113">
        <f t="shared" si="96"/>
        <v>0</v>
      </c>
      <c r="U861" s="113">
        <f t="shared" si="97"/>
        <v>0.35730737957909448</v>
      </c>
    </row>
    <row r="862" spans="1:21" x14ac:dyDescent="0.45">
      <c r="A862" s="95">
        <v>45422</v>
      </c>
      <c r="B862" s="96">
        <v>9429</v>
      </c>
      <c r="C862" s="7">
        <v>5030</v>
      </c>
      <c r="D862" s="7">
        <f t="shared" si="92"/>
        <v>4399</v>
      </c>
      <c r="E862" s="97">
        <v>2600</v>
      </c>
      <c r="F862" s="7">
        <v>1400</v>
      </c>
      <c r="G862" s="7">
        <f t="shared" si="93"/>
        <v>1200</v>
      </c>
      <c r="H862" s="98">
        <v>400</v>
      </c>
      <c r="I862" s="7"/>
      <c r="J862" s="7">
        <f t="shared" si="99"/>
        <v>400</v>
      </c>
      <c r="K862" s="99">
        <f t="shared" si="98"/>
        <v>12429</v>
      </c>
      <c r="L862" s="7">
        <v>3150</v>
      </c>
      <c r="M862" s="7">
        <v>7680</v>
      </c>
      <c r="N862" s="7">
        <v>0</v>
      </c>
      <c r="O862" s="7">
        <v>0</v>
      </c>
      <c r="P862" s="7">
        <v>7684.6328851466496</v>
      </c>
      <c r="Q862" s="7">
        <v>1483.0197852333504</v>
      </c>
      <c r="R862" s="113">
        <f t="shared" si="94"/>
        <v>0.53346060027574504</v>
      </c>
      <c r="S862" s="113">
        <f t="shared" si="95"/>
        <v>0.53846153846153844</v>
      </c>
      <c r="T862" s="113">
        <f t="shared" si="96"/>
        <v>0</v>
      </c>
      <c r="U862" s="113">
        <f t="shared" si="97"/>
        <v>0.35730737957909448</v>
      </c>
    </row>
    <row r="863" spans="1:21" x14ac:dyDescent="0.45">
      <c r="A863" s="95">
        <v>45423</v>
      </c>
      <c r="B863" s="96">
        <v>9429</v>
      </c>
      <c r="C863" s="7">
        <v>5030</v>
      </c>
      <c r="D863" s="7">
        <f t="shared" si="92"/>
        <v>4399</v>
      </c>
      <c r="E863" s="97">
        <v>2600</v>
      </c>
      <c r="F863" s="7">
        <v>1400</v>
      </c>
      <c r="G863" s="7">
        <f t="shared" si="93"/>
        <v>1200</v>
      </c>
      <c r="H863" s="98">
        <v>400</v>
      </c>
      <c r="I863" s="7"/>
      <c r="J863" s="7">
        <f t="shared" si="99"/>
        <v>400</v>
      </c>
      <c r="K863" s="99">
        <f t="shared" si="98"/>
        <v>12429</v>
      </c>
      <c r="L863" s="7">
        <v>1760</v>
      </c>
      <c r="M863" s="7">
        <v>4680</v>
      </c>
      <c r="N863" s="7">
        <v>0</v>
      </c>
      <c r="O863" s="7">
        <v>0</v>
      </c>
      <c r="P863" s="7">
        <v>7684.6328851466496</v>
      </c>
      <c r="Q863" s="7">
        <v>1483.0197852333504</v>
      </c>
      <c r="R863" s="113">
        <f t="shared" si="94"/>
        <v>0.53346060027574504</v>
      </c>
      <c r="S863" s="113">
        <f t="shared" si="95"/>
        <v>0.53846153846153844</v>
      </c>
      <c r="T863" s="113">
        <f t="shared" si="96"/>
        <v>0</v>
      </c>
      <c r="U863" s="113">
        <f t="shared" si="97"/>
        <v>0.35730737957909448</v>
      </c>
    </row>
    <row r="864" spans="1:21" x14ac:dyDescent="0.45">
      <c r="A864" s="95">
        <v>45424</v>
      </c>
      <c r="B864" s="96">
        <v>9429</v>
      </c>
      <c r="C864" s="7">
        <v>5030</v>
      </c>
      <c r="D864" s="7">
        <f t="shared" si="92"/>
        <v>4399</v>
      </c>
      <c r="E864" s="97">
        <v>2600</v>
      </c>
      <c r="F864" s="7">
        <v>1400</v>
      </c>
      <c r="G864" s="7">
        <f t="shared" si="93"/>
        <v>1200</v>
      </c>
      <c r="H864" s="98">
        <v>400</v>
      </c>
      <c r="I864" s="7"/>
      <c r="J864" s="7">
        <f t="shared" si="99"/>
        <v>400</v>
      </c>
      <c r="K864" s="99">
        <f t="shared" si="98"/>
        <v>12429</v>
      </c>
      <c r="L864" s="7">
        <v>1760</v>
      </c>
      <c r="M864" s="7">
        <v>4680</v>
      </c>
      <c r="N864" s="7">
        <v>0</v>
      </c>
      <c r="O864" s="7">
        <v>0</v>
      </c>
      <c r="P864" s="7">
        <v>7684.6328851466496</v>
      </c>
      <c r="Q864" s="7">
        <v>1483.0197852333504</v>
      </c>
      <c r="R864" s="113">
        <f t="shared" si="94"/>
        <v>0.53346060027574504</v>
      </c>
      <c r="S864" s="113">
        <f t="shared" si="95"/>
        <v>0.53846153846153844</v>
      </c>
      <c r="T864" s="113">
        <f t="shared" si="96"/>
        <v>0</v>
      </c>
      <c r="U864" s="113">
        <f t="shared" si="97"/>
        <v>0.35730737957909448</v>
      </c>
    </row>
    <row r="865" spans="1:21" x14ac:dyDescent="0.45">
      <c r="A865" s="95">
        <v>45425</v>
      </c>
      <c r="B865" s="96">
        <v>9429</v>
      </c>
      <c r="C865" s="7">
        <v>5030</v>
      </c>
      <c r="D865" s="7">
        <f t="shared" si="92"/>
        <v>4399</v>
      </c>
      <c r="E865" s="97">
        <v>2600</v>
      </c>
      <c r="F865" s="7">
        <v>1400</v>
      </c>
      <c r="G865" s="7">
        <f t="shared" si="93"/>
        <v>1200</v>
      </c>
      <c r="H865" s="98">
        <v>400</v>
      </c>
      <c r="I865" s="7"/>
      <c r="J865" s="7">
        <f t="shared" si="99"/>
        <v>400</v>
      </c>
      <c r="K865" s="99">
        <f t="shared" si="98"/>
        <v>12429</v>
      </c>
      <c r="L865" s="7">
        <v>3190</v>
      </c>
      <c r="M865" s="7">
        <v>4680</v>
      </c>
      <c r="N865" s="7">
        <v>0</v>
      </c>
      <c r="O865" s="7">
        <v>0</v>
      </c>
      <c r="P865" s="7">
        <v>7878.5099999999993</v>
      </c>
      <c r="Q865" s="7">
        <v>1449.4689062600003</v>
      </c>
      <c r="R865" s="113">
        <f t="shared" si="94"/>
        <v>0.53346060027574504</v>
      </c>
      <c r="S865" s="113">
        <f t="shared" si="95"/>
        <v>0.53846153846153844</v>
      </c>
      <c r="T865" s="113">
        <f t="shared" si="96"/>
        <v>0</v>
      </c>
      <c r="U865" s="113">
        <f t="shared" si="97"/>
        <v>0.35730737957909448</v>
      </c>
    </row>
    <row r="866" spans="1:21" x14ac:dyDescent="0.45">
      <c r="A866" s="95">
        <v>45426</v>
      </c>
      <c r="B866" s="96">
        <v>9429</v>
      </c>
      <c r="C866" s="7">
        <v>5030</v>
      </c>
      <c r="D866" s="7">
        <f t="shared" si="92"/>
        <v>4399</v>
      </c>
      <c r="E866" s="97">
        <v>2600</v>
      </c>
      <c r="F866" s="7">
        <v>1400</v>
      </c>
      <c r="G866" s="7">
        <f t="shared" si="93"/>
        <v>1200</v>
      </c>
      <c r="H866" s="98">
        <v>400</v>
      </c>
      <c r="I866" s="7"/>
      <c r="J866" s="7">
        <f t="shared" si="99"/>
        <v>400</v>
      </c>
      <c r="K866" s="99">
        <f t="shared" si="98"/>
        <v>12429</v>
      </c>
      <c r="L866" s="7">
        <v>2880</v>
      </c>
      <c r="M866" s="7">
        <v>4680</v>
      </c>
      <c r="N866" s="7">
        <v>0</v>
      </c>
      <c r="O866" s="7">
        <v>0</v>
      </c>
      <c r="P866" s="7">
        <v>7878.5099999999993</v>
      </c>
      <c r="Q866" s="7">
        <v>2803.42</v>
      </c>
      <c r="R866" s="113">
        <f t="shared" si="94"/>
        <v>0.53346060027574504</v>
      </c>
      <c r="S866" s="113">
        <f t="shared" si="95"/>
        <v>0.53846153846153844</v>
      </c>
      <c r="T866" s="113">
        <f t="shared" si="96"/>
        <v>0</v>
      </c>
      <c r="U866" s="113">
        <f t="shared" si="97"/>
        <v>0.35730737957909448</v>
      </c>
    </row>
    <row r="867" spans="1:21" x14ac:dyDescent="0.45">
      <c r="A867" s="95">
        <v>45427</v>
      </c>
      <c r="B867" s="96">
        <v>9429</v>
      </c>
      <c r="C867" s="7">
        <v>5030</v>
      </c>
      <c r="D867" s="7">
        <f t="shared" si="92"/>
        <v>4399</v>
      </c>
      <c r="E867" s="97">
        <v>2600</v>
      </c>
      <c r="F867" s="7">
        <v>1400</v>
      </c>
      <c r="G867" s="7">
        <f t="shared" si="93"/>
        <v>1200</v>
      </c>
      <c r="H867" s="98">
        <v>400</v>
      </c>
      <c r="I867" s="7"/>
      <c r="J867" s="7">
        <f t="shared" si="99"/>
        <v>400</v>
      </c>
      <c r="K867" s="99">
        <f t="shared" si="98"/>
        <v>12429</v>
      </c>
      <c r="L867" s="7">
        <v>1810</v>
      </c>
      <c r="M867" s="7">
        <v>4680</v>
      </c>
      <c r="N867" s="7">
        <v>0</v>
      </c>
      <c r="O867" s="7">
        <v>0</v>
      </c>
      <c r="P867" s="7">
        <v>7878.5099999999993</v>
      </c>
      <c r="Q867" s="7">
        <v>1021.9500000000002</v>
      </c>
      <c r="R867" s="113">
        <f t="shared" si="94"/>
        <v>0.53346060027574504</v>
      </c>
      <c r="S867" s="113">
        <f t="shared" si="95"/>
        <v>0.53846153846153844</v>
      </c>
      <c r="T867" s="113">
        <f t="shared" si="96"/>
        <v>0</v>
      </c>
      <c r="U867" s="113">
        <f t="shared" si="97"/>
        <v>0.35730737957909448</v>
      </c>
    </row>
    <row r="868" spans="1:21" x14ac:dyDescent="0.45">
      <c r="A868" s="95">
        <v>45428</v>
      </c>
      <c r="B868" s="96">
        <v>9329</v>
      </c>
      <c r="C868" s="7">
        <v>5230</v>
      </c>
      <c r="D868" s="7">
        <f t="shared" si="92"/>
        <v>4099</v>
      </c>
      <c r="E868" s="97">
        <v>2600</v>
      </c>
      <c r="F868" s="7">
        <v>1400</v>
      </c>
      <c r="G868" s="7">
        <f t="shared" si="93"/>
        <v>1200</v>
      </c>
      <c r="H868" s="98">
        <v>400</v>
      </c>
      <c r="I868" s="7"/>
      <c r="J868" s="7">
        <f t="shared" si="99"/>
        <v>400</v>
      </c>
      <c r="K868" s="99">
        <f t="shared" si="98"/>
        <v>12329</v>
      </c>
      <c r="L868" s="7">
        <v>2300</v>
      </c>
      <c r="M868" s="7">
        <v>7980</v>
      </c>
      <c r="N868" s="7">
        <v>0</v>
      </c>
      <c r="O868" s="7">
        <v>0</v>
      </c>
      <c r="P868" s="7">
        <v>7878.5099999999993</v>
      </c>
      <c r="Q868" s="7">
        <v>1231.9799999999998</v>
      </c>
      <c r="R868" s="113">
        <f t="shared" si="94"/>
        <v>0.56061742952084892</v>
      </c>
      <c r="S868" s="113">
        <f t="shared" si="95"/>
        <v>0.53846153846153844</v>
      </c>
      <c r="T868" s="113">
        <f t="shared" si="96"/>
        <v>0</v>
      </c>
      <c r="U868" s="113">
        <f t="shared" si="97"/>
        <v>0.36635965599412912</v>
      </c>
    </row>
    <row r="869" spans="1:21" x14ac:dyDescent="0.45">
      <c r="A869" s="95">
        <v>45429</v>
      </c>
      <c r="B869" s="96">
        <v>9329</v>
      </c>
      <c r="C869" s="7">
        <v>5230</v>
      </c>
      <c r="D869" s="7">
        <f t="shared" si="92"/>
        <v>4099</v>
      </c>
      <c r="E869" s="97">
        <v>2600</v>
      </c>
      <c r="F869" s="7">
        <v>1400</v>
      </c>
      <c r="G869" s="7">
        <f t="shared" si="93"/>
        <v>1200</v>
      </c>
      <c r="H869" s="98">
        <v>400</v>
      </c>
      <c r="I869" s="7"/>
      <c r="J869" s="7">
        <f t="shared" si="99"/>
        <v>400</v>
      </c>
      <c r="K869" s="99">
        <f t="shared" si="98"/>
        <v>12329</v>
      </c>
      <c r="L869" s="7">
        <v>4450</v>
      </c>
      <c r="M869" s="7">
        <v>7980</v>
      </c>
      <c r="N869" s="7">
        <v>0</v>
      </c>
      <c r="O869" s="7">
        <v>0</v>
      </c>
      <c r="P869" s="7">
        <v>7878.5099999999993</v>
      </c>
      <c r="Q869" s="7">
        <v>2554.11</v>
      </c>
      <c r="R869" s="113">
        <f t="shared" si="94"/>
        <v>0.56061742952084892</v>
      </c>
      <c r="S869" s="113">
        <f t="shared" si="95"/>
        <v>0.53846153846153844</v>
      </c>
      <c r="T869" s="113">
        <f t="shared" si="96"/>
        <v>0</v>
      </c>
      <c r="U869" s="113">
        <f t="shared" si="97"/>
        <v>0.36635965599412912</v>
      </c>
    </row>
    <row r="870" spans="1:21" x14ac:dyDescent="0.45">
      <c r="A870" s="95">
        <v>45430</v>
      </c>
      <c r="B870" s="96">
        <v>9329</v>
      </c>
      <c r="C870" s="7">
        <v>5230</v>
      </c>
      <c r="D870" s="7">
        <f t="shared" si="92"/>
        <v>4099</v>
      </c>
      <c r="E870" s="97">
        <v>2600</v>
      </c>
      <c r="F870" s="7">
        <v>1400</v>
      </c>
      <c r="G870" s="7">
        <f t="shared" si="93"/>
        <v>1200</v>
      </c>
      <c r="H870" s="98">
        <v>400</v>
      </c>
      <c r="I870" s="7"/>
      <c r="J870" s="7">
        <f t="shared" si="99"/>
        <v>400</v>
      </c>
      <c r="K870" s="99">
        <f t="shared" si="98"/>
        <v>12329</v>
      </c>
      <c r="L870" s="7">
        <v>4450</v>
      </c>
      <c r="M870" s="7">
        <v>7980</v>
      </c>
      <c r="N870" s="7">
        <v>0</v>
      </c>
      <c r="O870" s="7">
        <v>0</v>
      </c>
      <c r="P870" s="7">
        <v>7878.5099999999993</v>
      </c>
      <c r="Q870" s="7">
        <v>2554.11</v>
      </c>
      <c r="R870" s="113">
        <f t="shared" si="94"/>
        <v>0.56061742952084892</v>
      </c>
      <c r="S870" s="113">
        <f t="shared" si="95"/>
        <v>0.53846153846153844</v>
      </c>
      <c r="T870" s="113">
        <f t="shared" si="96"/>
        <v>0</v>
      </c>
      <c r="U870" s="113">
        <f t="shared" si="97"/>
        <v>0.36635965599412912</v>
      </c>
    </row>
    <row r="871" spans="1:21" x14ac:dyDescent="0.45">
      <c r="A871" s="95">
        <v>45431</v>
      </c>
      <c r="B871" s="96">
        <v>9329</v>
      </c>
      <c r="C871" s="7">
        <v>5230</v>
      </c>
      <c r="D871" s="7">
        <f t="shared" si="92"/>
        <v>4099</v>
      </c>
      <c r="E871" s="97">
        <v>2600</v>
      </c>
      <c r="F871" s="7">
        <v>1400</v>
      </c>
      <c r="G871" s="7">
        <f t="shared" si="93"/>
        <v>1200</v>
      </c>
      <c r="H871" s="98">
        <v>400</v>
      </c>
      <c r="I871" s="7"/>
      <c r="J871" s="7">
        <f t="shared" si="99"/>
        <v>400</v>
      </c>
      <c r="K871" s="99">
        <f t="shared" si="98"/>
        <v>12329</v>
      </c>
      <c r="L871" s="7">
        <v>4450</v>
      </c>
      <c r="M871" s="7">
        <v>7980</v>
      </c>
      <c r="N871" s="7">
        <v>0</v>
      </c>
      <c r="O871" s="7">
        <v>0</v>
      </c>
      <c r="P871" s="7">
        <v>7878.5099999999993</v>
      </c>
      <c r="Q871" s="7">
        <v>2554.11</v>
      </c>
      <c r="R871" s="113">
        <f t="shared" si="94"/>
        <v>0.56061742952084892</v>
      </c>
      <c r="S871" s="113">
        <f t="shared" si="95"/>
        <v>0.53846153846153844</v>
      </c>
      <c r="T871" s="113">
        <f t="shared" si="96"/>
        <v>0</v>
      </c>
      <c r="U871" s="113">
        <f t="shared" si="97"/>
        <v>0.36635965599412912</v>
      </c>
    </row>
    <row r="872" spans="1:21" x14ac:dyDescent="0.45">
      <c r="A872" s="95">
        <v>45432</v>
      </c>
      <c r="B872" s="96">
        <v>9329</v>
      </c>
      <c r="C872" s="7">
        <v>5230</v>
      </c>
      <c r="D872" s="7">
        <f t="shared" si="92"/>
        <v>4099</v>
      </c>
      <c r="E872" s="97">
        <v>2600</v>
      </c>
      <c r="F872" s="7">
        <v>1400</v>
      </c>
      <c r="G872" s="7">
        <f t="shared" si="93"/>
        <v>1200</v>
      </c>
      <c r="H872" s="98">
        <v>400</v>
      </c>
      <c r="I872" s="7"/>
      <c r="J872" s="7">
        <f t="shared" si="99"/>
        <v>400</v>
      </c>
      <c r="K872" s="99">
        <f t="shared" si="98"/>
        <v>12329</v>
      </c>
      <c r="L872" s="7">
        <v>3300</v>
      </c>
      <c r="M872" s="7">
        <v>7980</v>
      </c>
      <c r="N872" s="7">
        <v>0</v>
      </c>
      <c r="O872" s="7">
        <v>0</v>
      </c>
      <c r="P872" s="7">
        <v>7878.5099999999993</v>
      </c>
      <c r="Q872" s="7">
        <v>1266.6999999999996</v>
      </c>
      <c r="R872" s="113">
        <f t="shared" si="94"/>
        <v>0.56061742952084892</v>
      </c>
      <c r="S872" s="113">
        <f t="shared" si="95"/>
        <v>0.53846153846153844</v>
      </c>
      <c r="T872" s="113">
        <f t="shared" si="96"/>
        <v>0</v>
      </c>
      <c r="U872" s="113">
        <f t="shared" si="97"/>
        <v>0.36635965599412912</v>
      </c>
    </row>
    <row r="873" spans="1:21" x14ac:dyDescent="0.45">
      <c r="A873" s="95">
        <v>45433</v>
      </c>
      <c r="B873" s="96">
        <v>9329</v>
      </c>
      <c r="C873" s="7">
        <v>5230</v>
      </c>
      <c r="D873" s="7">
        <f t="shared" si="92"/>
        <v>4099</v>
      </c>
      <c r="E873" s="97">
        <v>2600</v>
      </c>
      <c r="F873" s="7">
        <v>1400</v>
      </c>
      <c r="G873" s="7">
        <f t="shared" si="93"/>
        <v>1200</v>
      </c>
      <c r="H873" s="98">
        <v>400</v>
      </c>
      <c r="I873" s="7"/>
      <c r="J873" s="7">
        <f t="shared" si="99"/>
        <v>400</v>
      </c>
      <c r="K873" s="99">
        <f t="shared" si="98"/>
        <v>12329</v>
      </c>
      <c r="L873" s="7">
        <v>3300</v>
      </c>
      <c r="M873" s="7">
        <v>7980</v>
      </c>
      <c r="N873" s="7">
        <v>0</v>
      </c>
      <c r="O873" s="7">
        <v>0</v>
      </c>
      <c r="P873" s="7">
        <v>7878.5099999999993</v>
      </c>
      <c r="Q873" s="7">
        <v>2309.0470119199999</v>
      </c>
      <c r="R873" s="113">
        <f t="shared" si="94"/>
        <v>0.56061742952084892</v>
      </c>
      <c r="S873" s="113">
        <f t="shared" si="95"/>
        <v>0.53846153846153844</v>
      </c>
      <c r="T873" s="113">
        <f t="shared" si="96"/>
        <v>0</v>
      </c>
      <c r="U873" s="113">
        <f t="shared" si="97"/>
        <v>0.36635965599412912</v>
      </c>
    </row>
    <row r="874" spans="1:21" x14ac:dyDescent="0.45">
      <c r="A874" s="95">
        <v>45434</v>
      </c>
      <c r="B874" s="96">
        <v>9329</v>
      </c>
      <c r="C874" s="7">
        <v>5230</v>
      </c>
      <c r="D874" s="7">
        <f t="shared" si="92"/>
        <v>4099</v>
      </c>
      <c r="E874" s="97">
        <v>2600</v>
      </c>
      <c r="F874" s="7">
        <v>1400</v>
      </c>
      <c r="G874" s="7">
        <f t="shared" si="93"/>
        <v>1200</v>
      </c>
      <c r="H874" s="98">
        <v>400</v>
      </c>
      <c r="I874" s="7"/>
      <c r="J874" s="7">
        <f t="shared" si="99"/>
        <v>400</v>
      </c>
      <c r="K874" s="99">
        <f t="shared" si="98"/>
        <v>12329</v>
      </c>
      <c r="L874" s="7">
        <v>3300</v>
      </c>
      <c r="M874" s="7">
        <v>7980</v>
      </c>
      <c r="N874" s="7">
        <v>0</v>
      </c>
      <c r="O874" s="7">
        <v>0</v>
      </c>
      <c r="P874" s="7">
        <v>7878.5099999999993</v>
      </c>
      <c r="Q874" s="7">
        <v>2923.0906340399997</v>
      </c>
      <c r="R874" s="113">
        <f t="shared" si="94"/>
        <v>0.56061742952084892</v>
      </c>
      <c r="S874" s="113">
        <f t="shared" si="95"/>
        <v>0.53846153846153844</v>
      </c>
      <c r="T874" s="113">
        <f t="shared" si="96"/>
        <v>0</v>
      </c>
      <c r="U874" s="113">
        <f t="shared" si="97"/>
        <v>0.36635965599412912</v>
      </c>
    </row>
    <row r="875" spans="1:21" x14ac:dyDescent="0.45">
      <c r="A875" s="95">
        <v>45435</v>
      </c>
      <c r="B875" s="96">
        <v>9413.68</v>
      </c>
      <c r="C875" s="7">
        <v>5174.68</v>
      </c>
      <c r="D875" s="7">
        <f t="shared" si="92"/>
        <v>4239</v>
      </c>
      <c r="E875" s="97">
        <v>2600</v>
      </c>
      <c r="F875" s="7">
        <v>1400</v>
      </c>
      <c r="G875" s="7">
        <f t="shared" si="93"/>
        <v>1200</v>
      </c>
      <c r="H875" s="98">
        <v>400</v>
      </c>
      <c r="I875" s="7"/>
      <c r="J875" s="7">
        <f t="shared" si="99"/>
        <v>400</v>
      </c>
      <c r="K875" s="99">
        <f t="shared" si="98"/>
        <v>12413.68</v>
      </c>
      <c r="L875" s="7">
        <v>2900</v>
      </c>
      <c r="M875" s="7">
        <v>7700</v>
      </c>
      <c r="N875" s="7">
        <v>0</v>
      </c>
      <c r="O875" s="7">
        <v>0</v>
      </c>
      <c r="P875" s="7">
        <v>7878.5099999999993</v>
      </c>
      <c r="Q875" s="7">
        <v>2721.7269185199993</v>
      </c>
      <c r="R875" s="113">
        <f t="shared" si="94"/>
        <v>0.54969788648010132</v>
      </c>
      <c r="S875" s="113">
        <f t="shared" si="95"/>
        <v>0.53846153846153844</v>
      </c>
      <c r="T875" s="113">
        <f t="shared" si="96"/>
        <v>0</v>
      </c>
      <c r="U875" s="113">
        <f t="shared" si="97"/>
        <v>0.3627198083138799</v>
      </c>
    </row>
    <row r="876" spans="1:21" x14ac:dyDescent="0.45">
      <c r="A876" s="95">
        <v>45436</v>
      </c>
      <c r="B876" s="96">
        <v>9413.68</v>
      </c>
      <c r="C876" s="7">
        <v>5174.68</v>
      </c>
      <c r="D876" s="7">
        <f t="shared" si="92"/>
        <v>4239</v>
      </c>
      <c r="E876" s="97">
        <v>2600</v>
      </c>
      <c r="F876" s="7">
        <v>1400</v>
      </c>
      <c r="G876" s="7">
        <f t="shared" si="93"/>
        <v>1200</v>
      </c>
      <c r="H876" s="98">
        <v>400</v>
      </c>
      <c r="I876" s="7"/>
      <c r="J876" s="7">
        <f t="shared" si="99"/>
        <v>400</v>
      </c>
      <c r="K876" s="99">
        <f t="shared" si="98"/>
        <v>12413.68</v>
      </c>
      <c r="L876" s="7">
        <v>4900</v>
      </c>
      <c r="M876" s="7">
        <v>7700</v>
      </c>
      <c r="N876" s="7">
        <v>0</v>
      </c>
      <c r="O876" s="7">
        <v>0</v>
      </c>
      <c r="P876" s="7">
        <v>7878.5099999999993</v>
      </c>
      <c r="Q876" s="7">
        <v>2385.1640970699996</v>
      </c>
      <c r="R876" s="113">
        <f t="shared" si="94"/>
        <v>0.54969788648010132</v>
      </c>
      <c r="S876" s="113">
        <f t="shared" si="95"/>
        <v>0.53846153846153844</v>
      </c>
      <c r="T876" s="113">
        <f t="shared" si="96"/>
        <v>0</v>
      </c>
      <c r="U876" s="113">
        <f t="shared" si="97"/>
        <v>0.3627198083138799</v>
      </c>
    </row>
    <row r="877" spans="1:21" x14ac:dyDescent="0.45">
      <c r="A877" s="95">
        <v>45437</v>
      </c>
      <c r="B877" s="96">
        <v>9413.68</v>
      </c>
      <c r="C877" s="7">
        <v>5174.68</v>
      </c>
      <c r="D877" s="7">
        <f t="shared" si="92"/>
        <v>4239</v>
      </c>
      <c r="E877" s="97">
        <v>2600</v>
      </c>
      <c r="F877" s="7">
        <v>1400</v>
      </c>
      <c r="G877" s="7">
        <f t="shared" si="93"/>
        <v>1200</v>
      </c>
      <c r="H877" s="98">
        <v>400</v>
      </c>
      <c r="I877" s="7"/>
      <c r="J877" s="7">
        <f t="shared" si="99"/>
        <v>400</v>
      </c>
      <c r="K877" s="99">
        <f t="shared" si="98"/>
        <v>12413.68</v>
      </c>
      <c r="L877" s="7">
        <v>4900</v>
      </c>
      <c r="M877" s="7">
        <v>7700</v>
      </c>
      <c r="N877" s="7">
        <v>0</v>
      </c>
      <c r="O877" s="7">
        <v>0</v>
      </c>
      <c r="P877" s="7">
        <v>7878.5099999999993</v>
      </c>
      <c r="Q877" s="7">
        <v>2385.1640970699996</v>
      </c>
      <c r="R877" s="113">
        <f t="shared" si="94"/>
        <v>0.54969788648010132</v>
      </c>
      <c r="S877" s="113">
        <f t="shared" si="95"/>
        <v>0.53846153846153844</v>
      </c>
      <c r="T877" s="113">
        <f t="shared" si="96"/>
        <v>0</v>
      </c>
      <c r="U877" s="113">
        <f t="shared" si="97"/>
        <v>0.3627198083138799</v>
      </c>
    </row>
    <row r="878" spans="1:21" x14ac:dyDescent="0.45">
      <c r="A878" s="95">
        <v>45438</v>
      </c>
      <c r="B878" s="96">
        <v>9413.68</v>
      </c>
      <c r="C878" s="7">
        <v>5174.68</v>
      </c>
      <c r="D878" s="7">
        <f t="shared" si="92"/>
        <v>4239</v>
      </c>
      <c r="E878" s="97">
        <v>2600</v>
      </c>
      <c r="F878" s="7">
        <v>1400</v>
      </c>
      <c r="G878" s="7">
        <f t="shared" si="93"/>
        <v>1200</v>
      </c>
      <c r="H878" s="98">
        <v>400</v>
      </c>
      <c r="I878" s="7"/>
      <c r="J878" s="7">
        <f t="shared" si="99"/>
        <v>400</v>
      </c>
      <c r="K878" s="99">
        <f t="shared" si="98"/>
        <v>12413.68</v>
      </c>
      <c r="L878" s="7">
        <v>4900</v>
      </c>
      <c r="M878" s="7">
        <v>7700</v>
      </c>
      <c r="N878" s="7">
        <v>0</v>
      </c>
      <c r="O878" s="7">
        <v>0</v>
      </c>
      <c r="P878" s="7">
        <v>7878.5099999999993</v>
      </c>
      <c r="Q878" s="7">
        <v>2385.1640970699996</v>
      </c>
      <c r="R878" s="113">
        <f t="shared" si="94"/>
        <v>0.54969788648010132</v>
      </c>
      <c r="S878" s="113">
        <f t="shared" si="95"/>
        <v>0.53846153846153844</v>
      </c>
      <c r="T878" s="113">
        <f t="shared" si="96"/>
        <v>0</v>
      </c>
      <c r="U878" s="113">
        <f t="shared" si="97"/>
        <v>0.3627198083138799</v>
      </c>
    </row>
    <row r="879" spans="1:21" x14ac:dyDescent="0.45">
      <c r="A879" s="95">
        <v>45439</v>
      </c>
      <c r="B879" s="96">
        <v>9413.68</v>
      </c>
      <c r="C879" s="7">
        <v>5174.68</v>
      </c>
      <c r="D879" s="7">
        <f t="shared" si="92"/>
        <v>4239</v>
      </c>
      <c r="E879" s="97">
        <v>2600</v>
      </c>
      <c r="F879" s="7">
        <v>1400</v>
      </c>
      <c r="G879" s="7">
        <f t="shared" si="93"/>
        <v>1200</v>
      </c>
      <c r="H879" s="98">
        <v>400</v>
      </c>
      <c r="I879" s="7"/>
      <c r="J879" s="7">
        <f t="shared" si="99"/>
        <v>400</v>
      </c>
      <c r="K879" s="99">
        <f t="shared" si="98"/>
        <v>12413.68</v>
      </c>
      <c r="L879" s="7">
        <v>5100</v>
      </c>
      <c r="M879" s="7">
        <v>7700</v>
      </c>
      <c r="N879" s="7">
        <v>0</v>
      </c>
      <c r="O879" s="7">
        <v>0</v>
      </c>
      <c r="P879" s="7">
        <v>7878.5099999999993</v>
      </c>
      <c r="Q879" s="7">
        <v>1988.5658070300001</v>
      </c>
      <c r="R879" s="113">
        <f t="shared" si="94"/>
        <v>0.54969788648010132</v>
      </c>
      <c r="S879" s="113">
        <f t="shared" si="95"/>
        <v>0.53846153846153844</v>
      </c>
      <c r="T879" s="113">
        <f t="shared" si="96"/>
        <v>0</v>
      </c>
      <c r="U879" s="113">
        <f t="shared" si="97"/>
        <v>0.3627198083138799</v>
      </c>
    </row>
    <row r="880" spans="1:21" x14ac:dyDescent="0.45">
      <c r="A880" s="95">
        <v>45440</v>
      </c>
      <c r="B880" s="96">
        <v>9413.68</v>
      </c>
      <c r="C880" s="7">
        <v>5174.68</v>
      </c>
      <c r="D880" s="7">
        <f t="shared" si="92"/>
        <v>4239</v>
      </c>
      <c r="E880" s="97">
        <v>2600</v>
      </c>
      <c r="F880" s="7">
        <v>1400</v>
      </c>
      <c r="G880" s="7">
        <f t="shared" si="93"/>
        <v>1200</v>
      </c>
      <c r="H880" s="98">
        <v>400</v>
      </c>
      <c r="I880" s="7"/>
      <c r="J880" s="7">
        <f t="shared" si="99"/>
        <v>400</v>
      </c>
      <c r="K880" s="99">
        <f t="shared" si="98"/>
        <v>12413.68</v>
      </c>
      <c r="L880" s="7">
        <v>5130</v>
      </c>
      <c r="M880" s="7">
        <v>7700</v>
      </c>
      <c r="N880" s="7">
        <v>0</v>
      </c>
      <c r="O880" s="7">
        <v>0</v>
      </c>
      <c r="P880" s="7">
        <v>7878.5099999999993</v>
      </c>
      <c r="Q880" s="7">
        <v>2793.0256910199996</v>
      </c>
      <c r="R880" s="113">
        <f t="shared" si="94"/>
        <v>0.54969788648010132</v>
      </c>
      <c r="S880" s="113">
        <f t="shared" si="95"/>
        <v>0.53846153846153844</v>
      </c>
      <c r="T880" s="113">
        <f t="shared" si="96"/>
        <v>0</v>
      </c>
      <c r="U880" s="113">
        <f t="shared" si="97"/>
        <v>0.3627198083138799</v>
      </c>
    </row>
    <row r="881" spans="1:21" x14ac:dyDescent="0.45">
      <c r="A881" s="95">
        <v>45441</v>
      </c>
      <c r="B881" s="96">
        <v>9413.68</v>
      </c>
      <c r="C881" s="7">
        <v>5174.68</v>
      </c>
      <c r="D881" s="7">
        <f t="shared" si="92"/>
        <v>4239</v>
      </c>
      <c r="E881" s="97">
        <v>2600</v>
      </c>
      <c r="F881" s="7">
        <v>1400</v>
      </c>
      <c r="G881" s="7">
        <f t="shared" si="93"/>
        <v>1200</v>
      </c>
      <c r="H881" s="98">
        <v>400</v>
      </c>
      <c r="I881" s="7"/>
      <c r="J881" s="7">
        <f t="shared" si="99"/>
        <v>400</v>
      </c>
      <c r="K881" s="99">
        <f t="shared" si="98"/>
        <v>12413.68</v>
      </c>
      <c r="L881" s="7">
        <v>4250</v>
      </c>
      <c r="M881" s="7">
        <v>7700</v>
      </c>
      <c r="N881" s="7">
        <v>0</v>
      </c>
      <c r="O881" s="7">
        <v>0</v>
      </c>
      <c r="P881" s="7">
        <v>7878.5099999999993</v>
      </c>
      <c r="Q881" s="7">
        <v>2767.7186531600005</v>
      </c>
      <c r="R881" s="113">
        <f t="shared" si="94"/>
        <v>0.54969788648010132</v>
      </c>
      <c r="S881" s="113">
        <f t="shared" si="95"/>
        <v>0.53846153846153844</v>
      </c>
      <c r="T881" s="113">
        <f t="shared" si="96"/>
        <v>0</v>
      </c>
      <c r="U881" s="113">
        <f t="shared" si="97"/>
        <v>0.3627198083138799</v>
      </c>
    </row>
    <row r="882" spans="1:21" x14ac:dyDescent="0.45">
      <c r="A882" s="95">
        <v>45442</v>
      </c>
      <c r="B882" s="96">
        <v>9413.68</v>
      </c>
      <c r="C882" s="7">
        <v>5114.68</v>
      </c>
      <c r="D882" s="7">
        <f t="shared" si="92"/>
        <v>4299</v>
      </c>
      <c r="E882" s="97">
        <v>2600</v>
      </c>
      <c r="F882" s="7">
        <v>1700</v>
      </c>
      <c r="G882" s="7">
        <f t="shared" si="93"/>
        <v>900</v>
      </c>
      <c r="H882" s="98">
        <v>400</v>
      </c>
      <c r="I882" s="7"/>
      <c r="J882" s="7">
        <f t="shared" si="99"/>
        <v>400</v>
      </c>
      <c r="K882" s="99">
        <f t="shared" si="98"/>
        <v>12413.68</v>
      </c>
      <c r="L882" s="7">
        <v>3060</v>
      </c>
      <c r="M882" s="7">
        <v>7730</v>
      </c>
      <c r="N882" s="7">
        <v>0</v>
      </c>
      <c r="O882" s="7">
        <v>0</v>
      </c>
      <c r="P882" s="7">
        <v>7878.5099999999993</v>
      </c>
      <c r="Q882" s="7">
        <v>3205.9983215099992</v>
      </c>
      <c r="R882" s="113">
        <f t="shared" si="94"/>
        <v>0.54332418352865197</v>
      </c>
      <c r="S882" s="113">
        <f t="shared" si="95"/>
        <v>0.65384615384615385</v>
      </c>
      <c r="T882" s="113">
        <f t="shared" si="96"/>
        <v>0</v>
      </c>
      <c r="U882" s="113">
        <f t="shared" si="97"/>
        <v>0.39905677912493526</v>
      </c>
    </row>
    <row r="883" spans="1:21" x14ac:dyDescent="0.45">
      <c r="A883" s="95">
        <v>45443</v>
      </c>
      <c r="B883" s="96">
        <v>9413.68</v>
      </c>
      <c r="C883" s="7">
        <v>5114.68</v>
      </c>
      <c r="D883" s="7">
        <f t="shared" si="92"/>
        <v>4299</v>
      </c>
      <c r="E883" s="97">
        <v>2600</v>
      </c>
      <c r="F883" s="7">
        <v>1700</v>
      </c>
      <c r="G883" s="7">
        <f t="shared" si="93"/>
        <v>900</v>
      </c>
      <c r="H883" s="98">
        <v>400</v>
      </c>
      <c r="I883" s="7"/>
      <c r="J883" s="7">
        <f t="shared" si="99"/>
        <v>400</v>
      </c>
      <c r="K883" s="99">
        <f t="shared" si="98"/>
        <v>12413.68</v>
      </c>
      <c r="L883" s="7">
        <v>1700</v>
      </c>
      <c r="M883" s="7">
        <v>150</v>
      </c>
      <c r="N883" s="7">
        <v>0</v>
      </c>
      <c r="O883" s="7">
        <v>0</v>
      </c>
      <c r="P883" s="7">
        <v>7878.5099999999993</v>
      </c>
      <c r="Q883" s="7">
        <v>1613.9723468200004</v>
      </c>
      <c r="R883" s="113">
        <f t="shared" si="94"/>
        <v>0.54332418352865197</v>
      </c>
      <c r="S883" s="113">
        <f t="shared" si="95"/>
        <v>0.65384615384615385</v>
      </c>
      <c r="T883" s="113">
        <f t="shared" si="96"/>
        <v>0</v>
      </c>
      <c r="U883" s="113">
        <f t="shared" si="97"/>
        <v>0.39905677912493526</v>
      </c>
    </row>
    <row r="884" spans="1:21" x14ac:dyDescent="0.45">
      <c r="A884" s="95">
        <v>45444</v>
      </c>
      <c r="B884" s="96">
        <v>9413.68</v>
      </c>
      <c r="C884" s="7">
        <v>5114.68</v>
      </c>
      <c r="D884" s="7">
        <f t="shared" si="92"/>
        <v>4299</v>
      </c>
      <c r="E884" s="97">
        <v>2600</v>
      </c>
      <c r="F884" s="7">
        <v>1700</v>
      </c>
      <c r="G884" s="7">
        <f t="shared" si="93"/>
        <v>900</v>
      </c>
      <c r="H884" s="98">
        <v>400</v>
      </c>
      <c r="I884" s="7"/>
      <c r="J884" s="7">
        <f t="shared" si="99"/>
        <v>400</v>
      </c>
      <c r="K884" s="99">
        <f t="shared" si="98"/>
        <v>12413.68</v>
      </c>
      <c r="L884" s="7">
        <v>1700</v>
      </c>
      <c r="M884" s="7">
        <v>150</v>
      </c>
      <c r="N884" s="7">
        <v>0</v>
      </c>
      <c r="O884" s="7">
        <v>0</v>
      </c>
      <c r="P884" s="7">
        <v>7878.5099999999993</v>
      </c>
      <c r="Q884" s="7">
        <v>1613.9723468200004</v>
      </c>
      <c r="R884" s="113">
        <f t="shared" si="94"/>
        <v>0.54332418352865197</v>
      </c>
      <c r="S884" s="113">
        <f t="shared" si="95"/>
        <v>0.65384615384615385</v>
      </c>
      <c r="T884" s="113">
        <f t="shared" si="96"/>
        <v>0</v>
      </c>
      <c r="U884" s="113">
        <f t="shared" si="97"/>
        <v>0.39905677912493526</v>
      </c>
    </row>
    <row r="885" spans="1:21" x14ac:dyDescent="0.45">
      <c r="A885" s="95">
        <v>45445</v>
      </c>
      <c r="B885" s="96">
        <v>9413.68</v>
      </c>
      <c r="C885" s="7">
        <v>5114.68</v>
      </c>
      <c r="D885" s="7">
        <f t="shared" si="92"/>
        <v>4299</v>
      </c>
      <c r="E885" s="97">
        <v>2600</v>
      </c>
      <c r="F885" s="7">
        <v>1700</v>
      </c>
      <c r="G885" s="7">
        <f t="shared" si="93"/>
        <v>900</v>
      </c>
      <c r="H885" s="98">
        <v>400</v>
      </c>
      <c r="I885" s="7"/>
      <c r="J885" s="7">
        <f t="shared" si="99"/>
        <v>400</v>
      </c>
      <c r="K885" s="99">
        <f t="shared" si="98"/>
        <v>12413.68</v>
      </c>
      <c r="L885" s="7">
        <v>1700</v>
      </c>
      <c r="M885" s="7">
        <v>150</v>
      </c>
      <c r="N885" s="7">
        <v>0</v>
      </c>
      <c r="O885" s="7">
        <v>0</v>
      </c>
      <c r="P885" s="7">
        <v>7878.5099999999993</v>
      </c>
      <c r="Q885" s="7">
        <v>1613.9723468200004</v>
      </c>
      <c r="R885" s="113">
        <f t="shared" si="94"/>
        <v>0.54332418352865197</v>
      </c>
      <c r="S885" s="113">
        <f t="shared" si="95"/>
        <v>0.65384615384615385</v>
      </c>
      <c r="T885" s="113">
        <f t="shared" si="96"/>
        <v>0</v>
      </c>
      <c r="U885" s="113">
        <f t="shared" si="97"/>
        <v>0.39905677912493526</v>
      </c>
    </row>
    <row r="886" spans="1:21" x14ac:dyDescent="0.45">
      <c r="A886" s="95">
        <v>45446</v>
      </c>
      <c r="B886" s="96">
        <v>9413.68</v>
      </c>
      <c r="C886" s="7">
        <v>5114.68</v>
      </c>
      <c r="D886" s="7">
        <f t="shared" si="92"/>
        <v>4299</v>
      </c>
      <c r="E886" s="97">
        <v>2600</v>
      </c>
      <c r="F886" s="7">
        <v>1700</v>
      </c>
      <c r="G886" s="7">
        <f t="shared" si="93"/>
        <v>900</v>
      </c>
      <c r="H886" s="98">
        <v>400</v>
      </c>
      <c r="I886" s="7"/>
      <c r="J886" s="7">
        <f t="shared" si="99"/>
        <v>400</v>
      </c>
      <c r="K886" s="99">
        <f t="shared" si="98"/>
        <v>12413.68</v>
      </c>
      <c r="L886" s="7">
        <v>1200</v>
      </c>
      <c r="M886" s="7">
        <v>250</v>
      </c>
      <c r="N886" s="7">
        <v>0</v>
      </c>
      <c r="O886" s="7">
        <v>0</v>
      </c>
      <c r="P886" s="7">
        <v>7878.5099999999993</v>
      </c>
      <c r="Q886" s="7">
        <v>2596.3874008100001</v>
      </c>
      <c r="R886" s="113">
        <f t="shared" si="94"/>
        <v>0.54332418352865197</v>
      </c>
      <c r="S886" s="113">
        <f t="shared" si="95"/>
        <v>0.65384615384615385</v>
      </c>
      <c r="T886" s="113">
        <f t="shared" si="96"/>
        <v>0</v>
      </c>
      <c r="U886" s="113">
        <f t="shared" si="97"/>
        <v>0.39905677912493526</v>
      </c>
    </row>
    <row r="887" spans="1:21" x14ac:dyDescent="0.45">
      <c r="A887" s="95">
        <v>45447</v>
      </c>
      <c r="B887" s="96">
        <v>9413.68</v>
      </c>
      <c r="C887" s="7">
        <v>5114.68</v>
      </c>
      <c r="D887" s="7">
        <f t="shared" si="92"/>
        <v>4299</v>
      </c>
      <c r="E887" s="97">
        <v>2600</v>
      </c>
      <c r="F887" s="7">
        <v>1700</v>
      </c>
      <c r="G887" s="7">
        <f t="shared" si="93"/>
        <v>900</v>
      </c>
      <c r="H887" s="98">
        <v>400</v>
      </c>
      <c r="I887" s="7"/>
      <c r="J887" s="7">
        <f t="shared" si="99"/>
        <v>400</v>
      </c>
      <c r="K887" s="99">
        <f t="shared" si="98"/>
        <v>12413.68</v>
      </c>
      <c r="L887" s="7">
        <v>1200</v>
      </c>
      <c r="M887" s="7">
        <v>250</v>
      </c>
      <c r="N887" s="7">
        <v>0</v>
      </c>
      <c r="O887" s="7">
        <v>0</v>
      </c>
      <c r="P887" s="7">
        <v>7878.5099999999993</v>
      </c>
      <c r="Q887" s="7">
        <v>4239.2661453199989</v>
      </c>
      <c r="R887" s="113">
        <f t="shared" si="94"/>
        <v>0.54332418352865197</v>
      </c>
      <c r="S887" s="113">
        <f t="shared" si="95"/>
        <v>0.65384615384615385</v>
      </c>
      <c r="T887" s="113">
        <f t="shared" si="96"/>
        <v>0</v>
      </c>
      <c r="U887" s="113">
        <f t="shared" si="97"/>
        <v>0.39905677912493526</v>
      </c>
    </row>
    <row r="888" spans="1:21" x14ac:dyDescent="0.45">
      <c r="A888" s="95">
        <v>45448</v>
      </c>
      <c r="B888" s="96">
        <v>9413.68</v>
      </c>
      <c r="C888" s="7">
        <v>5114.68</v>
      </c>
      <c r="D888" s="7">
        <f t="shared" si="92"/>
        <v>4299</v>
      </c>
      <c r="E888" s="97">
        <v>2600</v>
      </c>
      <c r="F888" s="7">
        <v>1700</v>
      </c>
      <c r="G888" s="7">
        <f t="shared" si="93"/>
        <v>900</v>
      </c>
      <c r="H888" s="98">
        <v>400</v>
      </c>
      <c r="I888" s="7"/>
      <c r="J888" s="7">
        <f t="shared" si="99"/>
        <v>400</v>
      </c>
      <c r="K888" s="99">
        <f t="shared" si="98"/>
        <v>12413.68</v>
      </c>
      <c r="L888" s="7">
        <v>1200</v>
      </c>
      <c r="M888" s="7">
        <v>250</v>
      </c>
      <c r="N888" s="7">
        <v>0</v>
      </c>
      <c r="O888" s="7">
        <v>0</v>
      </c>
      <c r="P888" s="7">
        <v>7878.5099999999993</v>
      </c>
      <c r="Q888" s="7">
        <v>4711.0247386899991</v>
      </c>
      <c r="R888" s="113">
        <f t="shared" si="94"/>
        <v>0.54332418352865197</v>
      </c>
      <c r="S888" s="113">
        <f t="shared" si="95"/>
        <v>0.65384615384615385</v>
      </c>
      <c r="T888" s="113">
        <f t="shared" si="96"/>
        <v>0</v>
      </c>
      <c r="U888" s="113">
        <f t="shared" si="97"/>
        <v>0.39905677912493526</v>
      </c>
    </row>
    <row r="889" spans="1:21" x14ac:dyDescent="0.45">
      <c r="A889" s="95">
        <v>45449</v>
      </c>
      <c r="B889" s="96">
        <v>9303.68</v>
      </c>
      <c r="C889" s="7">
        <v>5104.68</v>
      </c>
      <c r="D889" s="7">
        <f t="shared" si="92"/>
        <v>4199</v>
      </c>
      <c r="E889" s="97">
        <v>2600</v>
      </c>
      <c r="F889" s="7">
        <v>1700</v>
      </c>
      <c r="G889" s="7">
        <f t="shared" si="93"/>
        <v>900</v>
      </c>
      <c r="H889" s="98">
        <v>400</v>
      </c>
      <c r="I889" s="7"/>
      <c r="J889" s="7">
        <f t="shared" si="99"/>
        <v>400</v>
      </c>
      <c r="K889" s="99">
        <f t="shared" si="98"/>
        <v>12303.68</v>
      </c>
      <c r="L889" s="7">
        <v>3990</v>
      </c>
      <c r="M889" s="7">
        <v>4900</v>
      </c>
      <c r="N889" s="7">
        <v>0</v>
      </c>
      <c r="O889" s="7">
        <v>0</v>
      </c>
      <c r="P889" s="7">
        <v>7878.5099999999993</v>
      </c>
      <c r="Q889" s="7">
        <v>3234.6179957700001</v>
      </c>
      <c r="R889" s="113">
        <f t="shared" si="94"/>
        <v>0.54867321318016093</v>
      </c>
      <c r="S889" s="113">
        <f t="shared" si="95"/>
        <v>0.65384615384615385</v>
      </c>
      <c r="T889" s="113">
        <f t="shared" si="96"/>
        <v>0</v>
      </c>
      <c r="U889" s="113">
        <f t="shared" si="97"/>
        <v>0.4008397890087716</v>
      </c>
    </row>
    <row r="890" spans="1:21" x14ac:dyDescent="0.45">
      <c r="A890" s="95">
        <v>45450</v>
      </c>
      <c r="B890" s="96">
        <v>9303.68</v>
      </c>
      <c r="C890" s="7">
        <v>5104.68</v>
      </c>
      <c r="D890" s="7">
        <f t="shared" si="92"/>
        <v>4199</v>
      </c>
      <c r="E890" s="97">
        <v>2600</v>
      </c>
      <c r="F890" s="7">
        <v>1700</v>
      </c>
      <c r="G890" s="7">
        <f t="shared" si="93"/>
        <v>900</v>
      </c>
      <c r="H890" s="98">
        <v>400</v>
      </c>
      <c r="I890" s="7"/>
      <c r="J890" s="7">
        <f t="shared" si="99"/>
        <v>400</v>
      </c>
      <c r="K890" s="99">
        <f t="shared" si="98"/>
        <v>12303.68</v>
      </c>
      <c r="L890" s="7">
        <v>1100</v>
      </c>
      <c r="M890" s="7">
        <v>900</v>
      </c>
      <c r="N890" s="7">
        <v>0</v>
      </c>
      <c r="O890" s="7">
        <v>0</v>
      </c>
      <c r="P890" s="7">
        <v>7878.5099999999993</v>
      </c>
      <c r="Q890" s="7">
        <v>1844.4075487</v>
      </c>
      <c r="R890" s="113">
        <f t="shared" si="94"/>
        <v>0.54867321318016093</v>
      </c>
      <c r="S890" s="113">
        <f t="shared" si="95"/>
        <v>0.65384615384615385</v>
      </c>
      <c r="T890" s="113">
        <f t="shared" si="96"/>
        <v>0</v>
      </c>
      <c r="U890" s="113">
        <f t="shared" si="97"/>
        <v>0.4008397890087716</v>
      </c>
    </row>
    <row r="891" spans="1:21" x14ac:dyDescent="0.45">
      <c r="A891" s="95">
        <v>45451</v>
      </c>
      <c r="B891" s="96">
        <v>9303.68</v>
      </c>
      <c r="C891" s="7">
        <v>5104.68</v>
      </c>
      <c r="D891" s="7">
        <f t="shared" si="92"/>
        <v>4199</v>
      </c>
      <c r="E891" s="97">
        <v>2600</v>
      </c>
      <c r="F891" s="7">
        <v>1700</v>
      </c>
      <c r="G891" s="7">
        <f t="shared" si="93"/>
        <v>900</v>
      </c>
      <c r="H891" s="98">
        <v>400</v>
      </c>
      <c r="I891" s="7"/>
      <c r="J891" s="7">
        <f t="shared" si="99"/>
        <v>400</v>
      </c>
      <c r="K891" s="99">
        <f t="shared" si="98"/>
        <v>12303.68</v>
      </c>
      <c r="L891" s="7">
        <v>1100</v>
      </c>
      <c r="M891" s="7">
        <v>900</v>
      </c>
      <c r="N891" s="7">
        <v>0</v>
      </c>
      <c r="O891" s="7">
        <v>0</v>
      </c>
      <c r="P891" s="7">
        <v>7878.5099999999993</v>
      </c>
      <c r="Q891" s="7">
        <v>1844.4075487</v>
      </c>
      <c r="R891" s="113">
        <f t="shared" si="94"/>
        <v>0.54867321318016093</v>
      </c>
      <c r="S891" s="113">
        <f t="shared" si="95"/>
        <v>0.65384615384615385</v>
      </c>
      <c r="T891" s="113">
        <f t="shared" si="96"/>
        <v>0</v>
      </c>
      <c r="U891" s="113">
        <f t="shared" si="97"/>
        <v>0.4008397890087716</v>
      </c>
    </row>
    <row r="892" spans="1:21" x14ac:dyDescent="0.45">
      <c r="A892" s="95">
        <v>45452</v>
      </c>
      <c r="B892" s="96">
        <v>9303.68</v>
      </c>
      <c r="C892" s="7">
        <v>5104.68</v>
      </c>
      <c r="D892" s="7">
        <f t="shared" si="92"/>
        <v>4199</v>
      </c>
      <c r="E892" s="97">
        <v>2600</v>
      </c>
      <c r="F892" s="7">
        <v>1700</v>
      </c>
      <c r="G892" s="7">
        <f t="shared" si="93"/>
        <v>900</v>
      </c>
      <c r="H892" s="98">
        <v>400</v>
      </c>
      <c r="I892" s="7"/>
      <c r="J892" s="7">
        <f t="shared" si="99"/>
        <v>400</v>
      </c>
      <c r="K892" s="99">
        <f t="shared" si="98"/>
        <v>12303.68</v>
      </c>
      <c r="L892" s="7">
        <v>1100</v>
      </c>
      <c r="M892" s="7">
        <v>900</v>
      </c>
      <c r="N892" s="7">
        <v>0</v>
      </c>
      <c r="O892" s="7">
        <v>0</v>
      </c>
      <c r="P892" s="7">
        <v>7878.5099999999993</v>
      </c>
      <c r="Q892" s="7">
        <v>1844.4075487</v>
      </c>
      <c r="R892" s="113">
        <f t="shared" si="94"/>
        <v>0.54867321318016093</v>
      </c>
      <c r="S892" s="113">
        <f t="shared" si="95"/>
        <v>0.65384615384615385</v>
      </c>
      <c r="T892" s="113">
        <f t="shared" si="96"/>
        <v>0</v>
      </c>
      <c r="U892" s="113">
        <f t="shared" si="97"/>
        <v>0.4008397890087716</v>
      </c>
    </row>
    <row r="893" spans="1:21" x14ac:dyDescent="0.45">
      <c r="A893" s="95">
        <v>45453</v>
      </c>
      <c r="B893" s="96">
        <v>9303.68</v>
      </c>
      <c r="C893" s="7">
        <v>5104.68</v>
      </c>
      <c r="D893" s="7">
        <f t="shared" si="92"/>
        <v>4199</v>
      </c>
      <c r="E893" s="97">
        <v>2600</v>
      </c>
      <c r="F893" s="7">
        <v>1700</v>
      </c>
      <c r="G893" s="7">
        <f t="shared" si="93"/>
        <v>900</v>
      </c>
      <c r="H893" s="98">
        <v>400</v>
      </c>
      <c r="I893" s="7"/>
      <c r="J893" s="7">
        <f t="shared" si="99"/>
        <v>400</v>
      </c>
      <c r="K893" s="99">
        <f t="shared" si="98"/>
        <v>12303.68</v>
      </c>
      <c r="L893" s="7">
        <v>1350</v>
      </c>
      <c r="M893" s="7">
        <v>900</v>
      </c>
      <c r="N893" s="7">
        <v>0</v>
      </c>
      <c r="O893" s="7">
        <v>0</v>
      </c>
      <c r="P893" s="7">
        <v>8002.9790836136808</v>
      </c>
      <c r="Q893" s="7">
        <v>1004.6443637963175</v>
      </c>
      <c r="R893" s="113">
        <f t="shared" si="94"/>
        <v>0.54867321318016093</v>
      </c>
      <c r="S893" s="113">
        <f t="shared" si="95"/>
        <v>0.65384615384615385</v>
      </c>
      <c r="T893" s="113">
        <f t="shared" si="96"/>
        <v>0</v>
      </c>
      <c r="U893" s="113">
        <f t="shared" si="97"/>
        <v>0.4008397890087716</v>
      </c>
    </row>
    <row r="894" spans="1:21" x14ac:dyDescent="0.45">
      <c r="A894" s="95">
        <v>45454</v>
      </c>
      <c r="B894" s="96">
        <v>9303.68</v>
      </c>
      <c r="C894" s="7">
        <v>5104.68</v>
      </c>
      <c r="D894" s="7">
        <f t="shared" si="92"/>
        <v>4199</v>
      </c>
      <c r="E894" s="97">
        <v>2600</v>
      </c>
      <c r="F894" s="7">
        <v>1700</v>
      </c>
      <c r="G894" s="7">
        <f t="shared" si="93"/>
        <v>900</v>
      </c>
      <c r="H894" s="98">
        <v>400</v>
      </c>
      <c r="I894" s="7"/>
      <c r="J894" s="7">
        <f t="shared" si="99"/>
        <v>400</v>
      </c>
      <c r="K894" s="99">
        <f t="shared" si="98"/>
        <v>12303.68</v>
      </c>
      <c r="L894" s="7">
        <v>1350</v>
      </c>
      <c r="M894" s="7">
        <v>900</v>
      </c>
      <c r="N894" s="7">
        <v>0</v>
      </c>
      <c r="O894" s="7">
        <v>0</v>
      </c>
      <c r="P894" s="7">
        <v>8002.9790836136808</v>
      </c>
      <c r="Q894" s="7">
        <v>1085.7400834463178</v>
      </c>
      <c r="R894" s="113">
        <f t="shared" si="94"/>
        <v>0.54867321318016093</v>
      </c>
      <c r="S894" s="113">
        <f t="shared" si="95"/>
        <v>0.65384615384615385</v>
      </c>
      <c r="T894" s="113">
        <f t="shared" si="96"/>
        <v>0</v>
      </c>
      <c r="U894" s="113">
        <f t="shared" si="97"/>
        <v>0.4008397890087716</v>
      </c>
    </row>
    <row r="895" spans="1:21" x14ac:dyDescent="0.45">
      <c r="A895" s="95">
        <v>45455</v>
      </c>
      <c r="B895" s="96">
        <v>9303.68</v>
      </c>
      <c r="C895" s="7">
        <v>5104.68</v>
      </c>
      <c r="D895" s="7">
        <f t="shared" si="92"/>
        <v>4199</v>
      </c>
      <c r="E895" s="97">
        <v>2600</v>
      </c>
      <c r="F895" s="7">
        <v>1700</v>
      </c>
      <c r="G895" s="7">
        <f t="shared" si="93"/>
        <v>900</v>
      </c>
      <c r="H895" s="98">
        <v>400</v>
      </c>
      <c r="I895" s="7"/>
      <c r="J895" s="7">
        <f t="shared" si="99"/>
        <v>400</v>
      </c>
      <c r="K895" s="99">
        <f t="shared" si="98"/>
        <v>12303.68</v>
      </c>
      <c r="L895" s="7">
        <v>600</v>
      </c>
      <c r="M895" s="7">
        <v>950</v>
      </c>
      <c r="N895" s="7">
        <v>0</v>
      </c>
      <c r="O895" s="7">
        <v>0</v>
      </c>
      <c r="P895" s="7">
        <v>8002.9790836136808</v>
      </c>
      <c r="Q895" s="7">
        <v>1877.9045031463174</v>
      </c>
      <c r="R895" s="113">
        <f t="shared" si="94"/>
        <v>0.54867321318016093</v>
      </c>
      <c r="S895" s="113">
        <f t="shared" si="95"/>
        <v>0.65384615384615385</v>
      </c>
      <c r="T895" s="113">
        <f t="shared" si="96"/>
        <v>0</v>
      </c>
      <c r="U895" s="113">
        <f t="shared" si="97"/>
        <v>0.4008397890087716</v>
      </c>
    </row>
    <row r="896" spans="1:21" x14ac:dyDescent="0.45">
      <c r="A896" s="95">
        <v>45456</v>
      </c>
      <c r="B896" s="96">
        <v>9360.08</v>
      </c>
      <c r="C896" s="7">
        <v>5161.08</v>
      </c>
      <c r="D896" s="7">
        <f t="shared" si="92"/>
        <v>4199</v>
      </c>
      <c r="E896" s="97">
        <v>2600</v>
      </c>
      <c r="F896" s="7">
        <v>1700</v>
      </c>
      <c r="G896" s="7">
        <f t="shared" si="93"/>
        <v>900</v>
      </c>
      <c r="H896" s="98">
        <v>400</v>
      </c>
      <c r="I896" s="7"/>
      <c r="J896" s="7">
        <f t="shared" si="99"/>
        <v>400</v>
      </c>
      <c r="K896" s="99">
        <f t="shared" si="98"/>
        <v>12360.08</v>
      </c>
      <c r="L896" s="7">
        <v>3600</v>
      </c>
      <c r="M896" s="7">
        <v>4100</v>
      </c>
      <c r="N896" s="7">
        <v>0</v>
      </c>
      <c r="O896" s="7">
        <v>0</v>
      </c>
      <c r="P896" s="7">
        <v>8002.9790836136808</v>
      </c>
      <c r="Q896" s="7">
        <v>1416.2902075263182</v>
      </c>
      <c r="R896" s="113">
        <f t="shared" si="94"/>
        <v>0.55139272313911847</v>
      </c>
      <c r="S896" s="113">
        <f t="shared" si="95"/>
        <v>0.65384615384615385</v>
      </c>
      <c r="T896" s="113">
        <f t="shared" si="96"/>
        <v>0</v>
      </c>
      <c r="U896" s="113">
        <f t="shared" si="97"/>
        <v>0.40174629232842413</v>
      </c>
    </row>
    <row r="897" spans="1:21" x14ac:dyDescent="0.45">
      <c r="A897" s="95">
        <v>45457</v>
      </c>
      <c r="B897" s="96">
        <v>9360.08</v>
      </c>
      <c r="C897" s="7">
        <v>5161.08</v>
      </c>
      <c r="D897" s="7">
        <f t="shared" si="92"/>
        <v>4199</v>
      </c>
      <c r="E897" s="97">
        <v>2600</v>
      </c>
      <c r="F897" s="7">
        <v>1700</v>
      </c>
      <c r="G897" s="7">
        <f t="shared" si="93"/>
        <v>900</v>
      </c>
      <c r="H897" s="98">
        <v>400</v>
      </c>
      <c r="I897" s="7"/>
      <c r="J897" s="7">
        <f t="shared" si="99"/>
        <v>400</v>
      </c>
      <c r="K897" s="99">
        <f t="shared" si="98"/>
        <v>12360.08</v>
      </c>
      <c r="L897" s="7">
        <v>300</v>
      </c>
      <c r="M897" s="7">
        <v>200</v>
      </c>
      <c r="N897" s="7">
        <v>0</v>
      </c>
      <c r="O897" s="7">
        <v>0</v>
      </c>
      <c r="P897" s="7">
        <v>8002.9790836136808</v>
      </c>
      <c r="Q897" s="7">
        <v>1633.9603534063178</v>
      </c>
      <c r="R897" s="113">
        <f t="shared" si="94"/>
        <v>0.55139272313911847</v>
      </c>
      <c r="S897" s="113">
        <f t="shared" si="95"/>
        <v>0.65384615384615385</v>
      </c>
      <c r="T897" s="113">
        <f t="shared" si="96"/>
        <v>0</v>
      </c>
      <c r="U897" s="113">
        <f t="shared" si="97"/>
        <v>0.40174629232842413</v>
      </c>
    </row>
    <row r="898" spans="1:21" x14ac:dyDescent="0.45">
      <c r="A898" s="95">
        <v>45458</v>
      </c>
      <c r="B898" s="96">
        <v>9360.08</v>
      </c>
      <c r="C898" s="7">
        <v>5161.08</v>
      </c>
      <c r="D898" s="7">
        <f t="shared" ref="D898:D961" si="100">B898-C898</f>
        <v>4199</v>
      </c>
      <c r="E898" s="97">
        <v>2600</v>
      </c>
      <c r="F898" s="7">
        <v>1700</v>
      </c>
      <c r="G898" s="7">
        <f t="shared" ref="G898:G961" si="101">E898-F898</f>
        <v>900</v>
      </c>
      <c r="H898" s="98">
        <v>400</v>
      </c>
      <c r="I898" s="7"/>
      <c r="J898" s="7">
        <f t="shared" si="99"/>
        <v>400</v>
      </c>
      <c r="K898" s="99">
        <f t="shared" si="98"/>
        <v>12360.08</v>
      </c>
      <c r="L898" s="7">
        <v>300</v>
      </c>
      <c r="M898" s="7">
        <v>200</v>
      </c>
      <c r="N898" s="7">
        <v>0</v>
      </c>
      <c r="O898" s="7">
        <v>0</v>
      </c>
      <c r="P898" s="7">
        <v>8002.9790836136808</v>
      </c>
      <c r="Q898" s="7">
        <v>1633.9603534063178</v>
      </c>
      <c r="R898" s="113">
        <f t="shared" si="94"/>
        <v>0.55139272313911847</v>
      </c>
      <c r="S898" s="113">
        <f t="shared" si="95"/>
        <v>0.65384615384615385</v>
      </c>
      <c r="T898" s="113">
        <f t="shared" si="96"/>
        <v>0</v>
      </c>
      <c r="U898" s="113">
        <f t="shared" si="97"/>
        <v>0.40174629232842413</v>
      </c>
    </row>
    <row r="899" spans="1:21" x14ac:dyDescent="0.45">
      <c r="A899" s="95">
        <v>45459</v>
      </c>
      <c r="B899" s="96">
        <v>9360.08</v>
      </c>
      <c r="C899" s="7">
        <v>5161.08</v>
      </c>
      <c r="D899" s="7">
        <f t="shared" si="100"/>
        <v>4199</v>
      </c>
      <c r="E899" s="97">
        <v>2600</v>
      </c>
      <c r="F899" s="7">
        <v>1700</v>
      </c>
      <c r="G899" s="7">
        <f t="shared" si="101"/>
        <v>900</v>
      </c>
      <c r="H899" s="98">
        <v>400</v>
      </c>
      <c r="I899" s="7"/>
      <c r="J899" s="7">
        <f t="shared" si="99"/>
        <v>400</v>
      </c>
      <c r="K899" s="99">
        <f t="shared" si="98"/>
        <v>12360.08</v>
      </c>
      <c r="L899" s="7">
        <v>300</v>
      </c>
      <c r="M899" s="7">
        <v>200</v>
      </c>
      <c r="N899" s="7">
        <v>0</v>
      </c>
      <c r="O899" s="7">
        <v>0</v>
      </c>
      <c r="P899" s="7">
        <v>8002.9790836136808</v>
      </c>
      <c r="Q899" s="7">
        <v>1633.9603534063178</v>
      </c>
      <c r="R899" s="113">
        <f t="shared" ref="R899:R962" si="102">C899/B899</f>
        <v>0.55139272313911847</v>
      </c>
      <c r="S899" s="113">
        <f t="shared" ref="S899:S962" si="103">F899/E899</f>
        <v>0.65384615384615385</v>
      </c>
      <c r="T899" s="113">
        <f t="shared" ref="T899:T962" si="104">IF(H899=0,0,I899/H899)</f>
        <v>0</v>
      </c>
      <c r="U899" s="113">
        <f t="shared" ref="U899:U962" si="105">AVERAGE(R899:T899)</f>
        <v>0.40174629232842413</v>
      </c>
    </row>
    <row r="900" spans="1:21" x14ac:dyDescent="0.45">
      <c r="A900" s="95">
        <v>45460</v>
      </c>
      <c r="B900" s="96">
        <v>9360.08</v>
      </c>
      <c r="C900" s="7">
        <v>5161.08</v>
      </c>
      <c r="D900" s="7">
        <f t="shared" si="100"/>
        <v>4199</v>
      </c>
      <c r="E900" s="97">
        <v>2600</v>
      </c>
      <c r="F900" s="7">
        <v>1700</v>
      </c>
      <c r="G900" s="7">
        <f t="shared" si="101"/>
        <v>900</v>
      </c>
      <c r="H900" s="98">
        <v>400</v>
      </c>
      <c r="I900" s="7"/>
      <c r="J900" s="7">
        <f t="shared" si="99"/>
        <v>400</v>
      </c>
      <c r="K900" s="99">
        <f t="shared" ref="K900:K963" si="106">B900+E900+H900</f>
        <v>12360.08</v>
      </c>
      <c r="L900" s="7">
        <v>300</v>
      </c>
      <c r="M900" s="7">
        <v>200</v>
      </c>
      <c r="N900" s="7">
        <v>0</v>
      </c>
      <c r="O900" s="7">
        <v>0</v>
      </c>
      <c r="P900" s="7">
        <v>8002.9790836136808</v>
      </c>
      <c r="Q900" s="7">
        <v>1633.9603534063178</v>
      </c>
      <c r="R900" s="113">
        <f t="shared" si="102"/>
        <v>0.55139272313911847</v>
      </c>
      <c r="S900" s="113">
        <f t="shared" si="103"/>
        <v>0.65384615384615385</v>
      </c>
      <c r="T900" s="113">
        <f t="shared" si="104"/>
        <v>0</v>
      </c>
      <c r="U900" s="113">
        <f t="shared" si="105"/>
        <v>0.40174629232842413</v>
      </c>
    </row>
    <row r="901" spans="1:21" x14ac:dyDescent="0.45">
      <c r="A901" s="95">
        <v>45461</v>
      </c>
      <c r="B901" s="96">
        <v>9360.08</v>
      </c>
      <c r="C901" s="7">
        <v>5161.08</v>
      </c>
      <c r="D901" s="7">
        <f t="shared" si="100"/>
        <v>4199</v>
      </c>
      <c r="E901" s="97">
        <v>2600</v>
      </c>
      <c r="F901" s="7">
        <v>1700</v>
      </c>
      <c r="G901" s="7">
        <f t="shared" si="101"/>
        <v>900</v>
      </c>
      <c r="H901" s="98">
        <v>400</v>
      </c>
      <c r="I901" s="7"/>
      <c r="J901" s="7">
        <f t="shared" si="99"/>
        <v>400</v>
      </c>
      <c r="K901" s="99">
        <f t="shared" si="106"/>
        <v>12360.08</v>
      </c>
      <c r="L901" s="7">
        <v>300</v>
      </c>
      <c r="M901" s="7">
        <v>200</v>
      </c>
      <c r="N901" s="7">
        <v>0</v>
      </c>
      <c r="O901" s="7">
        <v>0</v>
      </c>
      <c r="P901" s="7">
        <v>8002.9790836136808</v>
      </c>
      <c r="Q901" s="7">
        <v>1633.9603534063178</v>
      </c>
      <c r="R901" s="113">
        <f t="shared" si="102"/>
        <v>0.55139272313911847</v>
      </c>
      <c r="S901" s="113">
        <f t="shared" si="103"/>
        <v>0.65384615384615385</v>
      </c>
      <c r="T901" s="113">
        <f t="shared" si="104"/>
        <v>0</v>
      </c>
      <c r="U901" s="113">
        <f t="shared" si="105"/>
        <v>0.40174629232842413</v>
      </c>
    </row>
    <row r="902" spans="1:21" x14ac:dyDescent="0.45">
      <c r="A902" s="95">
        <v>45462</v>
      </c>
      <c r="B902" s="96">
        <v>9360.08</v>
      </c>
      <c r="C902" s="7">
        <v>5161.08</v>
      </c>
      <c r="D902" s="7">
        <f t="shared" si="100"/>
        <v>4199</v>
      </c>
      <c r="E902" s="97">
        <v>2600</v>
      </c>
      <c r="F902" s="7">
        <v>1700</v>
      </c>
      <c r="G902" s="7">
        <f t="shared" si="101"/>
        <v>900</v>
      </c>
      <c r="H902" s="98">
        <v>400</v>
      </c>
      <c r="I902" s="7"/>
      <c r="J902" s="7">
        <f t="shared" si="99"/>
        <v>400</v>
      </c>
      <c r="K902" s="99">
        <f t="shared" si="106"/>
        <v>12360.08</v>
      </c>
      <c r="L902" s="7">
        <v>300</v>
      </c>
      <c r="M902" s="7">
        <v>200</v>
      </c>
      <c r="N902" s="7">
        <v>0</v>
      </c>
      <c r="O902" s="7">
        <v>0</v>
      </c>
      <c r="P902" s="7">
        <v>8002.9790836136808</v>
      </c>
      <c r="Q902" s="7">
        <v>1592.224705056318</v>
      </c>
      <c r="R902" s="113">
        <f t="shared" si="102"/>
        <v>0.55139272313911847</v>
      </c>
      <c r="S902" s="113">
        <f t="shared" si="103"/>
        <v>0.65384615384615385</v>
      </c>
      <c r="T902" s="113">
        <f t="shared" si="104"/>
        <v>0</v>
      </c>
      <c r="U902" s="113">
        <f t="shared" si="105"/>
        <v>0.40174629232842413</v>
      </c>
    </row>
    <row r="903" spans="1:21" x14ac:dyDescent="0.45">
      <c r="A903" s="95">
        <v>45463</v>
      </c>
      <c r="B903" s="96">
        <v>8975.4</v>
      </c>
      <c r="C903" s="7">
        <v>4776.3999999999996</v>
      </c>
      <c r="D903" s="7">
        <f t="shared" si="100"/>
        <v>4199</v>
      </c>
      <c r="E903" s="97">
        <v>2600</v>
      </c>
      <c r="F903" s="7">
        <v>1700</v>
      </c>
      <c r="G903" s="7">
        <f t="shared" si="101"/>
        <v>900</v>
      </c>
      <c r="H903" s="98">
        <v>400</v>
      </c>
      <c r="I903" s="7"/>
      <c r="J903" s="7">
        <f t="shared" si="99"/>
        <v>400</v>
      </c>
      <c r="K903" s="99">
        <f t="shared" si="106"/>
        <v>11975.4</v>
      </c>
      <c r="L903" s="7">
        <v>3200</v>
      </c>
      <c r="M903" s="7">
        <v>4750</v>
      </c>
      <c r="N903" s="7">
        <v>0</v>
      </c>
      <c r="O903" s="7">
        <v>0</v>
      </c>
      <c r="P903" s="7">
        <v>8002.9790836136808</v>
      </c>
      <c r="Q903" s="7">
        <v>2086.1322470263176</v>
      </c>
      <c r="R903" s="113">
        <f t="shared" si="102"/>
        <v>0.53216569735053587</v>
      </c>
      <c r="S903" s="113">
        <f t="shared" si="103"/>
        <v>0.65384615384615385</v>
      </c>
      <c r="T903" s="113">
        <f t="shared" si="104"/>
        <v>0</v>
      </c>
      <c r="U903" s="113">
        <f t="shared" si="105"/>
        <v>0.39533728373222993</v>
      </c>
    </row>
    <row r="904" spans="1:21" x14ac:dyDescent="0.45">
      <c r="A904" s="95">
        <v>45464</v>
      </c>
      <c r="B904" s="96">
        <v>8975.4</v>
      </c>
      <c r="C904" s="7">
        <v>4776.3999999999996</v>
      </c>
      <c r="D904" s="7">
        <f t="shared" si="100"/>
        <v>4199</v>
      </c>
      <c r="E904" s="97">
        <v>2600</v>
      </c>
      <c r="F904" s="7">
        <v>1700</v>
      </c>
      <c r="G904" s="7">
        <f t="shared" si="101"/>
        <v>900</v>
      </c>
      <c r="H904" s="98">
        <v>400</v>
      </c>
      <c r="I904" s="7"/>
      <c r="J904" s="7">
        <f t="shared" si="99"/>
        <v>400</v>
      </c>
      <c r="K904" s="99">
        <f t="shared" si="106"/>
        <v>11975.4</v>
      </c>
      <c r="L904" s="7">
        <v>3200</v>
      </c>
      <c r="M904" s="7">
        <v>4750</v>
      </c>
      <c r="N904" s="7">
        <v>0</v>
      </c>
      <c r="O904" s="7">
        <v>0</v>
      </c>
      <c r="P904" s="7">
        <v>8002.9790836136808</v>
      </c>
      <c r="Q904" s="7">
        <v>2465.7047481163168</v>
      </c>
      <c r="R904" s="113">
        <f t="shared" si="102"/>
        <v>0.53216569735053587</v>
      </c>
      <c r="S904" s="113">
        <f t="shared" si="103"/>
        <v>0.65384615384615385</v>
      </c>
      <c r="T904" s="113">
        <f t="shared" si="104"/>
        <v>0</v>
      </c>
      <c r="U904" s="113">
        <f t="shared" si="105"/>
        <v>0.39533728373222993</v>
      </c>
    </row>
    <row r="905" spans="1:21" x14ac:dyDescent="0.45">
      <c r="A905" s="95">
        <v>45465</v>
      </c>
      <c r="B905" s="96">
        <v>8975.4</v>
      </c>
      <c r="C905" s="7">
        <v>4776.3999999999996</v>
      </c>
      <c r="D905" s="7">
        <f t="shared" si="100"/>
        <v>4199</v>
      </c>
      <c r="E905" s="97">
        <v>2600</v>
      </c>
      <c r="F905" s="7">
        <v>1700</v>
      </c>
      <c r="G905" s="7">
        <f t="shared" si="101"/>
        <v>900</v>
      </c>
      <c r="H905" s="98">
        <v>400</v>
      </c>
      <c r="I905" s="7"/>
      <c r="J905" s="7">
        <f t="shared" si="99"/>
        <v>400</v>
      </c>
      <c r="K905" s="99">
        <f t="shared" si="106"/>
        <v>11975.4</v>
      </c>
      <c r="L905" s="7">
        <v>3200</v>
      </c>
      <c r="M905" s="7">
        <v>4750</v>
      </c>
      <c r="N905" s="7">
        <v>0</v>
      </c>
      <c r="O905" s="7">
        <v>0</v>
      </c>
      <c r="P905" s="7">
        <v>8002.9790836136808</v>
      </c>
      <c r="Q905" s="7">
        <v>2465.7047481163168</v>
      </c>
      <c r="R905" s="113">
        <f t="shared" si="102"/>
        <v>0.53216569735053587</v>
      </c>
      <c r="S905" s="113">
        <f t="shared" si="103"/>
        <v>0.65384615384615385</v>
      </c>
      <c r="T905" s="113">
        <f t="shared" si="104"/>
        <v>0</v>
      </c>
      <c r="U905" s="113">
        <f t="shared" si="105"/>
        <v>0.39533728373222993</v>
      </c>
    </row>
    <row r="906" spans="1:21" x14ac:dyDescent="0.45">
      <c r="A906" s="95">
        <v>45466</v>
      </c>
      <c r="B906" s="96">
        <v>8975.4</v>
      </c>
      <c r="C906" s="7">
        <v>4776.3999999999996</v>
      </c>
      <c r="D906" s="7">
        <f t="shared" si="100"/>
        <v>4199</v>
      </c>
      <c r="E906" s="97">
        <v>2600</v>
      </c>
      <c r="F906" s="7">
        <v>1700</v>
      </c>
      <c r="G906" s="7">
        <f t="shared" si="101"/>
        <v>900</v>
      </c>
      <c r="H906" s="98">
        <v>400</v>
      </c>
      <c r="I906" s="7"/>
      <c r="J906" s="7">
        <f t="shared" ref="J906:J969" si="107">H906-I906</f>
        <v>400</v>
      </c>
      <c r="K906" s="99">
        <f t="shared" si="106"/>
        <v>11975.4</v>
      </c>
      <c r="L906" s="7">
        <v>3200</v>
      </c>
      <c r="M906" s="7">
        <v>4750</v>
      </c>
      <c r="N906" s="7">
        <v>0</v>
      </c>
      <c r="O906" s="7">
        <v>0</v>
      </c>
      <c r="P906" s="7">
        <v>8002.9790836136808</v>
      </c>
      <c r="Q906" s="7">
        <v>2465.7047481163168</v>
      </c>
      <c r="R906" s="113">
        <f t="shared" si="102"/>
        <v>0.53216569735053587</v>
      </c>
      <c r="S906" s="113">
        <f t="shared" si="103"/>
        <v>0.65384615384615385</v>
      </c>
      <c r="T906" s="113">
        <f t="shared" si="104"/>
        <v>0</v>
      </c>
      <c r="U906" s="113">
        <f t="shared" si="105"/>
        <v>0.39533728373222993</v>
      </c>
    </row>
    <row r="907" spans="1:21" x14ac:dyDescent="0.45">
      <c r="A907" s="95">
        <v>45467</v>
      </c>
      <c r="B907" s="96">
        <v>8975.4</v>
      </c>
      <c r="C907" s="7">
        <v>4776.3999999999996</v>
      </c>
      <c r="D907" s="7">
        <f t="shared" si="100"/>
        <v>4199</v>
      </c>
      <c r="E907" s="97">
        <v>2600</v>
      </c>
      <c r="F907" s="7">
        <v>1700</v>
      </c>
      <c r="G907" s="7">
        <f t="shared" si="101"/>
        <v>900</v>
      </c>
      <c r="H907" s="98">
        <v>400</v>
      </c>
      <c r="I907" s="7"/>
      <c r="J907" s="7">
        <f t="shared" si="107"/>
        <v>400</v>
      </c>
      <c r="K907" s="99">
        <f t="shared" si="106"/>
        <v>11975.4</v>
      </c>
      <c r="L907" s="7">
        <v>800</v>
      </c>
      <c r="M907" s="7">
        <v>350</v>
      </c>
      <c r="N907" s="7">
        <v>0</v>
      </c>
      <c r="O907" s="7">
        <v>0</v>
      </c>
      <c r="P907" s="7">
        <v>8002.9790836136808</v>
      </c>
      <c r="Q907" s="7">
        <v>2249.3823215863185</v>
      </c>
      <c r="R907" s="113">
        <f t="shared" si="102"/>
        <v>0.53216569735053587</v>
      </c>
      <c r="S907" s="113">
        <f t="shared" si="103"/>
        <v>0.65384615384615385</v>
      </c>
      <c r="T907" s="113">
        <f t="shared" si="104"/>
        <v>0</v>
      </c>
      <c r="U907" s="113">
        <f t="shared" si="105"/>
        <v>0.39533728373222993</v>
      </c>
    </row>
    <row r="908" spans="1:21" x14ac:dyDescent="0.45">
      <c r="A908" s="95">
        <v>45468</v>
      </c>
      <c r="B908" s="96">
        <v>8975.4</v>
      </c>
      <c r="C908" s="7">
        <v>4776.3999999999996</v>
      </c>
      <c r="D908" s="7">
        <f t="shared" si="100"/>
        <v>4199</v>
      </c>
      <c r="E908" s="97">
        <v>2000</v>
      </c>
      <c r="F908" s="7">
        <v>1700</v>
      </c>
      <c r="G908" s="7">
        <f t="shared" si="101"/>
        <v>300</v>
      </c>
      <c r="H908" s="98">
        <v>400</v>
      </c>
      <c r="I908" s="7"/>
      <c r="J908" s="7">
        <f t="shared" si="107"/>
        <v>400</v>
      </c>
      <c r="K908" s="99">
        <f t="shared" si="106"/>
        <v>11375.4</v>
      </c>
      <c r="L908" s="7">
        <v>800</v>
      </c>
      <c r="M908" s="7">
        <v>350</v>
      </c>
      <c r="N908" s="7">
        <v>0</v>
      </c>
      <c r="O908" s="7">
        <v>0</v>
      </c>
      <c r="P908" s="7">
        <v>8002.9790836136808</v>
      </c>
      <c r="Q908" s="7">
        <v>2546.6214960563175</v>
      </c>
      <c r="R908" s="113">
        <f t="shared" si="102"/>
        <v>0.53216569735053587</v>
      </c>
      <c r="S908" s="113">
        <f t="shared" si="103"/>
        <v>0.85</v>
      </c>
      <c r="T908" s="113">
        <f t="shared" si="104"/>
        <v>0</v>
      </c>
      <c r="U908" s="113">
        <f t="shared" si="105"/>
        <v>0.4607218991168453</v>
      </c>
    </row>
    <row r="909" spans="1:21" x14ac:dyDescent="0.45">
      <c r="A909" s="95">
        <v>45469</v>
      </c>
      <c r="B909" s="96">
        <v>8975.4</v>
      </c>
      <c r="C909" s="7">
        <v>4776.3999999999996</v>
      </c>
      <c r="D909" s="7">
        <f t="shared" si="100"/>
        <v>4199</v>
      </c>
      <c r="E909" s="97">
        <v>2000</v>
      </c>
      <c r="F909" s="7">
        <v>1700</v>
      </c>
      <c r="G909" s="7">
        <f t="shared" si="101"/>
        <v>300</v>
      </c>
      <c r="H909" s="98">
        <v>400</v>
      </c>
      <c r="I909" s="7"/>
      <c r="J909" s="7">
        <f t="shared" si="107"/>
        <v>400</v>
      </c>
      <c r="K909" s="99">
        <f t="shared" si="106"/>
        <v>11375.4</v>
      </c>
      <c r="L909" s="7">
        <v>800</v>
      </c>
      <c r="M909" s="7">
        <v>350</v>
      </c>
      <c r="N909" s="7">
        <v>0</v>
      </c>
      <c r="O909" s="7">
        <v>0</v>
      </c>
      <c r="P909" s="7">
        <v>8002.9790836136808</v>
      </c>
      <c r="Q909" s="7">
        <v>4395.2439101663176</v>
      </c>
      <c r="R909" s="113">
        <f t="shared" si="102"/>
        <v>0.53216569735053587</v>
      </c>
      <c r="S909" s="113">
        <f t="shared" si="103"/>
        <v>0.85</v>
      </c>
      <c r="T909" s="113">
        <f t="shared" si="104"/>
        <v>0</v>
      </c>
      <c r="U909" s="113">
        <f t="shared" si="105"/>
        <v>0.4607218991168453</v>
      </c>
    </row>
    <row r="910" spans="1:21" x14ac:dyDescent="0.45">
      <c r="A910" s="95">
        <v>45470</v>
      </c>
      <c r="B910" s="96">
        <v>9055.4</v>
      </c>
      <c r="C910" s="7">
        <v>4916.3999999999996</v>
      </c>
      <c r="D910" s="7">
        <f t="shared" si="100"/>
        <v>4139</v>
      </c>
      <c r="E910" s="97">
        <v>2600</v>
      </c>
      <c r="F910" s="7">
        <v>1700</v>
      </c>
      <c r="G910" s="7">
        <f t="shared" si="101"/>
        <v>900</v>
      </c>
      <c r="H910" s="98">
        <v>900</v>
      </c>
      <c r="I910" s="7">
        <v>500</v>
      </c>
      <c r="J910" s="7">
        <f t="shared" si="107"/>
        <v>400</v>
      </c>
      <c r="K910" s="99">
        <f t="shared" si="106"/>
        <v>12555.4</v>
      </c>
      <c r="L910" s="7">
        <v>3582.3</v>
      </c>
      <c r="M910" s="7">
        <v>3150</v>
      </c>
      <c r="N910" s="7">
        <v>1200</v>
      </c>
      <c r="O910" s="7">
        <v>0</v>
      </c>
      <c r="P910" s="7">
        <v>8002.9790836136808</v>
      </c>
      <c r="Q910" s="7">
        <v>1575.8531247463172</v>
      </c>
      <c r="R910" s="113">
        <f t="shared" si="102"/>
        <v>0.54292466373655501</v>
      </c>
      <c r="S910" s="113">
        <f t="shared" si="103"/>
        <v>0.65384615384615385</v>
      </c>
      <c r="T910" s="113">
        <f t="shared" si="104"/>
        <v>0.55555555555555558</v>
      </c>
      <c r="U910" s="113">
        <f t="shared" si="105"/>
        <v>0.58410879104608815</v>
      </c>
    </row>
    <row r="911" spans="1:21" x14ac:dyDescent="0.45">
      <c r="A911" s="95">
        <v>45471</v>
      </c>
      <c r="B911" s="96">
        <v>9055.4</v>
      </c>
      <c r="C911" s="7">
        <v>4916.3999999999996</v>
      </c>
      <c r="D911" s="7">
        <f t="shared" si="100"/>
        <v>4139</v>
      </c>
      <c r="E911" s="97">
        <v>2600</v>
      </c>
      <c r="F911" s="7">
        <v>1700</v>
      </c>
      <c r="G911" s="7">
        <f t="shared" si="101"/>
        <v>900</v>
      </c>
      <c r="H911" s="98">
        <v>900</v>
      </c>
      <c r="I911" s="7">
        <v>500</v>
      </c>
      <c r="J911" s="7">
        <f t="shared" si="107"/>
        <v>400</v>
      </c>
      <c r="K911" s="99">
        <f t="shared" si="106"/>
        <v>12555.4</v>
      </c>
      <c r="L911" s="7">
        <v>3582.3</v>
      </c>
      <c r="M911" s="7">
        <v>3150</v>
      </c>
      <c r="N911" s="7">
        <v>1900</v>
      </c>
      <c r="O911" s="7">
        <v>0</v>
      </c>
      <c r="P911" s="7">
        <v>8002.9790836136808</v>
      </c>
      <c r="Q911" s="7">
        <v>1109.1811205263175</v>
      </c>
      <c r="R911" s="113">
        <f t="shared" si="102"/>
        <v>0.54292466373655501</v>
      </c>
      <c r="S911" s="113">
        <f t="shared" si="103"/>
        <v>0.65384615384615385</v>
      </c>
      <c r="T911" s="113">
        <f t="shared" si="104"/>
        <v>0.55555555555555558</v>
      </c>
      <c r="U911" s="113">
        <f t="shared" si="105"/>
        <v>0.58410879104608815</v>
      </c>
    </row>
    <row r="912" spans="1:21" x14ac:dyDescent="0.45">
      <c r="A912" s="95">
        <v>45472</v>
      </c>
      <c r="B912" s="96">
        <v>9055.4</v>
      </c>
      <c r="C912" s="7">
        <v>4916.3999999999996</v>
      </c>
      <c r="D912" s="7">
        <f t="shared" si="100"/>
        <v>4139</v>
      </c>
      <c r="E912" s="97">
        <v>2600</v>
      </c>
      <c r="F912" s="7">
        <v>1700</v>
      </c>
      <c r="G912" s="7">
        <f t="shared" si="101"/>
        <v>900</v>
      </c>
      <c r="H912" s="98">
        <v>900</v>
      </c>
      <c r="I912" s="7">
        <v>500</v>
      </c>
      <c r="J912" s="7">
        <f t="shared" si="107"/>
        <v>400</v>
      </c>
      <c r="K912" s="99">
        <f t="shared" si="106"/>
        <v>12555.4</v>
      </c>
      <c r="L912" s="7">
        <v>3582.3</v>
      </c>
      <c r="M912" s="7">
        <v>3150</v>
      </c>
      <c r="N912" s="7">
        <v>1900</v>
      </c>
      <c r="O912" s="7">
        <v>0</v>
      </c>
      <c r="P912" s="7">
        <v>8002.9790836136808</v>
      </c>
      <c r="Q912" s="7">
        <v>1109.1811205263175</v>
      </c>
      <c r="R912" s="113">
        <f t="shared" si="102"/>
        <v>0.54292466373655501</v>
      </c>
      <c r="S912" s="113">
        <f t="shared" si="103"/>
        <v>0.65384615384615385</v>
      </c>
      <c r="T912" s="113">
        <f t="shared" si="104"/>
        <v>0.55555555555555558</v>
      </c>
      <c r="U912" s="113">
        <f t="shared" si="105"/>
        <v>0.58410879104608815</v>
      </c>
    </row>
    <row r="913" spans="1:21" x14ac:dyDescent="0.45">
      <c r="A913" s="95">
        <v>45473</v>
      </c>
      <c r="B913" s="96">
        <v>9055.4</v>
      </c>
      <c r="C913" s="7">
        <v>4916.3999999999996</v>
      </c>
      <c r="D913" s="7">
        <f t="shared" si="100"/>
        <v>4139</v>
      </c>
      <c r="E913" s="97">
        <v>2600</v>
      </c>
      <c r="F913" s="7">
        <v>1700</v>
      </c>
      <c r="G913" s="7">
        <f t="shared" si="101"/>
        <v>900</v>
      </c>
      <c r="H913" s="98">
        <v>900</v>
      </c>
      <c r="I913" s="7">
        <v>500</v>
      </c>
      <c r="J913" s="7">
        <f t="shared" si="107"/>
        <v>400</v>
      </c>
      <c r="K913" s="99">
        <f t="shared" si="106"/>
        <v>12555.4</v>
      </c>
      <c r="L913" s="7">
        <v>3582.3</v>
      </c>
      <c r="M913" s="7">
        <v>3150</v>
      </c>
      <c r="N913" s="7">
        <v>1900</v>
      </c>
      <c r="O913" s="7">
        <v>0</v>
      </c>
      <c r="P913" s="7">
        <v>8002.9790836136808</v>
      </c>
      <c r="Q913" s="7">
        <v>1109.1811205263175</v>
      </c>
      <c r="R913" s="113">
        <f t="shared" si="102"/>
        <v>0.54292466373655501</v>
      </c>
      <c r="S913" s="113">
        <f t="shared" si="103"/>
        <v>0.65384615384615385</v>
      </c>
      <c r="T913" s="113">
        <f t="shared" si="104"/>
        <v>0.55555555555555558</v>
      </c>
      <c r="U913" s="113">
        <f t="shared" si="105"/>
        <v>0.58410879104608815</v>
      </c>
    </row>
    <row r="914" spans="1:21" x14ac:dyDescent="0.45">
      <c r="A914" s="95">
        <v>45474</v>
      </c>
      <c r="B914" s="96">
        <v>9055.4</v>
      </c>
      <c r="C914" s="7">
        <v>4916.3999999999996</v>
      </c>
      <c r="D914" s="7">
        <f t="shared" si="100"/>
        <v>4139</v>
      </c>
      <c r="E914" s="97">
        <v>2600</v>
      </c>
      <c r="F914" s="7">
        <v>1700</v>
      </c>
      <c r="G914" s="7">
        <f t="shared" si="101"/>
        <v>900</v>
      </c>
      <c r="H914" s="98">
        <v>900</v>
      </c>
      <c r="I914" s="7">
        <v>500</v>
      </c>
      <c r="J914" s="7">
        <f t="shared" si="107"/>
        <v>400</v>
      </c>
      <c r="K914" s="99">
        <f t="shared" si="106"/>
        <v>12555.4</v>
      </c>
      <c r="L914" s="7">
        <v>3582.3</v>
      </c>
      <c r="M914" s="7">
        <v>3150</v>
      </c>
      <c r="N914" s="7">
        <v>550</v>
      </c>
      <c r="O914" s="7">
        <v>0</v>
      </c>
      <c r="P914" s="7">
        <v>8002.9790836136808</v>
      </c>
      <c r="Q914" s="7">
        <v>1604.6216908763179</v>
      </c>
      <c r="R914" s="113">
        <f t="shared" si="102"/>
        <v>0.54292466373655501</v>
      </c>
      <c r="S914" s="113">
        <f t="shared" si="103"/>
        <v>0.65384615384615385</v>
      </c>
      <c r="T914" s="113">
        <f t="shared" si="104"/>
        <v>0.55555555555555558</v>
      </c>
      <c r="U914" s="113">
        <f t="shared" si="105"/>
        <v>0.58410879104608815</v>
      </c>
    </row>
    <row r="915" spans="1:21" x14ac:dyDescent="0.45">
      <c r="A915" s="95">
        <v>45475</v>
      </c>
      <c r="B915" s="96">
        <v>9055.4</v>
      </c>
      <c r="C915" s="7">
        <v>4916.3999999999996</v>
      </c>
      <c r="D915" s="7">
        <f t="shared" si="100"/>
        <v>4139</v>
      </c>
      <c r="E915" s="97">
        <v>2600</v>
      </c>
      <c r="F915" s="7">
        <v>1700</v>
      </c>
      <c r="G915" s="7">
        <f t="shared" si="101"/>
        <v>900</v>
      </c>
      <c r="H915" s="98">
        <v>900</v>
      </c>
      <c r="I915" s="7">
        <v>500</v>
      </c>
      <c r="J915" s="7">
        <f t="shared" si="107"/>
        <v>400</v>
      </c>
      <c r="K915" s="99">
        <f t="shared" si="106"/>
        <v>12555.4</v>
      </c>
      <c r="L915" s="7">
        <v>3582.3</v>
      </c>
      <c r="M915" s="7">
        <v>3150</v>
      </c>
      <c r="N915" s="7">
        <v>800</v>
      </c>
      <c r="O915" s="7">
        <v>0</v>
      </c>
      <c r="P915" s="7">
        <v>8002.9790836136808</v>
      </c>
      <c r="Q915" s="7">
        <v>1734.7257369663173</v>
      </c>
      <c r="R915" s="113">
        <f t="shared" si="102"/>
        <v>0.54292466373655501</v>
      </c>
      <c r="S915" s="113">
        <f t="shared" si="103"/>
        <v>0.65384615384615385</v>
      </c>
      <c r="T915" s="113">
        <f t="shared" si="104"/>
        <v>0.55555555555555558</v>
      </c>
      <c r="U915" s="113">
        <f t="shared" si="105"/>
        <v>0.58410879104608815</v>
      </c>
    </row>
    <row r="916" spans="1:21" x14ac:dyDescent="0.45">
      <c r="A916" s="95">
        <v>45476</v>
      </c>
      <c r="B916" s="96">
        <v>9055.4</v>
      </c>
      <c r="C916" s="7">
        <v>4916.3999999999996</v>
      </c>
      <c r="D916" s="7">
        <f t="shared" si="100"/>
        <v>4139</v>
      </c>
      <c r="E916" s="97">
        <v>2600</v>
      </c>
      <c r="F916" s="7">
        <v>1700</v>
      </c>
      <c r="G916" s="7">
        <f t="shared" si="101"/>
        <v>900</v>
      </c>
      <c r="H916" s="98">
        <v>900</v>
      </c>
      <c r="I916" s="7">
        <v>500</v>
      </c>
      <c r="J916" s="7">
        <f t="shared" si="107"/>
        <v>400</v>
      </c>
      <c r="K916" s="99">
        <f t="shared" si="106"/>
        <v>12555.4</v>
      </c>
      <c r="L916" s="7">
        <v>3582.3</v>
      </c>
      <c r="M916" s="7">
        <v>3150</v>
      </c>
      <c r="N916" s="7">
        <v>700</v>
      </c>
      <c r="O916" s="7">
        <v>0</v>
      </c>
      <c r="P916" s="7">
        <v>8002.9790836136808</v>
      </c>
      <c r="Q916" s="7">
        <v>1538.4517706363176</v>
      </c>
      <c r="R916" s="113">
        <f t="shared" si="102"/>
        <v>0.54292466373655501</v>
      </c>
      <c r="S916" s="113">
        <f t="shared" si="103"/>
        <v>0.65384615384615385</v>
      </c>
      <c r="T916" s="113">
        <f t="shared" si="104"/>
        <v>0.55555555555555558</v>
      </c>
      <c r="U916" s="113">
        <f t="shared" si="105"/>
        <v>0.58410879104608815</v>
      </c>
    </row>
    <row r="917" spans="1:21" x14ac:dyDescent="0.45">
      <c r="A917" s="95">
        <v>45477</v>
      </c>
      <c r="B917" s="96">
        <v>9155.4</v>
      </c>
      <c r="C917" s="7">
        <v>5016.3999999999996</v>
      </c>
      <c r="D917" s="7">
        <f t="shared" si="100"/>
        <v>4139</v>
      </c>
      <c r="E917" s="97">
        <v>2600</v>
      </c>
      <c r="F917" s="7">
        <v>1700</v>
      </c>
      <c r="G917" s="7">
        <f t="shared" si="101"/>
        <v>900</v>
      </c>
      <c r="H917" s="98">
        <v>900</v>
      </c>
      <c r="I917" s="7">
        <v>500</v>
      </c>
      <c r="J917" s="7">
        <f t="shared" si="107"/>
        <v>400</v>
      </c>
      <c r="K917" s="99">
        <f t="shared" si="106"/>
        <v>12655.4</v>
      </c>
      <c r="L917" s="7">
        <v>3300</v>
      </c>
      <c r="M917" s="7">
        <v>1800</v>
      </c>
      <c r="N917" s="7">
        <v>800</v>
      </c>
      <c r="O917" s="7">
        <v>0</v>
      </c>
      <c r="P917" s="7">
        <v>8002.9790836136808</v>
      </c>
      <c r="Q917" s="7">
        <v>4554.6504251663164</v>
      </c>
      <c r="R917" s="113">
        <f t="shared" si="102"/>
        <v>0.54791707626100439</v>
      </c>
      <c r="S917" s="113">
        <f t="shared" si="103"/>
        <v>0.65384615384615385</v>
      </c>
      <c r="T917" s="113">
        <f t="shared" si="104"/>
        <v>0.55555555555555558</v>
      </c>
      <c r="U917" s="113">
        <f t="shared" si="105"/>
        <v>0.58577292855423801</v>
      </c>
    </row>
    <row r="918" spans="1:21" x14ac:dyDescent="0.45">
      <c r="A918" s="95">
        <v>45478</v>
      </c>
      <c r="B918" s="96">
        <v>9155.4</v>
      </c>
      <c r="C918" s="7">
        <v>5016.3999999999996</v>
      </c>
      <c r="D918" s="7">
        <f t="shared" si="100"/>
        <v>4139</v>
      </c>
      <c r="E918" s="97">
        <v>2600</v>
      </c>
      <c r="F918" s="7">
        <v>1700</v>
      </c>
      <c r="G918" s="7">
        <f t="shared" si="101"/>
        <v>900</v>
      </c>
      <c r="H918" s="98">
        <v>900</v>
      </c>
      <c r="I918" s="7">
        <v>500</v>
      </c>
      <c r="J918" s="7">
        <f t="shared" si="107"/>
        <v>400</v>
      </c>
      <c r="K918" s="99">
        <f t="shared" si="106"/>
        <v>12655.4</v>
      </c>
      <c r="L918" s="7">
        <v>3300</v>
      </c>
      <c r="M918" s="7">
        <v>1800</v>
      </c>
      <c r="N918" s="7">
        <v>500</v>
      </c>
      <c r="O918" s="7">
        <v>0</v>
      </c>
      <c r="P918" s="7">
        <v>8002.9790836136808</v>
      </c>
      <c r="Q918" s="7">
        <v>4817.855320426318</v>
      </c>
      <c r="R918" s="113">
        <f t="shared" si="102"/>
        <v>0.54791707626100439</v>
      </c>
      <c r="S918" s="113">
        <f t="shared" si="103"/>
        <v>0.65384615384615385</v>
      </c>
      <c r="T918" s="113">
        <f t="shared" si="104"/>
        <v>0.55555555555555558</v>
      </c>
      <c r="U918" s="113">
        <f t="shared" si="105"/>
        <v>0.58577292855423801</v>
      </c>
    </row>
    <row r="919" spans="1:21" x14ac:dyDescent="0.45">
      <c r="A919" s="95">
        <v>45479</v>
      </c>
      <c r="B919" s="96">
        <v>9155.4</v>
      </c>
      <c r="C919" s="7">
        <v>5016.3999999999996</v>
      </c>
      <c r="D919" s="7">
        <f t="shared" si="100"/>
        <v>4139</v>
      </c>
      <c r="E919" s="97">
        <v>2600</v>
      </c>
      <c r="F919" s="7">
        <v>1700</v>
      </c>
      <c r="G919" s="7">
        <f t="shared" si="101"/>
        <v>900</v>
      </c>
      <c r="H919" s="98">
        <v>900</v>
      </c>
      <c r="I919" s="7">
        <v>500</v>
      </c>
      <c r="J919" s="7">
        <f t="shared" si="107"/>
        <v>400</v>
      </c>
      <c r="K919" s="99">
        <f t="shared" si="106"/>
        <v>12655.4</v>
      </c>
      <c r="L919" s="7">
        <v>3300</v>
      </c>
      <c r="M919" s="7">
        <v>1800</v>
      </c>
      <c r="N919" s="7">
        <v>500</v>
      </c>
      <c r="O919" s="7">
        <v>0</v>
      </c>
      <c r="P919" s="7">
        <v>8002.9790836136808</v>
      </c>
      <c r="Q919" s="7">
        <v>4817.855320426318</v>
      </c>
      <c r="R919" s="113">
        <f t="shared" si="102"/>
        <v>0.54791707626100439</v>
      </c>
      <c r="S919" s="113">
        <f t="shared" si="103"/>
        <v>0.65384615384615385</v>
      </c>
      <c r="T919" s="113">
        <f t="shared" si="104"/>
        <v>0.55555555555555558</v>
      </c>
      <c r="U919" s="113">
        <f t="shared" si="105"/>
        <v>0.58577292855423801</v>
      </c>
    </row>
    <row r="920" spans="1:21" x14ac:dyDescent="0.45">
      <c r="A920" s="95">
        <v>45480</v>
      </c>
      <c r="B920" s="96">
        <v>9155.4</v>
      </c>
      <c r="C920" s="7">
        <v>5016.3999999999996</v>
      </c>
      <c r="D920" s="7">
        <f t="shared" si="100"/>
        <v>4139</v>
      </c>
      <c r="E920" s="97">
        <v>2600</v>
      </c>
      <c r="F920" s="7">
        <v>1700</v>
      </c>
      <c r="G920" s="7">
        <f t="shared" si="101"/>
        <v>900</v>
      </c>
      <c r="H920" s="98">
        <v>900</v>
      </c>
      <c r="I920" s="7">
        <v>500</v>
      </c>
      <c r="J920" s="7">
        <f t="shared" si="107"/>
        <v>400</v>
      </c>
      <c r="K920" s="99">
        <f t="shared" si="106"/>
        <v>12655.4</v>
      </c>
      <c r="L920" s="7">
        <v>3300</v>
      </c>
      <c r="M920" s="7">
        <v>1800</v>
      </c>
      <c r="N920" s="7">
        <v>500</v>
      </c>
      <c r="O920" s="7">
        <v>0</v>
      </c>
      <c r="P920" s="7">
        <v>8002.9790836136808</v>
      </c>
      <c r="Q920" s="7">
        <v>4817.855320426318</v>
      </c>
      <c r="R920" s="113">
        <f t="shared" si="102"/>
        <v>0.54791707626100439</v>
      </c>
      <c r="S920" s="113">
        <f t="shared" si="103"/>
        <v>0.65384615384615385</v>
      </c>
      <c r="T920" s="113">
        <f t="shared" si="104"/>
        <v>0.55555555555555558</v>
      </c>
      <c r="U920" s="113">
        <f t="shared" si="105"/>
        <v>0.58577292855423801</v>
      </c>
    </row>
    <row r="921" spans="1:21" x14ac:dyDescent="0.45">
      <c r="A921" s="95">
        <v>45481</v>
      </c>
      <c r="B921" s="96">
        <v>9155.4</v>
      </c>
      <c r="C921" s="7">
        <v>5016.3999999999996</v>
      </c>
      <c r="D921" s="7">
        <f t="shared" si="100"/>
        <v>4139</v>
      </c>
      <c r="E921" s="97">
        <v>2600</v>
      </c>
      <c r="F921" s="7">
        <v>1700</v>
      </c>
      <c r="G921" s="7">
        <f t="shared" si="101"/>
        <v>900</v>
      </c>
      <c r="H921" s="98">
        <v>900</v>
      </c>
      <c r="I921" s="7">
        <v>500</v>
      </c>
      <c r="J921" s="7">
        <f t="shared" si="107"/>
        <v>400</v>
      </c>
      <c r="K921" s="99">
        <f t="shared" si="106"/>
        <v>12655.4</v>
      </c>
      <c r="L921" s="7">
        <v>3300</v>
      </c>
      <c r="M921" s="7">
        <v>1800</v>
      </c>
      <c r="N921" s="7">
        <v>500</v>
      </c>
      <c r="O921" s="7">
        <v>0</v>
      </c>
      <c r="P921" s="7">
        <v>7994.2403859329461</v>
      </c>
      <c r="Q921" s="7">
        <v>4826.5940181070546</v>
      </c>
      <c r="R921" s="113">
        <f t="shared" si="102"/>
        <v>0.54791707626100439</v>
      </c>
      <c r="S921" s="113">
        <f t="shared" si="103"/>
        <v>0.65384615384615385</v>
      </c>
      <c r="T921" s="113">
        <f t="shared" si="104"/>
        <v>0.55555555555555558</v>
      </c>
      <c r="U921" s="113">
        <f t="shared" si="105"/>
        <v>0.58577292855423801</v>
      </c>
    </row>
    <row r="922" spans="1:21" x14ac:dyDescent="0.45">
      <c r="A922" s="95">
        <v>45482</v>
      </c>
      <c r="B922" s="96">
        <v>9155.4</v>
      </c>
      <c r="C922" s="7">
        <v>5016.3999999999996</v>
      </c>
      <c r="D922" s="7">
        <f t="shared" si="100"/>
        <v>4139</v>
      </c>
      <c r="E922" s="97">
        <v>2600</v>
      </c>
      <c r="F922" s="7">
        <v>1700</v>
      </c>
      <c r="G922" s="7">
        <f t="shared" si="101"/>
        <v>900</v>
      </c>
      <c r="H922" s="98">
        <v>900</v>
      </c>
      <c r="I922" s="7">
        <v>500</v>
      </c>
      <c r="J922" s="7">
        <f t="shared" si="107"/>
        <v>400</v>
      </c>
      <c r="K922" s="99">
        <f t="shared" si="106"/>
        <v>12655.4</v>
      </c>
      <c r="L922" s="7">
        <v>3300</v>
      </c>
      <c r="M922" s="7">
        <v>3500</v>
      </c>
      <c r="N922" s="7">
        <v>900</v>
      </c>
      <c r="O922" s="7">
        <v>0</v>
      </c>
      <c r="P922" s="7">
        <v>7994.2403859329461</v>
      </c>
      <c r="Q922" s="7">
        <v>1188.0237917770539</v>
      </c>
      <c r="R922" s="113">
        <f t="shared" si="102"/>
        <v>0.54791707626100439</v>
      </c>
      <c r="S922" s="113">
        <f t="shared" si="103"/>
        <v>0.65384615384615385</v>
      </c>
      <c r="T922" s="113">
        <f t="shared" si="104"/>
        <v>0.55555555555555558</v>
      </c>
      <c r="U922" s="113">
        <f t="shared" si="105"/>
        <v>0.58577292855423801</v>
      </c>
    </row>
    <row r="923" spans="1:21" x14ac:dyDescent="0.45">
      <c r="A923" s="95">
        <v>45483</v>
      </c>
      <c r="B923" s="96">
        <v>9155.4</v>
      </c>
      <c r="C923" s="7">
        <v>5016.3999999999996</v>
      </c>
      <c r="D923" s="7">
        <f t="shared" si="100"/>
        <v>4139</v>
      </c>
      <c r="E923" s="97">
        <v>2600</v>
      </c>
      <c r="F923" s="7">
        <v>1700</v>
      </c>
      <c r="G923" s="7">
        <f t="shared" si="101"/>
        <v>900</v>
      </c>
      <c r="H923" s="98">
        <v>900</v>
      </c>
      <c r="I923" s="7">
        <v>500</v>
      </c>
      <c r="J923" s="7">
        <f t="shared" si="107"/>
        <v>400</v>
      </c>
      <c r="K923" s="99">
        <f t="shared" si="106"/>
        <v>12655.4</v>
      </c>
      <c r="L923" s="7">
        <v>3300</v>
      </c>
      <c r="M923" s="7">
        <v>3500</v>
      </c>
      <c r="N923" s="7">
        <v>900</v>
      </c>
      <c r="O923" s="7">
        <v>0</v>
      </c>
      <c r="P923" s="7">
        <v>7994.2403859329461</v>
      </c>
      <c r="Q923" s="7">
        <v>1516.5652420070537</v>
      </c>
      <c r="R923" s="113">
        <f t="shared" si="102"/>
        <v>0.54791707626100439</v>
      </c>
      <c r="S923" s="113">
        <f t="shared" si="103"/>
        <v>0.65384615384615385</v>
      </c>
      <c r="T923" s="113">
        <f t="shared" si="104"/>
        <v>0.55555555555555558</v>
      </c>
      <c r="U923" s="113">
        <f t="shared" si="105"/>
        <v>0.58577292855423801</v>
      </c>
    </row>
    <row r="924" spans="1:21" x14ac:dyDescent="0.45">
      <c r="A924" s="95">
        <v>45484</v>
      </c>
      <c r="B924" s="96">
        <v>9099</v>
      </c>
      <c r="C924" s="7">
        <v>5160</v>
      </c>
      <c r="D924" s="7">
        <f t="shared" si="100"/>
        <v>3939</v>
      </c>
      <c r="E924" s="97">
        <v>2600</v>
      </c>
      <c r="F924" s="7">
        <v>1700</v>
      </c>
      <c r="G924" s="7">
        <f t="shared" si="101"/>
        <v>900</v>
      </c>
      <c r="H924" s="98">
        <v>900</v>
      </c>
      <c r="I924" s="7">
        <v>500</v>
      </c>
      <c r="J924" s="7">
        <f t="shared" si="107"/>
        <v>400</v>
      </c>
      <c r="K924" s="99">
        <f t="shared" si="106"/>
        <v>12599</v>
      </c>
      <c r="L924" s="7">
        <v>3000</v>
      </c>
      <c r="M924" s="7">
        <v>6000</v>
      </c>
      <c r="N924" s="7">
        <v>700</v>
      </c>
      <c r="O924" s="7">
        <v>0</v>
      </c>
      <c r="P924" s="7">
        <v>7994.2403859329461</v>
      </c>
      <c r="Q924" s="7">
        <v>2495.892460187054</v>
      </c>
      <c r="R924" s="113">
        <f t="shared" si="102"/>
        <v>0.56709528519617536</v>
      </c>
      <c r="S924" s="113">
        <f t="shared" si="103"/>
        <v>0.65384615384615385</v>
      </c>
      <c r="T924" s="113">
        <f t="shared" si="104"/>
        <v>0.55555555555555558</v>
      </c>
      <c r="U924" s="113">
        <f t="shared" si="105"/>
        <v>0.59216566486596156</v>
      </c>
    </row>
    <row r="925" spans="1:21" x14ac:dyDescent="0.45">
      <c r="A925" s="95">
        <v>45485</v>
      </c>
      <c r="B925" s="96">
        <v>9099</v>
      </c>
      <c r="C925" s="7">
        <v>5160</v>
      </c>
      <c r="D925" s="7">
        <f t="shared" si="100"/>
        <v>3939</v>
      </c>
      <c r="E925" s="97">
        <v>2600</v>
      </c>
      <c r="F925" s="7">
        <v>1700</v>
      </c>
      <c r="G925" s="7">
        <f t="shared" si="101"/>
        <v>900</v>
      </c>
      <c r="H925" s="98">
        <v>900</v>
      </c>
      <c r="I925" s="7">
        <v>500</v>
      </c>
      <c r="J925" s="7">
        <f t="shared" si="107"/>
        <v>400</v>
      </c>
      <c r="K925" s="99">
        <f t="shared" si="106"/>
        <v>12599</v>
      </c>
      <c r="L925" s="7">
        <v>3000</v>
      </c>
      <c r="M925" s="7">
        <v>6000</v>
      </c>
      <c r="N925" s="7">
        <v>1500</v>
      </c>
      <c r="O925" s="7">
        <v>0</v>
      </c>
      <c r="P925" s="7">
        <v>7994.2403859329461</v>
      </c>
      <c r="Q925" s="7">
        <v>1718.433069007054</v>
      </c>
      <c r="R925" s="113">
        <f t="shared" si="102"/>
        <v>0.56709528519617536</v>
      </c>
      <c r="S925" s="113">
        <f t="shared" si="103"/>
        <v>0.65384615384615385</v>
      </c>
      <c r="T925" s="113">
        <f t="shared" si="104"/>
        <v>0.55555555555555558</v>
      </c>
      <c r="U925" s="113">
        <f t="shared" si="105"/>
        <v>0.59216566486596156</v>
      </c>
    </row>
    <row r="926" spans="1:21" x14ac:dyDescent="0.45">
      <c r="A926" s="95">
        <v>45486</v>
      </c>
      <c r="B926" s="96">
        <v>9099</v>
      </c>
      <c r="C926" s="7">
        <v>5160</v>
      </c>
      <c r="D926" s="7">
        <f t="shared" si="100"/>
        <v>3939</v>
      </c>
      <c r="E926" s="97">
        <v>2600</v>
      </c>
      <c r="F926" s="7">
        <v>1700</v>
      </c>
      <c r="G926" s="7">
        <f t="shared" si="101"/>
        <v>900</v>
      </c>
      <c r="H926" s="98">
        <v>900</v>
      </c>
      <c r="I926" s="7">
        <v>500</v>
      </c>
      <c r="J926" s="7">
        <f t="shared" si="107"/>
        <v>400</v>
      </c>
      <c r="K926" s="99">
        <f t="shared" si="106"/>
        <v>12599</v>
      </c>
      <c r="L926" s="7">
        <v>3000</v>
      </c>
      <c r="M926" s="7">
        <v>6000</v>
      </c>
      <c r="N926" s="7">
        <v>1500</v>
      </c>
      <c r="O926" s="7">
        <v>0</v>
      </c>
      <c r="P926" s="7">
        <v>7994.2403859329461</v>
      </c>
      <c r="Q926" s="7">
        <v>1718.433069007054</v>
      </c>
      <c r="R926" s="113">
        <f t="shared" si="102"/>
        <v>0.56709528519617536</v>
      </c>
      <c r="S926" s="113">
        <f t="shared" si="103"/>
        <v>0.65384615384615385</v>
      </c>
      <c r="T926" s="113">
        <f t="shared" si="104"/>
        <v>0.55555555555555558</v>
      </c>
      <c r="U926" s="113">
        <f t="shared" si="105"/>
        <v>0.59216566486596156</v>
      </c>
    </row>
    <row r="927" spans="1:21" x14ac:dyDescent="0.45">
      <c r="A927" s="95">
        <v>45487</v>
      </c>
      <c r="B927" s="96">
        <v>9099</v>
      </c>
      <c r="C927" s="7">
        <v>5160</v>
      </c>
      <c r="D927" s="7">
        <f t="shared" si="100"/>
        <v>3939</v>
      </c>
      <c r="E927" s="97">
        <v>2600</v>
      </c>
      <c r="F927" s="7">
        <v>1700</v>
      </c>
      <c r="G927" s="7">
        <f t="shared" si="101"/>
        <v>900</v>
      </c>
      <c r="H927" s="98">
        <v>900</v>
      </c>
      <c r="I927" s="7">
        <v>500</v>
      </c>
      <c r="J927" s="7">
        <f t="shared" si="107"/>
        <v>400</v>
      </c>
      <c r="K927" s="99">
        <f t="shared" si="106"/>
        <v>12599</v>
      </c>
      <c r="L927" s="7">
        <v>3000</v>
      </c>
      <c r="M927" s="7">
        <v>6000</v>
      </c>
      <c r="N927" s="7">
        <v>1500</v>
      </c>
      <c r="O927" s="7">
        <v>0</v>
      </c>
      <c r="P927" s="7">
        <v>7994.2403859329461</v>
      </c>
      <c r="Q927" s="7">
        <v>1718.433069007054</v>
      </c>
      <c r="R927" s="113">
        <f t="shared" si="102"/>
        <v>0.56709528519617536</v>
      </c>
      <c r="S927" s="113">
        <f t="shared" si="103"/>
        <v>0.65384615384615385</v>
      </c>
      <c r="T927" s="113">
        <f t="shared" si="104"/>
        <v>0.55555555555555558</v>
      </c>
      <c r="U927" s="113">
        <f t="shared" si="105"/>
        <v>0.59216566486596156</v>
      </c>
    </row>
    <row r="928" spans="1:21" x14ac:dyDescent="0.45">
      <c r="A928" s="95">
        <v>45488</v>
      </c>
      <c r="B928" s="96">
        <v>9099</v>
      </c>
      <c r="C928" s="7">
        <v>5160</v>
      </c>
      <c r="D928" s="7">
        <f t="shared" si="100"/>
        <v>3939</v>
      </c>
      <c r="E928" s="97">
        <v>2600</v>
      </c>
      <c r="F928" s="7">
        <v>1700</v>
      </c>
      <c r="G928" s="7">
        <f t="shared" si="101"/>
        <v>900</v>
      </c>
      <c r="H928" s="98">
        <v>900</v>
      </c>
      <c r="I928" s="7">
        <v>500</v>
      </c>
      <c r="J928" s="7">
        <f t="shared" si="107"/>
        <v>400</v>
      </c>
      <c r="K928" s="99">
        <f t="shared" si="106"/>
        <v>12599</v>
      </c>
      <c r="L928" s="7">
        <v>3000</v>
      </c>
      <c r="M928" s="7">
        <v>6000</v>
      </c>
      <c r="N928" s="7">
        <v>1850</v>
      </c>
      <c r="O928" s="7">
        <v>0</v>
      </c>
      <c r="P928" s="7">
        <v>7994.2403859329461</v>
      </c>
      <c r="Q928" s="7">
        <v>1349.0286269770529</v>
      </c>
      <c r="R928" s="113">
        <f t="shared" si="102"/>
        <v>0.56709528519617536</v>
      </c>
      <c r="S928" s="113">
        <f t="shared" si="103"/>
        <v>0.65384615384615385</v>
      </c>
      <c r="T928" s="113">
        <f t="shared" si="104"/>
        <v>0.55555555555555558</v>
      </c>
      <c r="U928" s="113">
        <f t="shared" si="105"/>
        <v>0.59216566486596156</v>
      </c>
    </row>
    <row r="929" spans="1:21" x14ac:dyDescent="0.45">
      <c r="A929" s="95">
        <v>45489</v>
      </c>
      <c r="B929" s="96">
        <v>9099</v>
      </c>
      <c r="C929" s="7">
        <v>5160</v>
      </c>
      <c r="D929" s="7">
        <f t="shared" si="100"/>
        <v>3939</v>
      </c>
      <c r="E929" s="97">
        <v>2600</v>
      </c>
      <c r="F929" s="7">
        <v>1700</v>
      </c>
      <c r="G929" s="7">
        <f t="shared" si="101"/>
        <v>900</v>
      </c>
      <c r="H929" s="98">
        <v>900</v>
      </c>
      <c r="I929" s="7">
        <v>500</v>
      </c>
      <c r="J929" s="7">
        <f t="shared" si="107"/>
        <v>400</v>
      </c>
      <c r="K929" s="99">
        <f t="shared" si="106"/>
        <v>12599</v>
      </c>
      <c r="L929" s="7">
        <v>3000</v>
      </c>
      <c r="M929" s="7">
        <v>6000</v>
      </c>
      <c r="N929" s="7">
        <v>1999.7982456200002</v>
      </c>
      <c r="O929" s="7">
        <v>0</v>
      </c>
      <c r="P929" s="7">
        <v>7994.2403859329461</v>
      </c>
      <c r="Q929" s="7">
        <v>1543.9662497670538</v>
      </c>
      <c r="R929" s="113">
        <f t="shared" si="102"/>
        <v>0.56709528519617536</v>
      </c>
      <c r="S929" s="113">
        <f t="shared" si="103"/>
        <v>0.65384615384615385</v>
      </c>
      <c r="T929" s="113">
        <f t="shared" si="104"/>
        <v>0.55555555555555558</v>
      </c>
      <c r="U929" s="113">
        <f t="shared" si="105"/>
        <v>0.59216566486596156</v>
      </c>
    </row>
    <row r="930" spans="1:21" x14ac:dyDescent="0.45">
      <c r="A930" s="95">
        <v>45490</v>
      </c>
      <c r="B930" s="96">
        <v>9099</v>
      </c>
      <c r="C930" s="7">
        <v>5160</v>
      </c>
      <c r="D930" s="7">
        <f t="shared" si="100"/>
        <v>3939</v>
      </c>
      <c r="E930" s="97">
        <v>2600</v>
      </c>
      <c r="F930" s="7">
        <v>1700</v>
      </c>
      <c r="G930" s="7">
        <f t="shared" si="101"/>
        <v>900</v>
      </c>
      <c r="H930" s="98">
        <v>900</v>
      </c>
      <c r="I930" s="7">
        <v>500</v>
      </c>
      <c r="J930" s="7">
        <f t="shared" si="107"/>
        <v>400</v>
      </c>
      <c r="K930" s="99">
        <f t="shared" si="106"/>
        <v>12599</v>
      </c>
      <c r="L930" s="7">
        <v>3000</v>
      </c>
      <c r="M930" s="7">
        <v>6000</v>
      </c>
      <c r="N930" s="7">
        <v>850</v>
      </c>
      <c r="O930" s="7">
        <v>0</v>
      </c>
      <c r="P930" s="7">
        <v>7994.2403859329461</v>
      </c>
      <c r="Q930" s="7">
        <v>1982.1572889970535</v>
      </c>
      <c r="R930" s="113">
        <f t="shared" si="102"/>
        <v>0.56709528519617536</v>
      </c>
      <c r="S930" s="113">
        <f t="shared" si="103"/>
        <v>0.65384615384615385</v>
      </c>
      <c r="T930" s="113">
        <f t="shared" si="104"/>
        <v>0.55555555555555558</v>
      </c>
      <c r="U930" s="113">
        <f t="shared" si="105"/>
        <v>0.59216566486596156</v>
      </c>
    </row>
    <row r="931" spans="1:21" x14ac:dyDescent="0.45">
      <c r="A931" s="95">
        <v>45491</v>
      </c>
      <c r="B931" s="96">
        <v>9342.2000000000007</v>
      </c>
      <c r="C931" s="7">
        <v>5324.2</v>
      </c>
      <c r="D931" s="7">
        <f t="shared" si="100"/>
        <v>4018.0000000000009</v>
      </c>
      <c r="E931" s="97">
        <v>2600</v>
      </c>
      <c r="F931" s="7">
        <v>1700</v>
      </c>
      <c r="G931" s="7">
        <f t="shared" si="101"/>
        <v>900</v>
      </c>
      <c r="H931" s="98">
        <v>900</v>
      </c>
      <c r="I931" s="7">
        <v>500</v>
      </c>
      <c r="J931" s="7">
        <f t="shared" si="107"/>
        <v>400</v>
      </c>
      <c r="K931" s="99">
        <f t="shared" si="106"/>
        <v>12842.2</v>
      </c>
      <c r="L931" s="7">
        <v>2100</v>
      </c>
      <c r="M931" s="7">
        <v>4780</v>
      </c>
      <c r="N931" s="7">
        <v>1100</v>
      </c>
      <c r="O931" s="7">
        <v>0</v>
      </c>
      <c r="P931" s="7">
        <v>7994.2403859329461</v>
      </c>
      <c r="Q931" s="7">
        <v>603.72381386705388</v>
      </c>
      <c r="R931" s="113">
        <f t="shared" si="102"/>
        <v>0.56990858684249956</v>
      </c>
      <c r="S931" s="113">
        <f t="shared" si="103"/>
        <v>0.65384615384615385</v>
      </c>
      <c r="T931" s="113">
        <f t="shared" si="104"/>
        <v>0.55555555555555558</v>
      </c>
      <c r="U931" s="113">
        <f t="shared" si="105"/>
        <v>0.59310343208140304</v>
      </c>
    </row>
    <row r="932" spans="1:21" x14ac:dyDescent="0.45">
      <c r="A932" s="95">
        <v>45492</v>
      </c>
      <c r="B932" s="96">
        <v>9342.2000000000007</v>
      </c>
      <c r="C932" s="7">
        <v>5324.2</v>
      </c>
      <c r="D932" s="7">
        <f t="shared" si="100"/>
        <v>4018.0000000000009</v>
      </c>
      <c r="E932" s="97">
        <v>2600</v>
      </c>
      <c r="F932" s="7">
        <v>1700</v>
      </c>
      <c r="G932" s="7">
        <f t="shared" si="101"/>
        <v>900</v>
      </c>
      <c r="H932" s="98">
        <v>900</v>
      </c>
      <c r="I932" s="7">
        <v>500</v>
      </c>
      <c r="J932" s="7">
        <f t="shared" si="107"/>
        <v>400</v>
      </c>
      <c r="K932" s="99">
        <f t="shared" si="106"/>
        <v>12842.2</v>
      </c>
      <c r="L932" s="7">
        <v>2100</v>
      </c>
      <c r="M932" s="7">
        <v>4780</v>
      </c>
      <c r="N932" s="7">
        <v>1100</v>
      </c>
      <c r="O932" s="7">
        <v>0</v>
      </c>
      <c r="P932" s="7">
        <v>7994.2403859329461</v>
      </c>
      <c r="Q932" s="7">
        <v>967.6298302170535</v>
      </c>
      <c r="R932" s="113">
        <f t="shared" si="102"/>
        <v>0.56990858684249956</v>
      </c>
      <c r="S932" s="113">
        <f t="shared" si="103"/>
        <v>0.65384615384615385</v>
      </c>
      <c r="T932" s="113">
        <f t="shared" si="104"/>
        <v>0.55555555555555558</v>
      </c>
      <c r="U932" s="113">
        <f t="shared" si="105"/>
        <v>0.59310343208140304</v>
      </c>
    </row>
    <row r="933" spans="1:21" x14ac:dyDescent="0.45">
      <c r="A933" s="95">
        <v>45493</v>
      </c>
      <c r="B933" s="96">
        <v>9342.2000000000007</v>
      </c>
      <c r="C933" s="7">
        <v>5324.2</v>
      </c>
      <c r="D933" s="7">
        <f t="shared" si="100"/>
        <v>4018.0000000000009</v>
      </c>
      <c r="E933" s="97">
        <v>2600</v>
      </c>
      <c r="F933" s="7">
        <v>1700</v>
      </c>
      <c r="G933" s="7">
        <f t="shared" si="101"/>
        <v>900</v>
      </c>
      <c r="H933" s="98">
        <v>900</v>
      </c>
      <c r="I933" s="7">
        <v>500</v>
      </c>
      <c r="J933" s="7">
        <f t="shared" si="107"/>
        <v>400</v>
      </c>
      <c r="K933" s="99">
        <f t="shared" si="106"/>
        <v>12842.2</v>
      </c>
      <c r="L933" s="7">
        <v>2100</v>
      </c>
      <c r="M933" s="7">
        <v>4780</v>
      </c>
      <c r="N933" s="7">
        <v>1100</v>
      </c>
      <c r="O933" s="7">
        <v>0</v>
      </c>
      <c r="P933" s="7">
        <v>7994.2403859329461</v>
      </c>
      <c r="Q933" s="7">
        <v>967.6298302170535</v>
      </c>
      <c r="R933" s="113">
        <f t="shared" si="102"/>
        <v>0.56990858684249956</v>
      </c>
      <c r="S933" s="113">
        <f t="shared" si="103"/>
        <v>0.65384615384615385</v>
      </c>
      <c r="T933" s="113">
        <f t="shared" si="104"/>
        <v>0.55555555555555558</v>
      </c>
      <c r="U933" s="113">
        <f t="shared" si="105"/>
        <v>0.59310343208140304</v>
      </c>
    </row>
    <row r="934" spans="1:21" x14ac:dyDescent="0.45">
      <c r="A934" s="95">
        <v>45494</v>
      </c>
      <c r="B934" s="96">
        <v>9342.2000000000007</v>
      </c>
      <c r="C934" s="7">
        <v>5324.2</v>
      </c>
      <c r="D934" s="7">
        <f t="shared" si="100"/>
        <v>4018.0000000000009</v>
      </c>
      <c r="E934" s="97">
        <v>2600</v>
      </c>
      <c r="F934" s="7">
        <v>1700</v>
      </c>
      <c r="G934" s="7">
        <f t="shared" si="101"/>
        <v>900</v>
      </c>
      <c r="H934" s="98">
        <v>900</v>
      </c>
      <c r="I934" s="7">
        <v>500</v>
      </c>
      <c r="J934" s="7">
        <f t="shared" si="107"/>
        <v>400</v>
      </c>
      <c r="K934" s="99">
        <f t="shared" si="106"/>
        <v>12842.2</v>
      </c>
      <c r="L934" s="7">
        <v>2100</v>
      </c>
      <c r="M934" s="7">
        <v>4780</v>
      </c>
      <c r="N934" s="7">
        <v>1100</v>
      </c>
      <c r="O934" s="7">
        <v>0</v>
      </c>
      <c r="P934" s="7">
        <v>7994.2403859329461</v>
      </c>
      <c r="Q934" s="7">
        <v>967.6298302170535</v>
      </c>
      <c r="R934" s="113">
        <f t="shared" si="102"/>
        <v>0.56990858684249956</v>
      </c>
      <c r="S934" s="113">
        <f t="shared" si="103"/>
        <v>0.65384615384615385</v>
      </c>
      <c r="T934" s="113">
        <f t="shared" si="104"/>
        <v>0.55555555555555558</v>
      </c>
      <c r="U934" s="113">
        <f t="shared" si="105"/>
        <v>0.59310343208140304</v>
      </c>
    </row>
    <row r="935" spans="1:21" x14ac:dyDescent="0.45">
      <c r="A935" s="95">
        <v>45495</v>
      </c>
      <c r="B935" s="96">
        <v>9342.2000000000007</v>
      </c>
      <c r="C935" s="7">
        <v>5324.2</v>
      </c>
      <c r="D935" s="7">
        <f t="shared" si="100"/>
        <v>4018.0000000000009</v>
      </c>
      <c r="E935" s="97">
        <v>2600</v>
      </c>
      <c r="F935" s="7">
        <v>1700</v>
      </c>
      <c r="G935" s="7">
        <f t="shared" si="101"/>
        <v>900</v>
      </c>
      <c r="H935" s="98">
        <v>900</v>
      </c>
      <c r="I935" s="7">
        <v>500</v>
      </c>
      <c r="J935" s="7">
        <f t="shared" si="107"/>
        <v>400</v>
      </c>
      <c r="K935" s="99">
        <f t="shared" si="106"/>
        <v>12842.2</v>
      </c>
      <c r="L935" s="7">
        <v>2100</v>
      </c>
      <c r="M935" s="7">
        <v>4780</v>
      </c>
      <c r="N935" s="7">
        <v>800</v>
      </c>
      <c r="O935" s="7">
        <v>0</v>
      </c>
      <c r="P935" s="7">
        <v>7994.2403859329461</v>
      </c>
      <c r="Q935" s="7">
        <v>346.29326011705376</v>
      </c>
      <c r="R935" s="113">
        <f t="shared" si="102"/>
        <v>0.56990858684249956</v>
      </c>
      <c r="S935" s="113">
        <f t="shared" si="103"/>
        <v>0.65384615384615385</v>
      </c>
      <c r="T935" s="113">
        <f t="shared" si="104"/>
        <v>0.55555555555555558</v>
      </c>
      <c r="U935" s="113">
        <f t="shared" si="105"/>
        <v>0.59310343208140304</v>
      </c>
    </row>
    <row r="936" spans="1:21" x14ac:dyDescent="0.45">
      <c r="A936" s="95">
        <v>45496</v>
      </c>
      <c r="B936" s="96">
        <v>9342.2000000000007</v>
      </c>
      <c r="C936" s="7">
        <v>5324.2</v>
      </c>
      <c r="D936" s="7">
        <f t="shared" si="100"/>
        <v>4018.0000000000009</v>
      </c>
      <c r="E936" s="97">
        <v>2600</v>
      </c>
      <c r="F936" s="7">
        <v>1700</v>
      </c>
      <c r="G936" s="7">
        <f t="shared" si="101"/>
        <v>900</v>
      </c>
      <c r="H936" s="98">
        <v>900</v>
      </c>
      <c r="I936" s="7">
        <v>500</v>
      </c>
      <c r="J936" s="7">
        <f t="shared" si="107"/>
        <v>400</v>
      </c>
      <c r="K936" s="99">
        <f t="shared" si="106"/>
        <v>12842.2</v>
      </c>
      <c r="L936" s="7">
        <v>2100</v>
      </c>
      <c r="M936" s="7">
        <v>4780</v>
      </c>
      <c r="N936" s="7">
        <v>1080</v>
      </c>
      <c r="O936" s="7">
        <v>0</v>
      </c>
      <c r="P936" s="7">
        <v>7994.2403859329461</v>
      </c>
      <c r="Q936" s="7">
        <v>1589.7313799670533</v>
      </c>
      <c r="R936" s="113">
        <f t="shared" si="102"/>
        <v>0.56990858684249956</v>
      </c>
      <c r="S936" s="113">
        <f t="shared" si="103"/>
        <v>0.65384615384615385</v>
      </c>
      <c r="T936" s="113">
        <f t="shared" si="104"/>
        <v>0.55555555555555558</v>
      </c>
      <c r="U936" s="113">
        <f t="shared" si="105"/>
        <v>0.59310343208140304</v>
      </c>
    </row>
    <row r="937" spans="1:21" x14ac:dyDescent="0.45">
      <c r="A937" s="95">
        <v>45497</v>
      </c>
      <c r="B937" s="96">
        <v>9342.2000000000007</v>
      </c>
      <c r="C937" s="7">
        <v>5324.2</v>
      </c>
      <c r="D937" s="7">
        <f t="shared" si="100"/>
        <v>4018.0000000000009</v>
      </c>
      <c r="E937" s="97">
        <v>2600</v>
      </c>
      <c r="F937" s="7">
        <v>1700</v>
      </c>
      <c r="G937" s="7">
        <f t="shared" si="101"/>
        <v>900</v>
      </c>
      <c r="H937" s="98">
        <v>900</v>
      </c>
      <c r="I937" s="7">
        <v>500</v>
      </c>
      <c r="J937" s="7">
        <f t="shared" si="107"/>
        <v>400</v>
      </c>
      <c r="K937" s="99">
        <f t="shared" si="106"/>
        <v>12842.2</v>
      </c>
      <c r="L937" s="7">
        <v>2100</v>
      </c>
      <c r="M937" s="7">
        <v>4780</v>
      </c>
      <c r="N937" s="7">
        <v>830</v>
      </c>
      <c r="O937" s="7">
        <v>0</v>
      </c>
      <c r="P937" s="7">
        <v>7994.2403859329461</v>
      </c>
      <c r="Q937" s="7">
        <v>2820.5700396270536</v>
      </c>
      <c r="R937" s="113">
        <f t="shared" si="102"/>
        <v>0.56990858684249956</v>
      </c>
      <c r="S937" s="113">
        <f t="shared" si="103"/>
        <v>0.65384615384615385</v>
      </c>
      <c r="T937" s="113">
        <f t="shared" si="104"/>
        <v>0.55555555555555558</v>
      </c>
      <c r="U937" s="113">
        <f t="shared" si="105"/>
        <v>0.59310343208140304</v>
      </c>
    </row>
    <row r="938" spans="1:21" x14ac:dyDescent="0.45">
      <c r="A938" s="95">
        <v>45498</v>
      </c>
      <c r="B938" s="96">
        <v>8802.2000000000007</v>
      </c>
      <c r="C938" s="7">
        <v>4784.2</v>
      </c>
      <c r="D938" s="7">
        <f t="shared" si="100"/>
        <v>4018.0000000000009</v>
      </c>
      <c r="E938" s="97">
        <v>2100</v>
      </c>
      <c r="F938" s="7">
        <v>1700</v>
      </c>
      <c r="G938" s="7">
        <f t="shared" si="101"/>
        <v>400</v>
      </c>
      <c r="H938" s="98">
        <v>900</v>
      </c>
      <c r="I938" s="7">
        <v>500</v>
      </c>
      <c r="J938" s="7">
        <f t="shared" si="107"/>
        <v>400</v>
      </c>
      <c r="K938" s="99">
        <f t="shared" si="106"/>
        <v>11802.2</v>
      </c>
      <c r="L938" s="7">
        <v>2600</v>
      </c>
      <c r="M938" s="7">
        <v>2500</v>
      </c>
      <c r="N938" s="7">
        <v>1980</v>
      </c>
      <c r="O938" s="7">
        <v>0</v>
      </c>
      <c r="P938" s="7">
        <v>7994.2403859329461</v>
      </c>
      <c r="Q938" s="7">
        <v>1596.125033447054</v>
      </c>
      <c r="R938" s="113">
        <f t="shared" si="102"/>
        <v>0.54352321010656424</v>
      </c>
      <c r="S938" s="113">
        <f t="shared" si="103"/>
        <v>0.80952380952380953</v>
      </c>
      <c r="T938" s="113">
        <f t="shared" si="104"/>
        <v>0.55555555555555558</v>
      </c>
      <c r="U938" s="113">
        <f t="shared" si="105"/>
        <v>0.63620085839530982</v>
      </c>
    </row>
    <row r="939" spans="1:21" x14ac:dyDescent="0.45">
      <c r="A939" s="95">
        <v>45499</v>
      </c>
      <c r="B939" s="96">
        <v>8802.2000000000007</v>
      </c>
      <c r="C939" s="7">
        <v>4784.2</v>
      </c>
      <c r="D939" s="7">
        <f t="shared" si="100"/>
        <v>4018.0000000000009</v>
      </c>
      <c r="E939" s="97">
        <v>2100</v>
      </c>
      <c r="F939" s="7">
        <v>1700</v>
      </c>
      <c r="G939" s="7">
        <f t="shared" si="101"/>
        <v>400</v>
      </c>
      <c r="H939" s="98">
        <v>900</v>
      </c>
      <c r="I939" s="7">
        <v>500</v>
      </c>
      <c r="J939" s="7">
        <f t="shared" si="107"/>
        <v>400</v>
      </c>
      <c r="K939" s="99">
        <f t="shared" si="106"/>
        <v>11802.2</v>
      </c>
      <c r="L939" s="7">
        <v>2600</v>
      </c>
      <c r="M939" s="7">
        <v>2500</v>
      </c>
      <c r="N939" s="7">
        <v>1080</v>
      </c>
      <c r="O939" s="7">
        <v>0</v>
      </c>
      <c r="P939" s="7">
        <v>7994.2403859329461</v>
      </c>
      <c r="Q939" s="7">
        <v>2197.8931456870537</v>
      </c>
      <c r="R939" s="113">
        <f t="shared" si="102"/>
        <v>0.54352321010656424</v>
      </c>
      <c r="S939" s="113">
        <f t="shared" si="103"/>
        <v>0.80952380952380953</v>
      </c>
      <c r="T939" s="113">
        <f t="shared" si="104"/>
        <v>0.55555555555555558</v>
      </c>
      <c r="U939" s="113">
        <f t="shared" si="105"/>
        <v>0.63620085839530982</v>
      </c>
    </row>
    <row r="940" spans="1:21" x14ac:dyDescent="0.45">
      <c r="A940" s="95">
        <v>45500</v>
      </c>
      <c r="B940" s="96">
        <v>8802.2000000000007</v>
      </c>
      <c r="C940" s="7">
        <v>4784.2</v>
      </c>
      <c r="D940" s="7">
        <f t="shared" si="100"/>
        <v>4018.0000000000009</v>
      </c>
      <c r="E940" s="97">
        <v>2100</v>
      </c>
      <c r="F940" s="7">
        <v>1700</v>
      </c>
      <c r="G940" s="7">
        <f t="shared" si="101"/>
        <v>400</v>
      </c>
      <c r="H940" s="98">
        <v>900</v>
      </c>
      <c r="I940" s="7">
        <v>500</v>
      </c>
      <c r="J940" s="7">
        <f t="shared" si="107"/>
        <v>400</v>
      </c>
      <c r="K940" s="99">
        <f t="shared" si="106"/>
        <v>11802.2</v>
      </c>
      <c r="L940" s="7">
        <v>2600</v>
      </c>
      <c r="M940" s="7">
        <v>2500</v>
      </c>
      <c r="N940" s="7">
        <v>1080</v>
      </c>
      <c r="O940" s="7">
        <v>0</v>
      </c>
      <c r="P940" s="7">
        <v>7994.2403859329461</v>
      </c>
      <c r="Q940" s="7">
        <v>2197.8931456870537</v>
      </c>
      <c r="R940" s="113">
        <f t="shared" si="102"/>
        <v>0.54352321010656424</v>
      </c>
      <c r="S940" s="113">
        <f t="shared" si="103"/>
        <v>0.80952380952380953</v>
      </c>
      <c r="T940" s="113">
        <f t="shared" si="104"/>
        <v>0.55555555555555558</v>
      </c>
      <c r="U940" s="113">
        <f t="shared" si="105"/>
        <v>0.63620085839530982</v>
      </c>
    </row>
    <row r="941" spans="1:21" x14ac:dyDescent="0.45">
      <c r="A941" s="95">
        <v>45501</v>
      </c>
      <c r="B941" s="96">
        <v>8802.2000000000007</v>
      </c>
      <c r="C941" s="7">
        <v>4784.2</v>
      </c>
      <c r="D941" s="7">
        <f t="shared" si="100"/>
        <v>4018.0000000000009</v>
      </c>
      <c r="E941" s="97">
        <v>2100</v>
      </c>
      <c r="F941" s="7">
        <v>1700</v>
      </c>
      <c r="G941" s="7">
        <f t="shared" si="101"/>
        <v>400</v>
      </c>
      <c r="H941" s="98">
        <v>900</v>
      </c>
      <c r="I941" s="7">
        <v>500</v>
      </c>
      <c r="J941" s="7">
        <f t="shared" si="107"/>
        <v>400</v>
      </c>
      <c r="K941" s="99">
        <f t="shared" si="106"/>
        <v>11802.2</v>
      </c>
      <c r="L941" s="7">
        <v>2600</v>
      </c>
      <c r="M941" s="7">
        <v>2500</v>
      </c>
      <c r="N941" s="7">
        <v>1080</v>
      </c>
      <c r="O941" s="7">
        <v>0</v>
      </c>
      <c r="P941" s="7">
        <v>7994.2403859329461</v>
      </c>
      <c r="Q941" s="7">
        <v>2197.8931456870537</v>
      </c>
      <c r="R941" s="113">
        <f t="shared" si="102"/>
        <v>0.54352321010656424</v>
      </c>
      <c r="S941" s="113">
        <f t="shared" si="103"/>
        <v>0.80952380952380953</v>
      </c>
      <c r="T941" s="113">
        <f t="shared" si="104"/>
        <v>0.55555555555555558</v>
      </c>
      <c r="U941" s="113">
        <f t="shared" si="105"/>
        <v>0.63620085839530982</v>
      </c>
    </row>
    <row r="942" spans="1:21" x14ac:dyDescent="0.45">
      <c r="A942" s="95">
        <v>45502</v>
      </c>
      <c r="B942" s="96">
        <v>8802.2000000000007</v>
      </c>
      <c r="C942" s="7">
        <v>4784.2</v>
      </c>
      <c r="D942" s="7">
        <f t="shared" si="100"/>
        <v>4018.0000000000009</v>
      </c>
      <c r="E942" s="97">
        <v>2100</v>
      </c>
      <c r="F942" s="7">
        <v>1700</v>
      </c>
      <c r="G942" s="7">
        <f t="shared" si="101"/>
        <v>400</v>
      </c>
      <c r="H942" s="98">
        <v>900</v>
      </c>
      <c r="I942" s="7">
        <v>500</v>
      </c>
      <c r="J942" s="7">
        <f t="shared" si="107"/>
        <v>400</v>
      </c>
      <c r="K942" s="99">
        <f t="shared" si="106"/>
        <v>11802.2</v>
      </c>
      <c r="L942" s="7">
        <v>2600</v>
      </c>
      <c r="M942" s="7">
        <v>2500</v>
      </c>
      <c r="N942" s="7">
        <v>1680</v>
      </c>
      <c r="O942" s="7">
        <v>0</v>
      </c>
      <c r="P942" s="7">
        <v>7994.2403859329461</v>
      </c>
      <c r="Q942" s="7">
        <v>1899.6604102870538</v>
      </c>
      <c r="R942" s="113">
        <f t="shared" si="102"/>
        <v>0.54352321010656424</v>
      </c>
      <c r="S942" s="113">
        <f t="shared" si="103"/>
        <v>0.80952380952380953</v>
      </c>
      <c r="T942" s="113">
        <f t="shared" si="104"/>
        <v>0.55555555555555558</v>
      </c>
      <c r="U942" s="113">
        <f t="shared" si="105"/>
        <v>0.63620085839530982</v>
      </c>
    </row>
    <row r="943" spans="1:21" x14ac:dyDescent="0.45">
      <c r="A943" s="95">
        <v>45503</v>
      </c>
      <c r="B943" s="96">
        <v>8802.2000000000007</v>
      </c>
      <c r="C943" s="7">
        <v>4784.2</v>
      </c>
      <c r="D943" s="7">
        <f t="shared" si="100"/>
        <v>4018.0000000000009</v>
      </c>
      <c r="E943" s="97">
        <v>2100</v>
      </c>
      <c r="F943" s="7">
        <v>1700</v>
      </c>
      <c r="G943" s="7">
        <f t="shared" si="101"/>
        <v>400</v>
      </c>
      <c r="H943" s="98">
        <v>900</v>
      </c>
      <c r="I943" s="7">
        <v>500</v>
      </c>
      <c r="J943" s="7">
        <f t="shared" si="107"/>
        <v>400</v>
      </c>
      <c r="K943" s="99">
        <f t="shared" si="106"/>
        <v>11802.2</v>
      </c>
      <c r="L943" s="7">
        <v>2600</v>
      </c>
      <c r="M943" s="7">
        <v>2500</v>
      </c>
      <c r="N943" s="7">
        <v>1580</v>
      </c>
      <c r="O943" s="7">
        <v>0</v>
      </c>
      <c r="P943" s="7">
        <v>7994.2403859329461</v>
      </c>
      <c r="Q943" s="7">
        <v>2274.8238123770534</v>
      </c>
      <c r="R943" s="113">
        <f t="shared" si="102"/>
        <v>0.54352321010656424</v>
      </c>
      <c r="S943" s="113">
        <f t="shared" si="103"/>
        <v>0.80952380952380953</v>
      </c>
      <c r="T943" s="113">
        <f t="shared" si="104"/>
        <v>0.55555555555555558</v>
      </c>
      <c r="U943" s="113">
        <f t="shared" si="105"/>
        <v>0.63620085839530982</v>
      </c>
    </row>
    <row r="944" spans="1:21" x14ac:dyDescent="0.45">
      <c r="A944" s="95">
        <v>45504</v>
      </c>
      <c r="B944" s="96">
        <v>8802.2000000000007</v>
      </c>
      <c r="C944" s="7">
        <v>4784.2</v>
      </c>
      <c r="D944" s="7">
        <f t="shared" si="100"/>
        <v>4018.0000000000009</v>
      </c>
      <c r="E944" s="97">
        <v>2100</v>
      </c>
      <c r="F944" s="7">
        <v>1700</v>
      </c>
      <c r="G944" s="7">
        <f t="shared" si="101"/>
        <v>400</v>
      </c>
      <c r="H944" s="98">
        <v>900</v>
      </c>
      <c r="I944" s="7">
        <v>500</v>
      </c>
      <c r="J944" s="7">
        <f t="shared" si="107"/>
        <v>400</v>
      </c>
      <c r="K944" s="99">
        <f t="shared" si="106"/>
        <v>11802.2</v>
      </c>
      <c r="L944" s="7">
        <v>2600</v>
      </c>
      <c r="M944" s="7">
        <v>2500</v>
      </c>
      <c r="N944" s="7">
        <v>1680</v>
      </c>
      <c r="O944" s="7">
        <v>0</v>
      </c>
      <c r="P944" s="7">
        <v>7994.2403859329461</v>
      </c>
      <c r="Q944" s="7">
        <v>1961.8457196670536</v>
      </c>
      <c r="R944" s="113">
        <f t="shared" si="102"/>
        <v>0.54352321010656424</v>
      </c>
      <c r="S944" s="113">
        <f t="shared" si="103"/>
        <v>0.80952380952380953</v>
      </c>
      <c r="T944" s="113">
        <f t="shared" si="104"/>
        <v>0.55555555555555558</v>
      </c>
      <c r="U944" s="113">
        <f t="shared" si="105"/>
        <v>0.63620085839530982</v>
      </c>
    </row>
    <row r="945" spans="1:21" x14ac:dyDescent="0.45">
      <c r="A945" s="95">
        <v>45505</v>
      </c>
      <c r="B945" s="96">
        <v>8742.2000000000007</v>
      </c>
      <c r="C945" s="7">
        <v>4824.2</v>
      </c>
      <c r="D945" s="7">
        <f t="shared" si="100"/>
        <v>3918.0000000000009</v>
      </c>
      <c r="E945" s="97">
        <v>3100</v>
      </c>
      <c r="F945" s="7">
        <v>1700</v>
      </c>
      <c r="G945" s="7">
        <f t="shared" si="101"/>
        <v>1400</v>
      </c>
      <c r="H945" s="98">
        <v>900</v>
      </c>
      <c r="I945" s="7">
        <v>500</v>
      </c>
      <c r="J945" s="7">
        <f t="shared" si="107"/>
        <v>400</v>
      </c>
      <c r="K945" s="99">
        <f t="shared" si="106"/>
        <v>12742.2</v>
      </c>
      <c r="L945" s="7">
        <v>2500</v>
      </c>
      <c r="M945" s="7">
        <v>5280</v>
      </c>
      <c r="N945" s="7">
        <v>1330</v>
      </c>
      <c r="O945" s="7">
        <v>0</v>
      </c>
      <c r="P945" s="7">
        <v>7994.2403859329461</v>
      </c>
      <c r="Q945" s="7">
        <v>-407.83553804294644</v>
      </c>
      <c r="R945" s="113">
        <f t="shared" si="102"/>
        <v>0.55182905904692181</v>
      </c>
      <c r="S945" s="113">
        <f t="shared" si="103"/>
        <v>0.54838709677419351</v>
      </c>
      <c r="T945" s="113">
        <f t="shared" si="104"/>
        <v>0.55555555555555558</v>
      </c>
      <c r="U945" s="113">
        <f t="shared" si="105"/>
        <v>0.55192390379222356</v>
      </c>
    </row>
    <row r="946" spans="1:21" x14ac:dyDescent="0.45">
      <c r="A946" s="95">
        <v>45506</v>
      </c>
      <c r="B946" s="96">
        <v>8742.2000000000007</v>
      </c>
      <c r="C946" s="7">
        <v>4824.2</v>
      </c>
      <c r="D946" s="7">
        <f t="shared" si="100"/>
        <v>3918.0000000000009</v>
      </c>
      <c r="E946" s="97">
        <v>3100</v>
      </c>
      <c r="F946" s="7">
        <v>1700</v>
      </c>
      <c r="G946" s="7">
        <f t="shared" si="101"/>
        <v>1400</v>
      </c>
      <c r="H946" s="98">
        <v>900</v>
      </c>
      <c r="I946" s="7">
        <v>500</v>
      </c>
      <c r="J946" s="7">
        <f t="shared" si="107"/>
        <v>400</v>
      </c>
      <c r="K946" s="99">
        <f t="shared" si="106"/>
        <v>12742.2</v>
      </c>
      <c r="L946" s="7">
        <v>2500</v>
      </c>
      <c r="M946" s="7">
        <v>2150</v>
      </c>
      <c r="N946" s="7">
        <v>1330</v>
      </c>
      <c r="O946" s="7">
        <v>0</v>
      </c>
      <c r="P946" s="7">
        <v>7994.2403859329461</v>
      </c>
      <c r="Q946" s="7">
        <v>1055.2005707270534</v>
      </c>
      <c r="R946" s="113">
        <f t="shared" si="102"/>
        <v>0.55182905904692181</v>
      </c>
      <c r="S946" s="113">
        <f t="shared" si="103"/>
        <v>0.54838709677419351</v>
      </c>
      <c r="T946" s="113">
        <f t="shared" si="104"/>
        <v>0.55555555555555558</v>
      </c>
      <c r="U946" s="113">
        <f t="shared" si="105"/>
        <v>0.55192390379222356</v>
      </c>
    </row>
    <row r="947" spans="1:21" x14ac:dyDescent="0.45">
      <c r="A947" s="95">
        <v>45507</v>
      </c>
      <c r="B947" s="96">
        <v>8742.2000000000007</v>
      </c>
      <c r="C947" s="7">
        <v>4824.2</v>
      </c>
      <c r="D947" s="7">
        <f t="shared" si="100"/>
        <v>3918.0000000000009</v>
      </c>
      <c r="E947" s="97">
        <v>3100</v>
      </c>
      <c r="F947" s="7">
        <v>1700</v>
      </c>
      <c r="G947" s="7">
        <f t="shared" si="101"/>
        <v>1400</v>
      </c>
      <c r="H947" s="98">
        <v>900</v>
      </c>
      <c r="I947" s="7">
        <v>500</v>
      </c>
      <c r="J947" s="7">
        <f t="shared" si="107"/>
        <v>400</v>
      </c>
      <c r="K947" s="99">
        <f t="shared" si="106"/>
        <v>12742.2</v>
      </c>
      <c r="L947" s="7">
        <v>2500</v>
      </c>
      <c r="M947" s="7">
        <v>2150</v>
      </c>
      <c r="N947" s="7">
        <v>1330</v>
      </c>
      <c r="O947" s="7">
        <v>0</v>
      </c>
      <c r="P947" s="7">
        <v>7994.2403859329461</v>
      </c>
      <c r="Q947" s="7">
        <v>1055.2005707270534</v>
      </c>
      <c r="R947" s="113">
        <f t="shared" si="102"/>
        <v>0.55182905904692181</v>
      </c>
      <c r="S947" s="113">
        <f t="shared" si="103"/>
        <v>0.54838709677419351</v>
      </c>
      <c r="T947" s="113">
        <f t="shared" si="104"/>
        <v>0.55555555555555558</v>
      </c>
      <c r="U947" s="113">
        <f t="shared" si="105"/>
        <v>0.55192390379222356</v>
      </c>
    </row>
    <row r="948" spans="1:21" x14ac:dyDescent="0.45">
      <c r="A948" s="95">
        <v>45508</v>
      </c>
      <c r="B948" s="96">
        <v>8742.2000000000007</v>
      </c>
      <c r="C948" s="7">
        <v>4824.2</v>
      </c>
      <c r="D948" s="7">
        <f t="shared" si="100"/>
        <v>3918.0000000000009</v>
      </c>
      <c r="E948" s="97">
        <v>3100</v>
      </c>
      <c r="F948" s="7">
        <v>1700</v>
      </c>
      <c r="G948" s="7">
        <f t="shared" si="101"/>
        <v>1400</v>
      </c>
      <c r="H948" s="98">
        <v>900</v>
      </c>
      <c r="I948" s="7">
        <v>500</v>
      </c>
      <c r="J948" s="7">
        <f t="shared" si="107"/>
        <v>400</v>
      </c>
      <c r="K948" s="99">
        <f t="shared" si="106"/>
        <v>12742.2</v>
      </c>
      <c r="L948" s="7">
        <v>2500</v>
      </c>
      <c r="M948" s="7">
        <v>2150</v>
      </c>
      <c r="N948" s="7">
        <v>1330</v>
      </c>
      <c r="O948" s="7">
        <v>0</v>
      </c>
      <c r="P948" s="7">
        <v>7994.2403859329461</v>
      </c>
      <c r="Q948" s="7">
        <v>1055.2005707270534</v>
      </c>
      <c r="R948" s="113">
        <f t="shared" si="102"/>
        <v>0.55182905904692181</v>
      </c>
      <c r="S948" s="113">
        <f t="shared" si="103"/>
        <v>0.54838709677419351</v>
      </c>
      <c r="T948" s="113">
        <f t="shared" si="104"/>
        <v>0.55555555555555558</v>
      </c>
      <c r="U948" s="113">
        <f t="shared" si="105"/>
        <v>0.55192390379222356</v>
      </c>
    </row>
    <row r="949" spans="1:21" x14ac:dyDescent="0.45">
      <c r="A949" s="95">
        <v>45509</v>
      </c>
      <c r="B949" s="96">
        <v>8742.2000000000007</v>
      </c>
      <c r="C949" s="7">
        <v>4824.2</v>
      </c>
      <c r="D949" s="7">
        <f t="shared" si="100"/>
        <v>3918.0000000000009</v>
      </c>
      <c r="E949" s="97">
        <v>3100</v>
      </c>
      <c r="F949" s="7">
        <v>1700</v>
      </c>
      <c r="G949" s="7">
        <f t="shared" si="101"/>
        <v>1400</v>
      </c>
      <c r="H949" s="98">
        <v>900</v>
      </c>
      <c r="I949" s="7">
        <v>500</v>
      </c>
      <c r="J949" s="7">
        <f t="shared" si="107"/>
        <v>400</v>
      </c>
      <c r="K949" s="99">
        <f t="shared" si="106"/>
        <v>12742.2</v>
      </c>
      <c r="L949" s="7">
        <v>2500</v>
      </c>
      <c r="M949" s="7">
        <v>2150</v>
      </c>
      <c r="N949" s="7">
        <v>2280</v>
      </c>
      <c r="O949" s="7">
        <v>0</v>
      </c>
      <c r="P949" s="7">
        <v>8353.8398087267542</v>
      </c>
      <c r="Q949" s="7">
        <v>-1412.9296561667538</v>
      </c>
      <c r="R949" s="113">
        <f t="shared" si="102"/>
        <v>0.55182905904692181</v>
      </c>
      <c r="S949" s="113">
        <f t="shared" si="103"/>
        <v>0.54838709677419351</v>
      </c>
      <c r="T949" s="113">
        <f t="shared" si="104"/>
        <v>0.55555555555555558</v>
      </c>
      <c r="U949" s="113">
        <f t="shared" si="105"/>
        <v>0.55192390379222356</v>
      </c>
    </row>
    <row r="950" spans="1:21" x14ac:dyDescent="0.45">
      <c r="A950" s="95">
        <v>45510</v>
      </c>
      <c r="B950" s="96">
        <v>8742.2000000000007</v>
      </c>
      <c r="C950" s="7">
        <v>4824.2</v>
      </c>
      <c r="D950" s="7">
        <f t="shared" si="100"/>
        <v>3918.0000000000009</v>
      </c>
      <c r="E950" s="97">
        <v>3100</v>
      </c>
      <c r="F950" s="7">
        <v>1700</v>
      </c>
      <c r="G950" s="7">
        <f t="shared" si="101"/>
        <v>1400</v>
      </c>
      <c r="H950" s="98">
        <v>900</v>
      </c>
      <c r="I950" s="7">
        <v>500</v>
      </c>
      <c r="J950" s="7">
        <f t="shared" si="107"/>
        <v>400</v>
      </c>
      <c r="K950" s="99">
        <f t="shared" si="106"/>
        <v>12742.2</v>
      </c>
      <c r="L950" s="7">
        <v>2500</v>
      </c>
      <c r="M950" s="7">
        <v>2150</v>
      </c>
      <c r="N950" s="7">
        <v>1330</v>
      </c>
      <c r="O950" s="7">
        <v>0</v>
      </c>
      <c r="P950" s="7">
        <v>8353.8398087267542</v>
      </c>
      <c r="Q950" s="7">
        <v>-184.56270182675388</v>
      </c>
      <c r="R950" s="113">
        <f t="shared" si="102"/>
        <v>0.55182905904692181</v>
      </c>
      <c r="S950" s="113">
        <f t="shared" si="103"/>
        <v>0.54838709677419351</v>
      </c>
      <c r="T950" s="113">
        <f t="shared" si="104"/>
        <v>0.55555555555555558</v>
      </c>
      <c r="U950" s="113">
        <f t="shared" si="105"/>
        <v>0.55192390379222356</v>
      </c>
    </row>
    <row r="951" spans="1:21" x14ac:dyDescent="0.45">
      <c r="A951" s="95">
        <v>45511</v>
      </c>
      <c r="B951" s="96">
        <v>8742.2000000000007</v>
      </c>
      <c r="C951" s="7">
        <v>4824.2</v>
      </c>
      <c r="D951" s="7">
        <f t="shared" si="100"/>
        <v>3918.0000000000009</v>
      </c>
      <c r="E951" s="97">
        <v>3100</v>
      </c>
      <c r="F951" s="7">
        <v>1700</v>
      </c>
      <c r="G951" s="7">
        <f t="shared" si="101"/>
        <v>1400</v>
      </c>
      <c r="H951" s="98">
        <v>900</v>
      </c>
      <c r="I951" s="7">
        <v>500</v>
      </c>
      <c r="J951" s="7">
        <f t="shared" si="107"/>
        <v>400</v>
      </c>
      <c r="K951" s="99">
        <f t="shared" si="106"/>
        <v>12742.2</v>
      </c>
      <c r="L951" s="7">
        <v>2500</v>
      </c>
      <c r="M951" s="7">
        <v>2150</v>
      </c>
      <c r="N951" s="7">
        <v>1030</v>
      </c>
      <c r="O951" s="7">
        <v>0</v>
      </c>
      <c r="P951" s="7">
        <v>8353.8398087267542</v>
      </c>
      <c r="Q951" s="7">
        <v>60.069822853246194</v>
      </c>
      <c r="R951" s="113">
        <f t="shared" si="102"/>
        <v>0.55182905904692181</v>
      </c>
      <c r="S951" s="113">
        <f t="shared" si="103"/>
        <v>0.54838709677419351</v>
      </c>
      <c r="T951" s="113">
        <f t="shared" si="104"/>
        <v>0.55555555555555558</v>
      </c>
      <c r="U951" s="113">
        <f t="shared" si="105"/>
        <v>0.55192390379222356</v>
      </c>
    </row>
    <row r="952" spans="1:21" x14ac:dyDescent="0.45">
      <c r="A952" s="95">
        <v>45512</v>
      </c>
      <c r="B952" s="96">
        <v>8798.2000000000007</v>
      </c>
      <c r="C952" s="7">
        <v>4880.2</v>
      </c>
      <c r="D952" s="7">
        <f t="shared" si="100"/>
        <v>3918.0000000000009</v>
      </c>
      <c r="E952" s="97">
        <v>3100</v>
      </c>
      <c r="F952" s="7">
        <v>1700</v>
      </c>
      <c r="G952" s="7">
        <f t="shared" si="101"/>
        <v>1400</v>
      </c>
      <c r="H952" s="98">
        <v>900</v>
      </c>
      <c r="I952" s="7">
        <v>500</v>
      </c>
      <c r="J952" s="7">
        <f t="shared" si="107"/>
        <v>400</v>
      </c>
      <c r="K952" s="99">
        <f t="shared" si="106"/>
        <v>12798.2</v>
      </c>
      <c r="L952" s="7">
        <v>1000</v>
      </c>
      <c r="M952" s="7">
        <v>4500</v>
      </c>
      <c r="N952" s="7">
        <v>2230</v>
      </c>
      <c r="O952" s="7">
        <v>0</v>
      </c>
      <c r="P952" s="7">
        <v>8353.8398087267542</v>
      </c>
      <c r="Q952" s="7">
        <v>321.69309106324596</v>
      </c>
      <c r="R952" s="113">
        <f t="shared" si="102"/>
        <v>0.55468163942624626</v>
      </c>
      <c r="S952" s="113">
        <f t="shared" si="103"/>
        <v>0.54838709677419351</v>
      </c>
      <c r="T952" s="113">
        <f t="shared" si="104"/>
        <v>0.55555555555555558</v>
      </c>
      <c r="U952" s="113">
        <f t="shared" si="105"/>
        <v>0.55287476391866508</v>
      </c>
    </row>
    <row r="953" spans="1:21" x14ac:dyDescent="0.45">
      <c r="A953" s="95">
        <v>45513</v>
      </c>
      <c r="B953" s="96">
        <v>8798.2000000000007</v>
      </c>
      <c r="C953" s="7">
        <v>4880.2</v>
      </c>
      <c r="D953" s="7">
        <f t="shared" si="100"/>
        <v>3918.0000000000009</v>
      </c>
      <c r="E953" s="97">
        <v>3100</v>
      </c>
      <c r="F953" s="7">
        <v>1700</v>
      </c>
      <c r="G953" s="7">
        <f t="shared" si="101"/>
        <v>1400</v>
      </c>
      <c r="H953" s="98">
        <v>900</v>
      </c>
      <c r="I953" s="7">
        <v>500</v>
      </c>
      <c r="J953" s="7">
        <f t="shared" si="107"/>
        <v>400</v>
      </c>
      <c r="K953" s="99">
        <f t="shared" si="106"/>
        <v>12798.2</v>
      </c>
      <c r="L953" s="7">
        <v>1000</v>
      </c>
      <c r="M953" s="7">
        <v>4500</v>
      </c>
      <c r="N953" s="7">
        <v>2775</v>
      </c>
      <c r="O953" s="7">
        <v>0</v>
      </c>
      <c r="P953" s="7">
        <v>8353.8398087267542</v>
      </c>
      <c r="Q953" s="7">
        <v>107.54845029324625</v>
      </c>
      <c r="R953" s="113">
        <f t="shared" si="102"/>
        <v>0.55468163942624626</v>
      </c>
      <c r="S953" s="113">
        <f t="shared" si="103"/>
        <v>0.54838709677419351</v>
      </c>
      <c r="T953" s="113">
        <f t="shared" si="104"/>
        <v>0.55555555555555558</v>
      </c>
      <c r="U953" s="113">
        <f t="shared" si="105"/>
        <v>0.55287476391866508</v>
      </c>
    </row>
    <row r="954" spans="1:21" x14ac:dyDescent="0.45">
      <c r="A954" s="95">
        <v>45514</v>
      </c>
      <c r="B954" s="96">
        <v>8798.2000000000007</v>
      </c>
      <c r="C954" s="7">
        <v>4880.2</v>
      </c>
      <c r="D954" s="7">
        <f t="shared" si="100"/>
        <v>3918.0000000000009</v>
      </c>
      <c r="E954" s="97">
        <v>3100</v>
      </c>
      <c r="F954" s="7">
        <v>1700</v>
      </c>
      <c r="G954" s="7">
        <f t="shared" si="101"/>
        <v>1400</v>
      </c>
      <c r="H954" s="98">
        <v>900</v>
      </c>
      <c r="I954" s="7">
        <v>500</v>
      </c>
      <c r="J954" s="7">
        <f t="shared" si="107"/>
        <v>400</v>
      </c>
      <c r="K954" s="99">
        <f t="shared" si="106"/>
        <v>12798.2</v>
      </c>
      <c r="L954" s="7">
        <v>1000</v>
      </c>
      <c r="M954" s="7">
        <v>4500</v>
      </c>
      <c r="N954" s="7">
        <v>2775</v>
      </c>
      <c r="O954" s="7">
        <v>0</v>
      </c>
      <c r="P954" s="7">
        <v>8353.8398087267542</v>
      </c>
      <c r="Q954" s="7">
        <v>107.54845029324625</v>
      </c>
      <c r="R954" s="113">
        <f t="shared" si="102"/>
        <v>0.55468163942624626</v>
      </c>
      <c r="S954" s="113">
        <f t="shared" si="103"/>
        <v>0.54838709677419351</v>
      </c>
      <c r="T954" s="113">
        <f t="shared" si="104"/>
        <v>0.55555555555555558</v>
      </c>
      <c r="U954" s="113">
        <f t="shared" si="105"/>
        <v>0.55287476391866508</v>
      </c>
    </row>
    <row r="955" spans="1:21" x14ac:dyDescent="0.45">
      <c r="A955" s="95">
        <v>45515</v>
      </c>
      <c r="B955" s="96">
        <v>8798.2000000000007</v>
      </c>
      <c r="C955" s="7">
        <v>4880.2</v>
      </c>
      <c r="D955" s="7">
        <f t="shared" si="100"/>
        <v>3918.0000000000009</v>
      </c>
      <c r="E955" s="97">
        <v>3100</v>
      </c>
      <c r="F955" s="7">
        <v>1700</v>
      </c>
      <c r="G955" s="7">
        <f t="shared" si="101"/>
        <v>1400</v>
      </c>
      <c r="H955" s="98">
        <v>900</v>
      </c>
      <c r="I955" s="7">
        <v>500</v>
      </c>
      <c r="J955" s="7">
        <f t="shared" si="107"/>
        <v>400</v>
      </c>
      <c r="K955" s="99">
        <f t="shared" si="106"/>
        <v>12798.2</v>
      </c>
      <c r="L955" s="7">
        <v>1000</v>
      </c>
      <c r="M955" s="7">
        <v>4500</v>
      </c>
      <c r="N955" s="7">
        <v>2775</v>
      </c>
      <c r="O955" s="7">
        <v>0</v>
      </c>
      <c r="P955" s="7">
        <v>8353.8398087267542</v>
      </c>
      <c r="Q955" s="7">
        <v>107.54845029324625</v>
      </c>
      <c r="R955" s="113">
        <f t="shared" si="102"/>
        <v>0.55468163942624626</v>
      </c>
      <c r="S955" s="113">
        <f t="shared" si="103"/>
        <v>0.54838709677419351</v>
      </c>
      <c r="T955" s="113">
        <f t="shared" si="104"/>
        <v>0.55555555555555558</v>
      </c>
      <c r="U955" s="113">
        <f t="shared" si="105"/>
        <v>0.55287476391866508</v>
      </c>
    </row>
    <row r="956" spans="1:21" x14ac:dyDescent="0.45">
      <c r="A956" s="95">
        <v>45516</v>
      </c>
      <c r="B956" s="96">
        <v>8798.2000000000007</v>
      </c>
      <c r="C956" s="7">
        <v>4880.2</v>
      </c>
      <c r="D956" s="7">
        <f t="shared" si="100"/>
        <v>3918.0000000000009</v>
      </c>
      <c r="E956" s="97">
        <v>3100</v>
      </c>
      <c r="F956" s="7">
        <v>1700</v>
      </c>
      <c r="G956" s="7">
        <f t="shared" si="101"/>
        <v>1400</v>
      </c>
      <c r="H956" s="98">
        <v>900</v>
      </c>
      <c r="I956" s="7">
        <v>500</v>
      </c>
      <c r="J956" s="7">
        <f t="shared" si="107"/>
        <v>400</v>
      </c>
      <c r="K956" s="99">
        <f t="shared" si="106"/>
        <v>12798.2</v>
      </c>
      <c r="L956" s="7">
        <v>1000</v>
      </c>
      <c r="M956" s="7">
        <v>4500</v>
      </c>
      <c r="N956" s="7">
        <v>2970</v>
      </c>
      <c r="O956" s="7">
        <v>0</v>
      </c>
      <c r="P956" s="7">
        <v>8353.8398087267542</v>
      </c>
      <c r="Q956" s="7">
        <v>-151.581325126754</v>
      </c>
      <c r="R956" s="113">
        <f t="shared" si="102"/>
        <v>0.55468163942624626</v>
      </c>
      <c r="S956" s="113">
        <f t="shared" si="103"/>
        <v>0.54838709677419351</v>
      </c>
      <c r="T956" s="113">
        <f t="shared" si="104"/>
        <v>0.55555555555555558</v>
      </c>
      <c r="U956" s="113">
        <f t="shared" si="105"/>
        <v>0.55287476391866508</v>
      </c>
    </row>
    <row r="957" spans="1:21" x14ac:dyDescent="0.45">
      <c r="A957" s="95">
        <v>45517</v>
      </c>
      <c r="B957" s="96">
        <v>8798.2000000000007</v>
      </c>
      <c r="C957" s="7">
        <v>4880.2</v>
      </c>
      <c r="D957" s="7">
        <f t="shared" si="100"/>
        <v>3918.0000000000009</v>
      </c>
      <c r="E957" s="97">
        <v>3100</v>
      </c>
      <c r="F957" s="7">
        <v>1700</v>
      </c>
      <c r="G957" s="7">
        <f t="shared" si="101"/>
        <v>1400</v>
      </c>
      <c r="H957" s="98">
        <v>900</v>
      </c>
      <c r="I957" s="7">
        <v>500</v>
      </c>
      <c r="J957" s="7">
        <f t="shared" si="107"/>
        <v>400</v>
      </c>
      <c r="K957" s="99">
        <f t="shared" si="106"/>
        <v>12798.2</v>
      </c>
      <c r="L957" s="7">
        <v>1000</v>
      </c>
      <c r="M957" s="7">
        <v>4500</v>
      </c>
      <c r="N957" s="7">
        <v>2970</v>
      </c>
      <c r="O957" s="7">
        <v>0</v>
      </c>
      <c r="P957" s="7">
        <v>8353.8398087267542</v>
      </c>
      <c r="Q957" s="7">
        <v>795.81047617324657</v>
      </c>
      <c r="R957" s="113">
        <f t="shared" si="102"/>
        <v>0.55468163942624626</v>
      </c>
      <c r="S957" s="113">
        <f t="shared" si="103"/>
        <v>0.54838709677419351</v>
      </c>
      <c r="T957" s="113">
        <f t="shared" si="104"/>
        <v>0.55555555555555558</v>
      </c>
      <c r="U957" s="113">
        <f t="shared" si="105"/>
        <v>0.55287476391866508</v>
      </c>
    </row>
    <row r="958" spans="1:21" x14ac:dyDescent="0.45">
      <c r="A958" s="95">
        <v>45518</v>
      </c>
      <c r="B958" s="96">
        <v>8798.2000000000007</v>
      </c>
      <c r="C958" s="7">
        <v>4880.2</v>
      </c>
      <c r="D958" s="7">
        <f t="shared" si="100"/>
        <v>3918.0000000000009</v>
      </c>
      <c r="E958" s="97">
        <v>3100</v>
      </c>
      <c r="F958" s="7">
        <v>1700</v>
      </c>
      <c r="G958" s="7">
        <f t="shared" si="101"/>
        <v>1400</v>
      </c>
      <c r="H958" s="98">
        <v>900</v>
      </c>
      <c r="I958" s="7">
        <v>500</v>
      </c>
      <c r="J958" s="7">
        <f t="shared" si="107"/>
        <v>400</v>
      </c>
      <c r="K958" s="99">
        <f t="shared" si="106"/>
        <v>12798.2</v>
      </c>
      <c r="L958" s="7">
        <v>1000</v>
      </c>
      <c r="M958" s="7">
        <v>4500</v>
      </c>
      <c r="N958" s="7">
        <v>2800</v>
      </c>
      <c r="O958" s="7">
        <v>0</v>
      </c>
      <c r="P958" s="7">
        <v>8353.8398087267542</v>
      </c>
      <c r="Q958" s="7">
        <v>1381.6818695932463</v>
      </c>
      <c r="R958" s="113">
        <f t="shared" si="102"/>
        <v>0.55468163942624626</v>
      </c>
      <c r="S958" s="113">
        <f t="shared" si="103"/>
        <v>0.54838709677419351</v>
      </c>
      <c r="T958" s="113">
        <f t="shared" si="104"/>
        <v>0.55555555555555558</v>
      </c>
      <c r="U958" s="113">
        <f t="shared" si="105"/>
        <v>0.55287476391866508</v>
      </c>
    </row>
    <row r="959" spans="1:21" x14ac:dyDescent="0.45">
      <c r="A959" s="95">
        <v>45519</v>
      </c>
      <c r="B959" s="96">
        <v>8766.2000000000007</v>
      </c>
      <c r="C959" s="7">
        <v>4818.2</v>
      </c>
      <c r="D959" s="7">
        <f t="shared" si="100"/>
        <v>3948.0000000000009</v>
      </c>
      <c r="E959" s="97">
        <v>3100</v>
      </c>
      <c r="F959" s="7">
        <v>1700</v>
      </c>
      <c r="G959" s="7">
        <f t="shared" si="101"/>
        <v>1400</v>
      </c>
      <c r="H959" s="98">
        <v>900</v>
      </c>
      <c r="I959" s="7">
        <v>500</v>
      </c>
      <c r="J959" s="7">
        <f t="shared" si="107"/>
        <v>400</v>
      </c>
      <c r="K959" s="99">
        <f t="shared" si="106"/>
        <v>12766.2</v>
      </c>
      <c r="L959" s="7">
        <v>1000</v>
      </c>
      <c r="M959" s="7">
        <v>5280</v>
      </c>
      <c r="N959" s="7">
        <v>3300</v>
      </c>
      <c r="O959" s="7">
        <v>0</v>
      </c>
      <c r="P959" s="7">
        <v>8353.8398087267542</v>
      </c>
      <c r="Q959" s="7">
        <v>764.44179979324633</v>
      </c>
      <c r="R959" s="113">
        <f t="shared" si="102"/>
        <v>0.54963382081175416</v>
      </c>
      <c r="S959" s="113">
        <f t="shared" si="103"/>
        <v>0.54838709677419351</v>
      </c>
      <c r="T959" s="113">
        <f t="shared" si="104"/>
        <v>0.55555555555555558</v>
      </c>
      <c r="U959" s="113">
        <f t="shared" si="105"/>
        <v>0.55119215771383445</v>
      </c>
    </row>
    <row r="960" spans="1:21" x14ac:dyDescent="0.45">
      <c r="A960" s="95">
        <v>45520</v>
      </c>
      <c r="B960" s="96">
        <v>8766.2000000000007</v>
      </c>
      <c r="C960" s="7">
        <v>4818.2</v>
      </c>
      <c r="D960" s="7">
        <f t="shared" si="100"/>
        <v>3948.0000000000009</v>
      </c>
      <c r="E960" s="97">
        <v>3100</v>
      </c>
      <c r="F960" s="7">
        <v>1700</v>
      </c>
      <c r="G960" s="7">
        <f t="shared" si="101"/>
        <v>1400</v>
      </c>
      <c r="H960" s="98">
        <v>900</v>
      </c>
      <c r="I960" s="7">
        <v>500</v>
      </c>
      <c r="J960" s="7">
        <f t="shared" si="107"/>
        <v>400</v>
      </c>
      <c r="K960" s="99">
        <f t="shared" si="106"/>
        <v>12766.2</v>
      </c>
      <c r="L960" s="7">
        <v>1000</v>
      </c>
      <c r="M960" s="7">
        <v>5280</v>
      </c>
      <c r="N960" s="7">
        <v>2470</v>
      </c>
      <c r="O960" s="7">
        <v>0</v>
      </c>
      <c r="P960" s="7">
        <v>8353.8398087267542</v>
      </c>
      <c r="Q960" s="7">
        <v>1965.1319119032455</v>
      </c>
      <c r="R960" s="113">
        <f t="shared" si="102"/>
        <v>0.54963382081175416</v>
      </c>
      <c r="S960" s="113">
        <f t="shared" si="103"/>
        <v>0.54838709677419351</v>
      </c>
      <c r="T960" s="113">
        <f t="shared" si="104"/>
        <v>0.55555555555555558</v>
      </c>
      <c r="U960" s="113">
        <f t="shared" si="105"/>
        <v>0.55119215771383445</v>
      </c>
    </row>
    <row r="961" spans="1:21" x14ac:dyDescent="0.45">
      <c r="A961" s="95">
        <v>45521</v>
      </c>
      <c r="B961" s="96">
        <v>8766.2000000000007</v>
      </c>
      <c r="C961" s="7">
        <v>4818.2</v>
      </c>
      <c r="D961" s="7">
        <f t="shared" si="100"/>
        <v>3948.0000000000009</v>
      </c>
      <c r="E961" s="97">
        <v>3100</v>
      </c>
      <c r="F961" s="7">
        <v>1700</v>
      </c>
      <c r="G961" s="7">
        <f t="shared" si="101"/>
        <v>1400</v>
      </c>
      <c r="H961" s="98">
        <v>900</v>
      </c>
      <c r="I961" s="7">
        <v>500</v>
      </c>
      <c r="J961" s="7">
        <f t="shared" si="107"/>
        <v>400</v>
      </c>
      <c r="K961" s="99">
        <f t="shared" si="106"/>
        <v>12766.2</v>
      </c>
      <c r="L961" s="7">
        <v>1000</v>
      </c>
      <c r="M961" s="7">
        <v>5280</v>
      </c>
      <c r="N961" s="7">
        <v>2470</v>
      </c>
      <c r="O961" s="7">
        <v>0</v>
      </c>
      <c r="P961" s="7">
        <v>8353.8398087267542</v>
      </c>
      <c r="Q961" s="7">
        <v>1965.1319119032455</v>
      </c>
      <c r="R961" s="113">
        <f t="shared" si="102"/>
        <v>0.54963382081175416</v>
      </c>
      <c r="S961" s="113">
        <f t="shared" si="103"/>
        <v>0.54838709677419351</v>
      </c>
      <c r="T961" s="113">
        <f t="shared" si="104"/>
        <v>0.55555555555555558</v>
      </c>
      <c r="U961" s="113">
        <f t="shared" si="105"/>
        <v>0.55119215771383445</v>
      </c>
    </row>
    <row r="962" spans="1:21" x14ac:dyDescent="0.45">
      <c r="A962" s="95">
        <v>45522</v>
      </c>
      <c r="B962" s="96">
        <v>8766.2000000000007</v>
      </c>
      <c r="C962" s="7">
        <v>4818.2</v>
      </c>
      <c r="D962" s="7">
        <f t="shared" ref="D962:D1025" si="108">B962-C962</f>
        <v>3948.0000000000009</v>
      </c>
      <c r="E962" s="97">
        <v>3100</v>
      </c>
      <c r="F962" s="7">
        <v>1700</v>
      </c>
      <c r="G962" s="7">
        <f t="shared" ref="G962:G1025" si="109">E962-F962</f>
        <v>1400</v>
      </c>
      <c r="H962" s="98">
        <v>900</v>
      </c>
      <c r="I962" s="7">
        <v>500</v>
      </c>
      <c r="J962" s="7">
        <f t="shared" si="107"/>
        <v>400</v>
      </c>
      <c r="K962" s="99">
        <f t="shared" si="106"/>
        <v>12766.2</v>
      </c>
      <c r="L962" s="7">
        <v>1000</v>
      </c>
      <c r="M962" s="7">
        <v>5280</v>
      </c>
      <c r="N962" s="7">
        <v>2470</v>
      </c>
      <c r="O962" s="7">
        <v>0</v>
      </c>
      <c r="P962" s="7">
        <v>8353.8398087267542</v>
      </c>
      <c r="Q962" s="7">
        <v>1965.1319119032455</v>
      </c>
      <c r="R962" s="113">
        <f t="shared" si="102"/>
        <v>0.54963382081175416</v>
      </c>
      <c r="S962" s="113">
        <f t="shared" si="103"/>
        <v>0.54838709677419351</v>
      </c>
      <c r="T962" s="113">
        <f t="shared" si="104"/>
        <v>0.55555555555555558</v>
      </c>
      <c r="U962" s="113">
        <f t="shared" si="105"/>
        <v>0.55119215771383445</v>
      </c>
    </row>
    <row r="963" spans="1:21" x14ac:dyDescent="0.45">
      <c r="A963" s="95">
        <v>45523</v>
      </c>
      <c r="B963" s="96">
        <v>8766.2000000000007</v>
      </c>
      <c r="C963" s="7">
        <v>4818.2</v>
      </c>
      <c r="D963" s="7">
        <f t="shared" si="108"/>
        <v>3948.0000000000009</v>
      </c>
      <c r="E963" s="97">
        <v>3100</v>
      </c>
      <c r="F963" s="7">
        <v>1700</v>
      </c>
      <c r="G963" s="7">
        <f t="shared" si="109"/>
        <v>1400</v>
      </c>
      <c r="H963" s="98">
        <v>900</v>
      </c>
      <c r="I963" s="7">
        <v>500</v>
      </c>
      <c r="J963" s="7">
        <f t="shared" si="107"/>
        <v>400</v>
      </c>
      <c r="K963" s="99">
        <f t="shared" si="106"/>
        <v>12766.2</v>
      </c>
      <c r="L963" s="7">
        <v>1000</v>
      </c>
      <c r="M963" s="7">
        <v>5280</v>
      </c>
      <c r="N963" s="7">
        <v>4950</v>
      </c>
      <c r="O963" s="7">
        <v>0</v>
      </c>
      <c r="P963" s="7">
        <v>8353.8398087267542</v>
      </c>
      <c r="Q963" s="7">
        <v>-453.52828891675398</v>
      </c>
      <c r="R963" s="113">
        <f t="shared" ref="R963:R1026" si="110">C963/B963</f>
        <v>0.54963382081175416</v>
      </c>
      <c r="S963" s="113">
        <f t="shared" ref="S963:S1026" si="111">F963/E963</f>
        <v>0.54838709677419351</v>
      </c>
      <c r="T963" s="113">
        <f t="shared" ref="T963:T1026" si="112">IF(H963=0,0,I963/H963)</f>
        <v>0.55555555555555558</v>
      </c>
      <c r="U963" s="113">
        <f t="shared" ref="U963:U1026" si="113">AVERAGE(R963:T963)</f>
        <v>0.55119215771383445</v>
      </c>
    </row>
    <row r="964" spans="1:21" x14ac:dyDescent="0.45">
      <c r="A964" s="95">
        <v>45524</v>
      </c>
      <c r="B964" s="96">
        <v>8766.2000000000007</v>
      </c>
      <c r="C964" s="7">
        <v>4818.2</v>
      </c>
      <c r="D964" s="7">
        <f t="shared" si="108"/>
        <v>3948.0000000000009</v>
      </c>
      <c r="E964" s="97">
        <v>3100</v>
      </c>
      <c r="F964" s="7">
        <v>1700</v>
      </c>
      <c r="G964" s="7">
        <f t="shared" si="109"/>
        <v>1400</v>
      </c>
      <c r="H964" s="98">
        <v>900</v>
      </c>
      <c r="I964" s="7">
        <v>500</v>
      </c>
      <c r="J964" s="7">
        <f t="shared" si="107"/>
        <v>400</v>
      </c>
      <c r="K964" s="99">
        <f t="shared" ref="K964:K1027" si="114">B964+E964+H964</f>
        <v>12766.2</v>
      </c>
      <c r="L964" s="7">
        <v>1000</v>
      </c>
      <c r="M964" s="7">
        <v>5280</v>
      </c>
      <c r="N964" s="7">
        <v>4980</v>
      </c>
      <c r="O964" s="7">
        <v>0</v>
      </c>
      <c r="P964" s="7">
        <v>8353.8398087267542</v>
      </c>
      <c r="Q964" s="7">
        <v>-744.86726772675388</v>
      </c>
      <c r="R964" s="113">
        <f t="shared" si="110"/>
        <v>0.54963382081175416</v>
      </c>
      <c r="S964" s="113">
        <f t="shared" si="111"/>
        <v>0.54838709677419351</v>
      </c>
      <c r="T964" s="113">
        <f t="shared" si="112"/>
        <v>0.55555555555555558</v>
      </c>
      <c r="U964" s="113">
        <f t="shared" si="113"/>
        <v>0.55119215771383445</v>
      </c>
    </row>
    <row r="965" spans="1:21" x14ac:dyDescent="0.45">
      <c r="A965" s="95">
        <v>45525</v>
      </c>
      <c r="B965" s="96">
        <v>8766.2000000000007</v>
      </c>
      <c r="C965" s="7">
        <v>4818.2</v>
      </c>
      <c r="D965" s="7">
        <f t="shared" si="108"/>
        <v>3948.0000000000009</v>
      </c>
      <c r="E965" s="97">
        <v>3100</v>
      </c>
      <c r="F965" s="7">
        <v>1700</v>
      </c>
      <c r="G965" s="7">
        <f t="shared" si="109"/>
        <v>1400</v>
      </c>
      <c r="H965" s="98">
        <v>900</v>
      </c>
      <c r="I965" s="7">
        <v>500</v>
      </c>
      <c r="J965" s="7">
        <f t="shared" si="107"/>
        <v>400</v>
      </c>
      <c r="K965" s="99">
        <f t="shared" si="114"/>
        <v>12766.2</v>
      </c>
      <c r="L965" s="7">
        <v>1000</v>
      </c>
      <c r="M965" s="7">
        <v>5280</v>
      </c>
      <c r="N965" s="7">
        <v>3570</v>
      </c>
      <c r="O965" s="7">
        <v>0</v>
      </c>
      <c r="P965" s="7">
        <v>8353.8398087267542</v>
      </c>
      <c r="Q965" s="7">
        <v>-434.95071645675415</v>
      </c>
      <c r="R965" s="113">
        <f t="shared" si="110"/>
        <v>0.54963382081175416</v>
      </c>
      <c r="S965" s="113">
        <f t="shared" si="111"/>
        <v>0.54838709677419351</v>
      </c>
      <c r="T965" s="113">
        <f t="shared" si="112"/>
        <v>0.55555555555555558</v>
      </c>
      <c r="U965" s="113">
        <f t="shared" si="113"/>
        <v>0.55119215771383445</v>
      </c>
    </row>
    <row r="966" spans="1:21" x14ac:dyDescent="0.45">
      <c r="A966" s="95">
        <v>45526</v>
      </c>
      <c r="B966" s="96">
        <v>8633.17</v>
      </c>
      <c r="C966" s="7">
        <v>4685.17</v>
      </c>
      <c r="D966" s="7">
        <f t="shared" si="108"/>
        <v>3948</v>
      </c>
      <c r="E966" s="97">
        <v>3100</v>
      </c>
      <c r="F966" s="7">
        <v>1700</v>
      </c>
      <c r="G966" s="7">
        <f t="shared" si="109"/>
        <v>1400</v>
      </c>
      <c r="H966" s="98">
        <v>900</v>
      </c>
      <c r="I966" s="7">
        <v>500</v>
      </c>
      <c r="J966" s="7">
        <f t="shared" si="107"/>
        <v>400</v>
      </c>
      <c r="K966" s="99">
        <f t="shared" si="114"/>
        <v>12633.17</v>
      </c>
      <c r="L966" s="7">
        <v>1000</v>
      </c>
      <c r="M966" s="7">
        <v>3550</v>
      </c>
      <c r="N966" s="7">
        <v>3350</v>
      </c>
      <c r="O966" s="7">
        <v>0</v>
      </c>
      <c r="P966" s="7">
        <v>8353.8398087267542</v>
      </c>
      <c r="Q966" s="7">
        <v>918.57877448324575</v>
      </c>
      <c r="R966" s="113">
        <f t="shared" si="110"/>
        <v>0.54269405096853185</v>
      </c>
      <c r="S966" s="113">
        <f t="shared" si="111"/>
        <v>0.54838709677419351</v>
      </c>
      <c r="T966" s="113">
        <f t="shared" si="112"/>
        <v>0.55555555555555558</v>
      </c>
      <c r="U966" s="113">
        <f t="shared" si="113"/>
        <v>0.54887890109942694</v>
      </c>
    </row>
    <row r="967" spans="1:21" x14ac:dyDescent="0.45">
      <c r="A967" s="95">
        <v>45527</v>
      </c>
      <c r="B967" s="96">
        <v>8633.17</v>
      </c>
      <c r="C967" s="7">
        <v>4685.17</v>
      </c>
      <c r="D967" s="7">
        <f t="shared" si="108"/>
        <v>3948</v>
      </c>
      <c r="E967" s="97">
        <v>3100</v>
      </c>
      <c r="F967" s="7">
        <v>1700</v>
      </c>
      <c r="G967" s="7">
        <f t="shared" si="109"/>
        <v>1400</v>
      </c>
      <c r="H967" s="98">
        <v>900</v>
      </c>
      <c r="I967" s="7">
        <v>500</v>
      </c>
      <c r="J967" s="7">
        <f t="shared" si="107"/>
        <v>400</v>
      </c>
      <c r="K967" s="99">
        <f t="shared" si="114"/>
        <v>12633.17</v>
      </c>
      <c r="L967" s="7">
        <v>1000</v>
      </c>
      <c r="M967" s="7">
        <v>3550</v>
      </c>
      <c r="N967" s="7">
        <v>3000</v>
      </c>
      <c r="O967" s="7">
        <v>0</v>
      </c>
      <c r="P967" s="7">
        <v>8353.8398087267542</v>
      </c>
      <c r="Q967" s="7">
        <v>1886.8573108332469</v>
      </c>
      <c r="R967" s="113">
        <f t="shared" si="110"/>
        <v>0.54269405096853185</v>
      </c>
      <c r="S967" s="113">
        <f t="shared" si="111"/>
        <v>0.54838709677419351</v>
      </c>
      <c r="T967" s="113">
        <f t="shared" si="112"/>
        <v>0.55555555555555558</v>
      </c>
      <c r="U967" s="113">
        <f t="shared" si="113"/>
        <v>0.54887890109942694</v>
      </c>
    </row>
    <row r="968" spans="1:21" x14ac:dyDescent="0.45">
      <c r="A968" s="95">
        <v>45528</v>
      </c>
      <c r="B968" s="96">
        <v>8633.17</v>
      </c>
      <c r="C968" s="7">
        <v>4685.17</v>
      </c>
      <c r="D968" s="7">
        <f t="shared" si="108"/>
        <v>3948</v>
      </c>
      <c r="E968" s="97">
        <v>3100</v>
      </c>
      <c r="F968" s="7">
        <v>1700</v>
      </c>
      <c r="G968" s="7">
        <f t="shared" si="109"/>
        <v>1400</v>
      </c>
      <c r="H968" s="98">
        <v>900</v>
      </c>
      <c r="I968" s="7">
        <v>500</v>
      </c>
      <c r="J968" s="7">
        <f t="shared" si="107"/>
        <v>400</v>
      </c>
      <c r="K968" s="99">
        <f t="shared" si="114"/>
        <v>12633.17</v>
      </c>
      <c r="L968" s="7">
        <v>1000</v>
      </c>
      <c r="M968" s="7">
        <v>3550</v>
      </c>
      <c r="N968" s="7">
        <v>3000</v>
      </c>
      <c r="O968" s="7">
        <v>0</v>
      </c>
      <c r="P968" s="7">
        <v>8353.8398087267542</v>
      </c>
      <c r="Q968" s="7">
        <v>1886.8573108332469</v>
      </c>
      <c r="R968" s="113">
        <f t="shared" si="110"/>
        <v>0.54269405096853185</v>
      </c>
      <c r="S968" s="113">
        <f t="shared" si="111"/>
        <v>0.54838709677419351</v>
      </c>
      <c r="T968" s="113">
        <f t="shared" si="112"/>
        <v>0.55555555555555558</v>
      </c>
      <c r="U968" s="113">
        <f t="shared" si="113"/>
        <v>0.54887890109942694</v>
      </c>
    </row>
    <row r="969" spans="1:21" x14ac:dyDescent="0.45">
      <c r="A969" s="95">
        <v>45529</v>
      </c>
      <c r="B969" s="96">
        <v>8633.17</v>
      </c>
      <c r="C969" s="7">
        <v>4685.17</v>
      </c>
      <c r="D969" s="7">
        <f t="shared" si="108"/>
        <v>3948</v>
      </c>
      <c r="E969" s="97">
        <v>3100</v>
      </c>
      <c r="F969" s="7">
        <v>1700</v>
      </c>
      <c r="G969" s="7">
        <f t="shared" si="109"/>
        <v>1400</v>
      </c>
      <c r="H969" s="98">
        <v>900</v>
      </c>
      <c r="I969" s="7">
        <v>500</v>
      </c>
      <c r="J969" s="7">
        <f t="shared" si="107"/>
        <v>400</v>
      </c>
      <c r="K969" s="99">
        <f t="shared" si="114"/>
        <v>12633.17</v>
      </c>
      <c r="L969" s="7">
        <v>1000</v>
      </c>
      <c r="M969" s="7">
        <v>3550</v>
      </c>
      <c r="N969" s="7">
        <v>3000</v>
      </c>
      <c r="O969" s="7">
        <v>0</v>
      </c>
      <c r="P969" s="7">
        <v>8353.8398087267542</v>
      </c>
      <c r="Q969" s="7">
        <v>1886.8573108332469</v>
      </c>
      <c r="R969" s="113">
        <f t="shared" si="110"/>
        <v>0.54269405096853185</v>
      </c>
      <c r="S969" s="113">
        <f t="shared" si="111"/>
        <v>0.54838709677419351</v>
      </c>
      <c r="T969" s="113">
        <f t="shared" si="112"/>
        <v>0.55555555555555558</v>
      </c>
      <c r="U969" s="113">
        <f t="shared" si="113"/>
        <v>0.54887890109942694</v>
      </c>
    </row>
    <row r="970" spans="1:21" x14ac:dyDescent="0.45">
      <c r="A970" s="95">
        <v>45530</v>
      </c>
      <c r="B970" s="96">
        <v>8633.17</v>
      </c>
      <c r="C970" s="7">
        <v>4685.17</v>
      </c>
      <c r="D970" s="7">
        <f t="shared" si="108"/>
        <v>3948</v>
      </c>
      <c r="E970" s="97">
        <v>3100</v>
      </c>
      <c r="F970" s="7">
        <v>1700</v>
      </c>
      <c r="G970" s="7">
        <f t="shared" si="109"/>
        <v>1400</v>
      </c>
      <c r="H970" s="98">
        <v>900</v>
      </c>
      <c r="I970" s="7">
        <v>500</v>
      </c>
      <c r="J970" s="7">
        <f t="shared" ref="J970:J1013" si="115">H970-I970</f>
        <v>400</v>
      </c>
      <c r="K970" s="99">
        <f t="shared" si="114"/>
        <v>12633.17</v>
      </c>
      <c r="L970" s="7">
        <v>1000</v>
      </c>
      <c r="M970" s="7">
        <v>3550</v>
      </c>
      <c r="N970" s="7">
        <v>4400</v>
      </c>
      <c r="O970" s="7">
        <v>0</v>
      </c>
      <c r="P970" s="7">
        <v>8353.8398087267542</v>
      </c>
      <c r="Q970" s="7">
        <v>1215.2729255032459</v>
      </c>
      <c r="R970" s="113">
        <f t="shared" si="110"/>
        <v>0.54269405096853185</v>
      </c>
      <c r="S970" s="113">
        <f t="shared" si="111"/>
        <v>0.54838709677419351</v>
      </c>
      <c r="T970" s="113">
        <f t="shared" si="112"/>
        <v>0.55555555555555558</v>
      </c>
      <c r="U970" s="113">
        <f t="shared" si="113"/>
        <v>0.54887890109942694</v>
      </c>
    </row>
    <row r="971" spans="1:21" x14ac:dyDescent="0.45">
      <c r="A971" s="95">
        <v>45531</v>
      </c>
      <c r="B971" s="96">
        <v>8633.17</v>
      </c>
      <c r="C971" s="7">
        <v>4685.17</v>
      </c>
      <c r="D971" s="7">
        <f t="shared" si="108"/>
        <v>3948</v>
      </c>
      <c r="E971" s="97">
        <v>3100</v>
      </c>
      <c r="F971" s="7">
        <v>1700</v>
      </c>
      <c r="G971" s="7">
        <f t="shared" si="109"/>
        <v>1400</v>
      </c>
      <c r="H971" s="98">
        <v>900</v>
      </c>
      <c r="I971" s="7">
        <v>500</v>
      </c>
      <c r="J971" s="7">
        <f t="shared" si="115"/>
        <v>400</v>
      </c>
      <c r="K971" s="99">
        <f t="shared" si="114"/>
        <v>12633.17</v>
      </c>
      <c r="L971" s="7">
        <v>1000</v>
      </c>
      <c r="M971" s="7">
        <v>3550</v>
      </c>
      <c r="N971" s="7">
        <v>4500</v>
      </c>
      <c r="O971" s="7">
        <v>0</v>
      </c>
      <c r="P971" s="7">
        <v>8353.8398087267542</v>
      </c>
      <c r="Q971" s="7">
        <v>1384.3560862132458</v>
      </c>
      <c r="R971" s="113">
        <f t="shared" si="110"/>
        <v>0.54269405096853185</v>
      </c>
      <c r="S971" s="113">
        <f t="shared" si="111"/>
        <v>0.54838709677419351</v>
      </c>
      <c r="T971" s="113">
        <f t="shared" si="112"/>
        <v>0.55555555555555558</v>
      </c>
      <c r="U971" s="113">
        <f t="shared" si="113"/>
        <v>0.54887890109942694</v>
      </c>
    </row>
    <row r="972" spans="1:21" x14ac:dyDescent="0.45">
      <c r="A972" s="95">
        <v>45532</v>
      </c>
      <c r="B972" s="96">
        <v>8633.17</v>
      </c>
      <c r="C972" s="7">
        <v>4685.17</v>
      </c>
      <c r="D972" s="7">
        <f t="shared" si="108"/>
        <v>3948</v>
      </c>
      <c r="E972" s="97">
        <v>3100</v>
      </c>
      <c r="F972" s="7">
        <v>1700</v>
      </c>
      <c r="G972" s="7">
        <f t="shared" si="109"/>
        <v>1400</v>
      </c>
      <c r="H972" s="98">
        <v>900</v>
      </c>
      <c r="I972" s="7">
        <v>500</v>
      </c>
      <c r="J972" s="7">
        <f t="shared" si="115"/>
        <v>400</v>
      </c>
      <c r="K972" s="99">
        <f t="shared" si="114"/>
        <v>12633.17</v>
      </c>
      <c r="L972" s="7">
        <v>1000</v>
      </c>
      <c r="M972" s="7">
        <v>3550</v>
      </c>
      <c r="N972" s="7">
        <v>4915</v>
      </c>
      <c r="O972" s="7">
        <v>0</v>
      </c>
      <c r="P972" s="7">
        <v>8353.8398087267542</v>
      </c>
      <c r="Q972" s="7">
        <v>1282.9902028332456</v>
      </c>
      <c r="R972" s="113">
        <f t="shared" si="110"/>
        <v>0.54269405096853185</v>
      </c>
      <c r="S972" s="113">
        <f t="shared" si="111"/>
        <v>0.54838709677419351</v>
      </c>
      <c r="T972" s="113">
        <f t="shared" si="112"/>
        <v>0.55555555555555558</v>
      </c>
      <c r="U972" s="113">
        <f t="shared" si="113"/>
        <v>0.54887890109942694</v>
      </c>
    </row>
    <row r="973" spans="1:21" x14ac:dyDescent="0.45">
      <c r="A973" s="95">
        <v>45533</v>
      </c>
      <c r="B973" s="96">
        <v>8473.17</v>
      </c>
      <c r="C973" s="7">
        <v>4525.17</v>
      </c>
      <c r="D973" s="7">
        <f t="shared" si="108"/>
        <v>3948</v>
      </c>
      <c r="E973" s="97">
        <v>3400</v>
      </c>
      <c r="F973" s="7">
        <v>2000</v>
      </c>
      <c r="G973" s="7">
        <f t="shared" si="109"/>
        <v>1400</v>
      </c>
      <c r="H973" s="98">
        <v>2400</v>
      </c>
      <c r="I973" s="7">
        <v>2000</v>
      </c>
      <c r="J973" s="7">
        <f t="shared" si="115"/>
        <v>400</v>
      </c>
      <c r="K973" s="99">
        <f t="shared" si="114"/>
        <v>14273.17</v>
      </c>
      <c r="L973" s="7">
        <v>1000</v>
      </c>
      <c r="M973" s="7">
        <v>3550</v>
      </c>
      <c r="N973" s="7">
        <v>3070</v>
      </c>
      <c r="O973" s="7">
        <v>0</v>
      </c>
      <c r="P973" s="7">
        <v>8353.8398087267542</v>
      </c>
      <c r="Q973" s="7">
        <v>5054.6020467632461</v>
      </c>
      <c r="R973" s="113">
        <f t="shared" si="110"/>
        <v>0.53405868169764092</v>
      </c>
      <c r="S973" s="113">
        <f t="shared" si="111"/>
        <v>0.58823529411764708</v>
      </c>
      <c r="T973" s="113">
        <f t="shared" si="112"/>
        <v>0.83333333333333337</v>
      </c>
      <c r="U973" s="113">
        <f t="shared" si="113"/>
        <v>0.6518757697162072</v>
      </c>
    </row>
    <row r="974" spans="1:21" x14ac:dyDescent="0.45">
      <c r="A974" s="95">
        <v>45534</v>
      </c>
      <c r="B974" s="96">
        <v>8473.17</v>
      </c>
      <c r="C974" s="7">
        <v>4525.17</v>
      </c>
      <c r="D974" s="7">
        <f t="shared" si="108"/>
        <v>3948</v>
      </c>
      <c r="E974" s="97">
        <v>3400</v>
      </c>
      <c r="F974" s="7">
        <v>2000</v>
      </c>
      <c r="G974" s="7">
        <f t="shared" si="109"/>
        <v>1400</v>
      </c>
      <c r="H974" s="98">
        <v>2400</v>
      </c>
      <c r="I974" s="7">
        <v>2000</v>
      </c>
      <c r="J974" s="7">
        <f t="shared" si="115"/>
        <v>400</v>
      </c>
      <c r="K974" s="99">
        <f t="shared" si="114"/>
        <v>14273.17</v>
      </c>
      <c r="L974" s="7">
        <v>3100</v>
      </c>
      <c r="M974" s="7">
        <v>400</v>
      </c>
      <c r="N974" s="7">
        <v>3172</v>
      </c>
      <c r="O974" s="7">
        <v>0</v>
      </c>
      <c r="P974" s="7">
        <v>8353.8398087267542</v>
      </c>
      <c r="Q974" s="7">
        <v>4729.3632732732458</v>
      </c>
      <c r="R974" s="113">
        <f t="shared" si="110"/>
        <v>0.53405868169764092</v>
      </c>
      <c r="S974" s="113">
        <f t="shared" si="111"/>
        <v>0.58823529411764708</v>
      </c>
      <c r="T974" s="113">
        <f t="shared" si="112"/>
        <v>0.83333333333333337</v>
      </c>
      <c r="U974" s="113">
        <f t="shared" si="113"/>
        <v>0.6518757697162072</v>
      </c>
    </row>
    <row r="975" spans="1:21" x14ac:dyDescent="0.45">
      <c r="A975" s="95">
        <v>45535</v>
      </c>
      <c r="B975" s="96">
        <v>8473.17</v>
      </c>
      <c r="C975" s="7">
        <v>4525.17</v>
      </c>
      <c r="D975" s="7">
        <f t="shared" si="108"/>
        <v>3948</v>
      </c>
      <c r="E975" s="97">
        <v>3400</v>
      </c>
      <c r="F975" s="7">
        <v>2000</v>
      </c>
      <c r="G975" s="7">
        <f t="shared" si="109"/>
        <v>1400</v>
      </c>
      <c r="H975" s="98">
        <v>2400</v>
      </c>
      <c r="I975" s="7">
        <v>2000</v>
      </c>
      <c r="J975" s="7">
        <f t="shared" si="115"/>
        <v>400</v>
      </c>
      <c r="K975" s="99">
        <f t="shared" si="114"/>
        <v>14273.17</v>
      </c>
      <c r="L975" s="7">
        <v>3100</v>
      </c>
      <c r="M975" s="7">
        <v>400</v>
      </c>
      <c r="N975" s="7">
        <v>3172</v>
      </c>
      <c r="O975" s="7">
        <v>0</v>
      </c>
      <c r="P975" s="7">
        <v>8353.8398087267542</v>
      </c>
      <c r="Q975" s="7">
        <v>4729.3632732732458</v>
      </c>
      <c r="R975" s="113">
        <f t="shared" si="110"/>
        <v>0.53405868169764092</v>
      </c>
      <c r="S975" s="113">
        <f t="shared" si="111"/>
        <v>0.58823529411764708</v>
      </c>
      <c r="T975" s="113">
        <f t="shared" si="112"/>
        <v>0.83333333333333337</v>
      </c>
      <c r="U975" s="113">
        <f t="shared" si="113"/>
        <v>0.6518757697162072</v>
      </c>
    </row>
    <row r="976" spans="1:21" x14ac:dyDescent="0.45">
      <c r="A976" s="95">
        <v>45536</v>
      </c>
      <c r="B976" s="96">
        <v>8473.17</v>
      </c>
      <c r="C976" s="7">
        <v>4525.17</v>
      </c>
      <c r="D976" s="7">
        <f t="shared" si="108"/>
        <v>3948</v>
      </c>
      <c r="E976" s="97">
        <v>3400</v>
      </c>
      <c r="F976" s="7">
        <v>2000</v>
      </c>
      <c r="G976" s="7">
        <f t="shared" si="109"/>
        <v>1400</v>
      </c>
      <c r="H976" s="98">
        <v>2400</v>
      </c>
      <c r="I976" s="7">
        <v>2000</v>
      </c>
      <c r="J976" s="7">
        <f t="shared" si="115"/>
        <v>400</v>
      </c>
      <c r="K976" s="99">
        <f t="shared" si="114"/>
        <v>14273.17</v>
      </c>
      <c r="L976" s="7">
        <v>3100</v>
      </c>
      <c r="M976" s="7">
        <v>400</v>
      </c>
      <c r="N976" s="7">
        <v>3172</v>
      </c>
      <c r="O976" s="7">
        <v>0</v>
      </c>
      <c r="P976" s="7">
        <v>8353.8398087267542</v>
      </c>
      <c r="Q976" s="7">
        <v>4729.3632732732458</v>
      </c>
      <c r="R976" s="113">
        <f t="shared" si="110"/>
        <v>0.53405868169764092</v>
      </c>
      <c r="S976" s="113">
        <f t="shared" si="111"/>
        <v>0.58823529411764708</v>
      </c>
      <c r="T976" s="113">
        <f t="shared" si="112"/>
        <v>0.83333333333333337</v>
      </c>
      <c r="U976" s="113">
        <f t="shared" si="113"/>
        <v>0.6518757697162072</v>
      </c>
    </row>
    <row r="977" spans="1:21" x14ac:dyDescent="0.45">
      <c r="A977" s="95">
        <v>45537</v>
      </c>
      <c r="B977" s="96">
        <v>8473.17</v>
      </c>
      <c r="C977" s="7">
        <v>4525.17</v>
      </c>
      <c r="D977" s="7">
        <f t="shared" si="108"/>
        <v>3948</v>
      </c>
      <c r="E977" s="97">
        <v>3400</v>
      </c>
      <c r="F977" s="7">
        <v>2000</v>
      </c>
      <c r="G977" s="7">
        <f t="shared" si="109"/>
        <v>1400</v>
      </c>
      <c r="H977" s="98">
        <v>2400</v>
      </c>
      <c r="I977" s="7">
        <v>2000</v>
      </c>
      <c r="J977" s="7">
        <f t="shared" si="115"/>
        <v>400</v>
      </c>
      <c r="K977" s="99">
        <f t="shared" si="114"/>
        <v>14273.17</v>
      </c>
      <c r="L977" s="7">
        <v>3100</v>
      </c>
      <c r="M977" s="7">
        <v>400</v>
      </c>
      <c r="N977" s="7">
        <v>3280</v>
      </c>
      <c r="O977" s="7">
        <v>0</v>
      </c>
      <c r="P977" s="7">
        <v>8250.3048964899499</v>
      </c>
      <c r="Q977" s="7">
        <v>4675.1504320500499</v>
      </c>
      <c r="R977" s="113">
        <f t="shared" si="110"/>
        <v>0.53405868169764092</v>
      </c>
      <c r="S977" s="113">
        <f t="shared" si="111"/>
        <v>0.58823529411764708</v>
      </c>
      <c r="T977" s="113">
        <f t="shared" si="112"/>
        <v>0.83333333333333337</v>
      </c>
      <c r="U977" s="113">
        <f t="shared" si="113"/>
        <v>0.6518757697162072</v>
      </c>
    </row>
    <row r="978" spans="1:21" x14ac:dyDescent="0.45">
      <c r="A978" s="95">
        <v>45538</v>
      </c>
      <c r="B978" s="96">
        <v>8473.17</v>
      </c>
      <c r="C978" s="7">
        <v>4525.17</v>
      </c>
      <c r="D978" s="7">
        <f t="shared" si="108"/>
        <v>3948</v>
      </c>
      <c r="E978" s="97">
        <v>3400</v>
      </c>
      <c r="F978" s="7">
        <v>2000</v>
      </c>
      <c r="G978" s="7">
        <f t="shared" si="109"/>
        <v>1400</v>
      </c>
      <c r="H978" s="98">
        <v>2400</v>
      </c>
      <c r="I978" s="7">
        <v>2000</v>
      </c>
      <c r="J978" s="7">
        <f t="shared" si="115"/>
        <v>400</v>
      </c>
      <c r="K978" s="99">
        <f t="shared" si="114"/>
        <v>14273.17</v>
      </c>
      <c r="L978" s="7">
        <v>3100</v>
      </c>
      <c r="M978" s="7">
        <v>400</v>
      </c>
      <c r="N978" s="7">
        <v>3008</v>
      </c>
      <c r="O978" s="7">
        <v>0</v>
      </c>
      <c r="P978" s="7">
        <v>8250.3048964899499</v>
      </c>
      <c r="Q978" s="7">
        <v>5193.6769137400524</v>
      </c>
      <c r="R978" s="113">
        <f t="shared" si="110"/>
        <v>0.53405868169764092</v>
      </c>
      <c r="S978" s="113">
        <f t="shared" si="111"/>
        <v>0.58823529411764708</v>
      </c>
      <c r="T978" s="113">
        <f t="shared" si="112"/>
        <v>0.83333333333333337</v>
      </c>
      <c r="U978" s="113">
        <f t="shared" si="113"/>
        <v>0.6518757697162072</v>
      </c>
    </row>
    <row r="979" spans="1:21" x14ac:dyDescent="0.45">
      <c r="A979" s="95">
        <v>45539</v>
      </c>
      <c r="B979" s="96">
        <v>8473.17</v>
      </c>
      <c r="C979" s="7">
        <v>4525.17</v>
      </c>
      <c r="D979" s="7">
        <f t="shared" si="108"/>
        <v>3948</v>
      </c>
      <c r="E979" s="97">
        <v>3400</v>
      </c>
      <c r="F979" s="7">
        <v>2000</v>
      </c>
      <c r="G979" s="7">
        <f t="shared" si="109"/>
        <v>1400</v>
      </c>
      <c r="H979" s="98">
        <v>2400</v>
      </c>
      <c r="I979" s="7">
        <v>2000</v>
      </c>
      <c r="J979" s="7">
        <f t="shared" si="115"/>
        <v>400</v>
      </c>
      <c r="K979" s="99">
        <f t="shared" si="114"/>
        <v>14273.17</v>
      </c>
      <c r="L979" s="7">
        <v>3100</v>
      </c>
      <c r="M979" s="7">
        <v>400</v>
      </c>
      <c r="N979" s="7">
        <v>3002</v>
      </c>
      <c r="O979" s="7">
        <v>0</v>
      </c>
      <c r="P979" s="7">
        <v>8250.3048964899499</v>
      </c>
      <c r="Q979" s="7">
        <v>4065.5398770400511</v>
      </c>
      <c r="R979" s="113">
        <f t="shared" si="110"/>
        <v>0.53405868169764092</v>
      </c>
      <c r="S979" s="113">
        <f t="shared" si="111"/>
        <v>0.58823529411764708</v>
      </c>
      <c r="T979" s="113">
        <f t="shared" si="112"/>
        <v>0.83333333333333337</v>
      </c>
      <c r="U979" s="113">
        <f t="shared" si="113"/>
        <v>0.6518757697162072</v>
      </c>
    </row>
    <row r="980" spans="1:21" x14ac:dyDescent="0.45">
      <c r="A980" s="95">
        <v>45540</v>
      </c>
      <c r="B980" s="96">
        <v>8773.17</v>
      </c>
      <c r="C980" s="7">
        <v>4825.17</v>
      </c>
      <c r="D980" s="7">
        <f t="shared" si="108"/>
        <v>3948</v>
      </c>
      <c r="E980" s="97">
        <v>3400</v>
      </c>
      <c r="F980" s="7">
        <v>2000</v>
      </c>
      <c r="G980" s="7">
        <f t="shared" si="109"/>
        <v>1400</v>
      </c>
      <c r="H980" s="98">
        <v>2400</v>
      </c>
      <c r="I980" s="7">
        <v>2000</v>
      </c>
      <c r="J980" s="7">
        <f t="shared" si="115"/>
        <v>400</v>
      </c>
      <c r="K980" s="99">
        <f t="shared" si="114"/>
        <v>14573.17</v>
      </c>
      <c r="L980" s="7">
        <v>2200</v>
      </c>
      <c r="M980" s="7">
        <v>5000</v>
      </c>
      <c r="N980" s="7">
        <v>2506</v>
      </c>
      <c r="O980" s="7">
        <v>0</v>
      </c>
      <c r="P980" s="7">
        <v>8250.3048964899499</v>
      </c>
      <c r="Q980" s="7">
        <v>3531.3003669900513</v>
      </c>
      <c r="R980" s="113">
        <f t="shared" si="110"/>
        <v>0.54999162218445552</v>
      </c>
      <c r="S980" s="113">
        <f t="shared" si="111"/>
        <v>0.58823529411764708</v>
      </c>
      <c r="T980" s="113">
        <f t="shared" si="112"/>
        <v>0.83333333333333337</v>
      </c>
      <c r="U980" s="113">
        <f t="shared" si="113"/>
        <v>0.65718674987847869</v>
      </c>
    </row>
    <row r="981" spans="1:21" x14ac:dyDescent="0.45">
      <c r="A981" s="95">
        <v>45541</v>
      </c>
      <c r="B981" s="96">
        <v>8773.17</v>
      </c>
      <c r="C981" s="7">
        <v>4825.17</v>
      </c>
      <c r="D981" s="7">
        <f t="shared" si="108"/>
        <v>3948</v>
      </c>
      <c r="E981" s="97">
        <v>3400</v>
      </c>
      <c r="F981" s="7">
        <v>2000</v>
      </c>
      <c r="G981" s="7">
        <f t="shared" si="109"/>
        <v>1400</v>
      </c>
      <c r="H981" s="98">
        <v>2400</v>
      </c>
      <c r="I981" s="7">
        <v>2000</v>
      </c>
      <c r="J981" s="7">
        <f t="shared" si="115"/>
        <v>400</v>
      </c>
      <c r="K981" s="99">
        <f t="shared" si="114"/>
        <v>14573.17</v>
      </c>
      <c r="L981" s="7">
        <v>2200</v>
      </c>
      <c r="M981" s="7">
        <v>1700</v>
      </c>
      <c r="N981" s="7">
        <v>2250</v>
      </c>
      <c r="O981" s="7">
        <v>0</v>
      </c>
      <c r="P981" s="7">
        <v>8250.3048964899499</v>
      </c>
      <c r="Q981" s="7">
        <v>2173.9188782200508</v>
      </c>
      <c r="R981" s="113">
        <f t="shared" si="110"/>
        <v>0.54999162218445552</v>
      </c>
      <c r="S981" s="113">
        <f t="shared" si="111"/>
        <v>0.58823529411764708</v>
      </c>
      <c r="T981" s="113">
        <f t="shared" si="112"/>
        <v>0.83333333333333337</v>
      </c>
      <c r="U981" s="113">
        <f t="shared" si="113"/>
        <v>0.65718674987847869</v>
      </c>
    </row>
    <row r="982" spans="1:21" x14ac:dyDescent="0.45">
      <c r="A982" s="95">
        <v>45542</v>
      </c>
      <c r="B982" s="96">
        <v>8773.17</v>
      </c>
      <c r="C982" s="7">
        <v>4825.17</v>
      </c>
      <c r="D982" s="7">
        <f t="shared" si="108"/>
        <v>3948</v>
      </c>
      <c r="E982" s="97">
        <v>3400</v>
      </c>
      <c r="F982" s="7">
        <v>2000</v>
      </c>
      <c r="G982" s="7">
        <f t="shared" si="109"/>
        <v>1400</v>
      </c>
      <c r="H982" s="98">
        <v>2400</v>
      </c>
      <c r="I982" s="7">
        <v>2000</v>
      </c>
      <c r="J982" s="7">
        <f t="shared" si="115"/>
        <v>400</v>
      </c>
      <c r="K982" s="99">
        <f t="shared" si="114"/>
        <v>14573.17</v>
      </c>
      <c r="L982" s="7">
        <v>2200</v>
      </c>
      <c r="M982" s="7">
        <v>1700</v>
      </c>
      <c r="N982" s="7">
        <v>2250</v>
      </c>
      <c r="O982" s="7">
        <v>0</v>
      </c>
      <c r="P982" s="7">
        <v>8250.3048964899499</v>
      </c>
      <c r="Q982" s="7">
        <v>2173.9188782200508</v>
      </c>
      <c r="R982" s="113">
        <f t="shared" si="110"/>
        <v>0.54999162218445552</v>
      </c>
      <c r="S982" s="113">
        <f t="shared" si="111"/>
        <v>0.58823529411764708</v>
      </c>
      <c r="T982" s="113">
        <f t="shared" si="112"/>
        <v>0.83333333333333337</v>
      </c>
      <c r="U982" s="113">
        <f t="shared" si="113"/>
        <v>0.65718674987847869</v>
      </c>
    </row>
    <row r="983" spans="1:21" x14ac:dyDescent="0.45">
      <c r="A983" s="95">
        <v>45543</v>
      </c>
      <c r="B983" s="96">
        <v>8773.17</v>
      </c>
      <c r="C983" s="7">
        <v>4825.17</v>
      </c>
      <c r="D983" s="7">
        <f t="shared" si="108"/>
        <v>3948</v>
      </c>
      <c r="E983" s="97">
        <v>3400</v>
      </c>
      <c r="F983" s="7">
        <v>2000</v>
      </c>
      <c r="G983" s="7">
        <f t="shared" si="109"/>
        <v>1400</v>
      </c>
      <c r="H983" s="98">
        <v>2400</v>
      </c>
      <c r="I983" s="7">
        <v>2000</v>
      </c>
      <c r="J983" s="7">
        <f t="shared" si="115"/>
        <v>400</v>
      </c>
      <c r="K983" s="99">
        <f t="shared" si="114"/>
        <v>14573.17</v>
      </c>
      <c r="L983" s="7">
        <v>2200</v>
      </c>
      <c r="M983" s="7">
        <v>1700</v>
      </c>
      <c r="N983" s="7">
        <v>2250</v>
      </c>
      <c r="O983" s="7">
        <v>0</v>
      </c>
      <c r="P983" s="7">
        <v>8250.3048964899499</v>
      </c>
      <c r="Q983" s="7">
        <v>2173.9188782200508</v>
      </c>
      <c r="R983" s="113">
        <f t="shared" si="110"/>
        <v>0.54999162218445552</v>
      </c>
      <c r="S983" s="113">
        <f t="shared" si="111"/>
        <v>0.58823529411764708</v>
      </c>
      <c r="T983" s="113">
        <f t="shared" si="112"/>
        <v>0.83333333333333337</v>
      </c>
      <c r="U983" s="113">
        <f t="shared" si="113"/>
        <v>0.65718674987847869</v>
      </c>
    </row>
    <row r="984" spans="1:21" x14ac:dyDescent="0.45">
      <c r="A984" s="95">
        <v>45544</v>
      </c>
      <c r="B984" s="96">
        <v>8773.17</v>
      </c>
      <c r="C984" s="7">
        <v>4825.17</v>
      </c>
      <c r="D984" s="7">
        <f t="shared" si="108"/>
        <v>3948</v>
      </c>
      <c r="E984" s="97">
        <v>3400</v>
      </c>
      <c r="F984" s="7">
        <v>2000</v>
      </c>
      <c r="G984" s="7">
        <f t="shared" si="109"/>
        <v>1400</v>
      </c>
      <c r="H984" s="98">
        <v>2400</v>
      </c>
      <c r="I984" s="7">
        <v>2000</v>
      </c>
      <c r="J984" s="7">
        <f t="shared" si="115"/>
        <v>400</v>
      </c>
      <c r="K984" s="99">
        <f t="shared" si="114"/>
        <v>14573.17</v>
      </c>
      <c r="L984" s="7">
        <v>2200</v>
      </c>
      <c r="M984" s="7">
        <v>1700</v>
      </c>
      <c r="N984" s="7">
        <v>2651</v>
      </c>
      <c r="O984" s="7">
        <v>0</v>
      </c>
      <c r="P984" s="7">
        <v>8250.3048964899499</v>
      </c>
      <c r="Q984" s="7">
        <v>1721.7607075300509</v>
      </c>
      <c r="R984" s="113">
        <f t="shared" si="110"/>
        <v>0.54999162218445552</v>
      </c>
      <c r="S984" s="113">
        <f t="shared" si="111"/>
        <v>0.58823529411764708</v>
      </c>
      <c r="T984" s="113">
        <f t="shared" si="112"/>
        <v>0.83333333333333337</v>
      </c>
      <c r="U984" s="113">
        <f t="shared" si="113"/>
        <v>0.65718674987847869</v>
      </c>
    </row>
    <row r="985" spans="1:21" x14ac:dyDescent="0.45">
      <c r="A985" s="95">
        <v>45545</v>
      </c>
      <c r="B985" s="96">
        <v>8773.17</v>
      </c>
      <c r="C985" s="7">
        <v>4825.17</v>
      </c>
      <c r="D985" s="7">
        <f t="shared" si="108"/>
        <v>3948</v>
      </c>
      <c r="E985" s="97">
        <v>3400</v>
      </c>
      <c r="F985" s="7">
        <v>2000</v>
      </c>
      <c r="G985" s="7">
        <f t="shared" si="109"/>
        <v>1400</v>
      </c>
      <c r="H985" s="98">
        <v>2400</v>
      </c>
      <c r="I985" s="7">
        <v>2000</v>
      </c>
      <c r="J985" s="7">
        <f t="shared" si="115"/>
        <v>400</v>
      </c>
      <c r="K985" s="99">
        <f t="shared" si="114"/>
        <v>14573.17</v>
      </c>
      <c r="L985" s="7">
        <v>2200</v>
      </c>
      <c r="M985" s="7">
        <v>1700</v>
      </c>
      <c r="N985" s="7">
        <v>2958</v>
      </c>
      <c r="O985" s="7">
        <v>0</v>
      </c>
      <c r="P985" s="7">
        <v>8250.3048964899499</v>
      </c>
      <c r="Q985" s="7">
        <v>1574.7559556500505</v>
      </c>
      <c r="R985" s="113">
        <f t="shared" si="110"/>
        <v>0.54999162218445552</v>
      </c>
      <c r="S985" s="113">
        <f t="shared" si="111"/>
        <v>0.58823529411764708</v>
      </c>
      <c r="T985" s="113">
        <f t="shared" si="112"/>
        <v>0.83333333333333337</v>
      </c>
      <c r="U985" s="113">
        <f t="shared" si="113"/>
        <v>0.65718674987847869</v>
      </c>
    </row>
    <row r="986" spans="1:21" x14ac:dyDescent="0.45">
      <c r="A986" s="95">
        <v>45546</v>
      </c>
      <c r="B986" s="96">
        <v>8773.17</v>
      </c>
      <c r="C986" s="7">
        <v>4825.17</v>
      </c>
      <c r="D986" s="7">
        <f t="shared" si="108"/>
        <v>3948</v>
      </c>
      <c r="E986" s="97">
        <v>3400</v>
      </c>
      <c r="F986" s="7">
        <v>2000</v>
      </c>
      <c r="G986" s="7">
        <f t="shared" si="109"/>
        <v>1400</v>
      </c>
      <c r="H986" s="98">
        <v>2400</v>
      </c>
      <c r="I986" s="7">
        <v>2000</v>
      </c>
      <c r="J986" s="7">
        <f t="shared" si="115"/>
        <v>400</v>
      </c>
      <c r="K986" s="99">
        <f t="shared" si="114"/>
        <v>14573.17</v>
      </c>
      <c r="L986" s="7">
        <v>2200</v>
      </c>
      <c r="M986" s="7">
        <v>1700</v>
      </c>
      <c r="N986" s="7">
        <v>2745.3939999999998</v>
      </c>
      <c r="O986" s="7">
        <v>0</v>
      </c>
      <c r="P986" s="7">
        <v>8250.3048964899499</v>
      </c>
      <c r="Q986" s="7">
        <v>1472.0187598600512</v>
      </c>
      <c r="R986" s="113">
        <f t="shared" si="110"/>
        <v>0.54999162218445552</v>
      </c>
      <c r="S986" s="113">
        <f t="shared" si="111"/>
        <v>0.58823529411764708</v>
      </c>
      <c r="T986" s="113">
        <f t="shared" si="112"/>
        <v>0.83333333333333337</v>
      </c>
      <c r="U986" s="113">
        <f t="shared" si="113"/>
        <v>0.65718674987847869</v>
      </c>
    </row>
    <row r="987" spans="1:21" x14ac:dyDescent="0.45">
      <c r="A987" s="95">
        <v>45547</v>
      </c>
      <c r="B987" s="96">
        <v>8345.17</v>
      </c>
      <c r="C987" s="7">
        <v>4552.17</v>
      </c>
      <c r="D987" s="7">
        <f t="shared" si="108"/>
        <v>3793</v>
      </c>
      <c r="E987" s="97">
        <v>3400</v>
      </c>
      <c r="F987" s="7">
        <v>2000</v>
      </c>
      <c r="G987" s="7">
        <f t="shared" si="109"/>
        <v>1400</v>
      </c>
      <c r="H987" s="98">
        <v>2400</v>
      </c>
      <c r="I987" s="7">
        <v>2000</v>
      </c>
      <c r="J987" s="7">
        <f t="shared" si="115"/>
        <v>400</v>
      </c>
      <c r="K987" s="99">
        <f t="shared" si="114"/>
        <v>14145.17</v>
      </c>
      <c r="L987" s="7">
        <v>2400</v>
      </c>
      <c r="M987" s="7">
        <v>6100</v>
      </c>
      <c r="N987" s="7">
        <v>2432</v>
      </c>
      <c r="O987" s="7">
        <v>0</v>
      </c>
      <c r="P987" s="7">
        <v>8250.3048964899499</v>
      </c>
      <c r="Q987" s="7">
        <v>3158.3775010200507</v>
      </c>
      <c r="R987" s="113">
        <f t="shared" si="110"/>
        <v>0.54548559226474713</v>
      </c>
      <c r="S987" s="113">
        <f t="shared" si="111"/>
        <v>0.58823529411764708</v>
      </c>
      <c r="T987" s="113">
        <f t="shared" si="112"/>
        <v>0.83333333333333337</v>
      </c>
      <c r="U987" s="113">
        <f t="shared" si="113"/>
        <v>0.65568473990524245</v>
      </c>
    </row>
    <row r="988" spans="1:21" x14ac:dyDescent="0.45">
      <c r="A988" s="95">
        <v>45548</v>
      </c>
      <c r="B988" s="96">
        <v>8345.17</v>
      </c>
      <c r="C988" s="7">
        <v>4552.17</v>
      </c>
      <c r="D988" s="7">
        <f t="shared" si="108"/>
        <v>3793</v>
      </c>
      <c r="E988" s="97">
        <v>3400</v>
      </c>
      <c r="F988" s="7">
        <v>2000</v>
      </c>
      <c r="G988" s="7">
        <f t="shared" si="109"/>
        <v>1400</v>
      </c>
      <c r="H988" s="98">
        <v>2400</v>
      </c>
      <c r="I988" s="7">
        <v>2000</v>
      </c>
      <c r="J988" s="7">
        <f t="shared" si="115"/>
        <v>400</v>
      </c>
      <c r="K988" s="99">
        <f t="shared" si="114"/>
        <v>14145.17</v>
      </c>
      <c r="L988" s="7">
        <v>2400</v>
      </c>
      <c r="M988" s="7">
        <v>6100</v>
      </c>
      <c r="N988" s="7">
        <v>4784</v>
      </c>
      <c r="O988" s="7">
        <v>0</v>
      </c>
      <c r="P988" s="7">
        <v>8250.3048964899499</v>
      </c>
      <c r="Q988" s="7">
        <v>898.83577276005099</v>
      </c>
      <c r="R988" s="113">
        <f t="shared" si="110"/>
        <v>0.54548559226474713</v>
      </c>
      <c r="S988" s="113">
        <f t="shared" si="111"/>
        <v>0.58823529411764708</v>
      </c>
      <c r="T988" s="113">
        <f t="shared" si="112"/>
        <v>0.83333333333333337</v>
      </c>
      <c r="U988" s="113">
        <f t="shared" si="113"/>
        <v>0.65568473990524245</v>
      </c>
    </row>
    <row r="989" spans="1:21" x14ac:dyDescent="0.45">
      <c r="A989" s="95">
        <v>45549</v>
      </c>
      <c r="B989" s="96">
        <v>8345.17</v>
      </c>
      <c r="C989" s="7">
        <v>4552.17</v>
      </c>
      <c r="D989" s="7">
        <f t="shared" si="108"/>
        <v>3793</v>
      </c>
      <c r="E989" s="97">
        <v>3400</v>
      </c>
      <c r="F989" s="7">
        <v>2000</v>
      </c>
      <c r="G989" s="7">
        <f t="shared" si="109"/>
        <v>1400</v>
      </c>
      <c r="H989" s="98">
        <v>2400</v>
      </c>
      <c r="I989" s="7">
        <v>2000</v>
      </c>
      <c r="J989" s="7">
        <f t="shared" si="115"/>
        <v>400</v>
      </c>
      <c r="K989" s="99">
        <f t="shared" si="114"/>
        <v>14145.17</v>
      </c>
      <c r="L989" s="7">
        <v>2400</v>
      </c>
      <c r="M989" s="7">
        <v>6100</v>
      </c>
      <c r="N989" s="7">
        <v>4784</v>
      </c>
      <c r="O989" s="7">
        <v>0</v>
      </c>
      <c r="P989" s="7">
        <v>8250.3048964899499</v>
      </c>
      <c r="Q989" s="7">
        <v>898.83577276005099</v>
      </c>
      <c r="R989" s="113">
        <f t="shared" si="110"/>
        <v>0.54548559226474713</v>
      </c>
      <c r="S989" s="113">
        <f t="shared" si="111"/>
        <v>0.58823529411764708</v>
      </c>
      <c r="T989" s="113">
        <f t="shared" si="112"/>
        <v>0.83333333333333337</v>
      </c>
      <c r="U989" s="113">
        <f t="shared" si="113"/>
        <v>0.65568473990524245</v>
      </c>
    </row>
    <row r="990" spans="1:21" x14ac:dyDescent="0.45">
      <c r="A990" s="95">
        <v>45550</v>
      </c>
      <c r="B990" s="96">
        <v>8345.17</v>
      </c>
      <c r="C990" s="7">
        <v>4552.17</v>
      </c>
      <c r="D990" s="7">
        <f t="shared" si="108"/>
        <v>3793</v>
      </c>
      <c r="E990" s="97">
        <v>3400</v>
      </c>
      <c r="F990" s="7">
        <v>2000</v>
      </c>
      <c r="G990" s="7">
        <f t="shared" si="109"/>
        <v>1400</v>
      </c>
      <c r="H990" s="98">
        <v>2400</v>
      </c>
      <c r="I990" s="7">
        <v>2000</v>
      </c>
      <c r="J990" s="7">
        <f t="shared" si="115"/>
        <v>400</v>
      </c>
      <c r="K990" s="99">
        <f t="shared" si="114"/>
        <v>14145.17</v>
      </c>
      <c r="L990" s="7">
        <v>2400</v>
      </c>
      <c r="M990" s="7">
        <v>6100</v>
      </c>
      <c r="N990" s="7">
        <v>4784</v>
      </c>
      <c r="O990" s="7">
        <v>0</v>
      </c>
      <c r="P990" s="7">
        <v>8250.3048964899499</v>
      </c>
      <c r="Q990" s="7">
        <v>898.83577276005099</v>
      </c>
      <c r="R990" s="113">
        <f t="shared" si="110"/>
        <v>0.54548559226474713</v>
      </c>
      <c r="S990" s="113">
        <f t="shared" si="111"/>
        <v>0.58823529411764708</v>
      </c>
      <c r="T990" s="113">
        <f t="shared" si="112"/>
        <v>0.83333333333333337</v>
      </c>
      <c r="U990" s="113">
        <f t="shared" si="113"/>
        <v>0.65568473990524245</v>
      </c>
    </row>
    <row r="991" spans="1:21" x14ac:dyDescent="0.45">
      <c r="A991" s="95">
        <v>45551</v>
      </c>
      <c r="B991" s="96">
        <v>8345.17</v>
      </c>
      <c r="C991" s="7">
        <v>4552.17</v>
      </c>
      <c r="D991" s="7">
        <f t="shared" si="108"/>
        <v>3793</v>
      </c>
      <c r="E991" s="97">
        <v>3400</v>
      </c>
      <c r="F991" s="7">
        <v>2000</v>
      </c>
      <c r="G991" s="7">
        <f t="shared" si="109"/>
        <v>1400</v>
      </c>
      <c r="H991" s="98">
        <v>2400</v>
      </c>
      <c r="I991" s="7">
        <v>2000</v>
      </c>
      <c r="J991" s="7">
        <f t="shared" si="115"/>
        <v>400</v>
      </c>
      <c r="K991" s="99">
        <f t="shared" si="114"/>
        <v>14145.17</v>
      </c>
      <c r="L991" s="7">
        <v>2400</v>
      </c>
      <c r="M991" s="7">
        <v>6100</v>
      </c>
      <c r="N991" s="7">
        <v>4784</v>
      </c>
      <c r="O991" s="7">
        <v>0</v>
      </c>
      <c r="P991" s="7">
        <v>8250.3048964899499</v>
      </c>
      <c r="Q991" s="7">
        <v>898.83577276005099</v>
      </c>
      <c r="R991" s="113">
        <f t="shared" si="110"/>
        <v>0.54548559226474713</v>
      </c>
      <c r="S991" s="113">
        <f t="shared" si="111"/>
        <v>0.58823529411764708</v>
      </c>
      <c r="T991" s="113">
        <f t="shared" si="112"/>
        <v>0.83333333333333337</v>
      </c>
      <c r="U991" s="113">
        <f t="shared" si="113"/>
        <v>0.65568473990524245</v>
      </c>
    </row>
    <row r="992" spans="1:21" x14ac:dyDescent="0.45">
      <c r="A992" s="95">
        <v>45552</v>
      </c>
      <c r="B992" s="96">
        <v>8345.17</v>
      </c>
      <c r="C992" s="7">
        <v>4552.17</v>
      </c>
      <c r="D992" s="7">
        <f t="shared" si="108"/>
        <v>3793</v>
      </c>
      <c r="E992" s="97">
        <v>3400</v>
      </c>
      <c r="F992" s="7">
        <v>2000</v>
      </c>
      <c r="G992" s="7">
        <f t="shared" si="109"/>
        <v>1400</v>
      </c>
      <c r="H992" s="98">
        <v>2400</v>
      </c>
      <c r="I992" s="7">
        <v>2000</v>
      </c>
      <c r="J992" s="7">
        <f t="shared" si="115"/>
        <v>400</v>
      </c>
      <c r="K992" s="99">
        <f t="shared" si="114"/>
        <v>14145.17</v>
      </c>
      <c r="L992" s="7">
        <v>2400</v>
      </c>
      <c r="M992" s="7">
        <v>6100</v>
      </c>
      <c r="N992" s="7">
        <v>2444</v>
      </c>
      <c r="O992" s="7">
        <v>0</v>
      </c>
      <c r="P992" s="7">
        <v>8250.3048964899499</v>
      </c>
      <c r="Q992" s="7">
        <v>2421.2059684000519</v>
      </c>
      <c r="R992" s="113">
        <f t="shared" si="110"/>
        <v>0.54548559226474713</v>
      </c>
      <c r="S992" s="113">
        <f t="shared" si="111"/>
        <v>0.58823529411764708</v>
      </c>
      <c r="T992" s="113">
        <f t="shared" si="112"/>
        <v>0.83333333333333337</v>
      </c>
      <c r="U992" s="113">
        <f t="shared" si="113"/>
        <v>0.65568473990524245</v>
      </c>
    </row>
    <row r="993" spans="1:21" x14ac:dyDescent="0.45">
      <c r="A993" s="95">
        <v>45553</v>
      </c>
      <c r="B993" s="96">
        <v>8345.17</v>
      </c>
      <c r="C993" s="7">
        <v>4552.17</v>
      </c>
      <c r="D993" s="7">
        <f t="shared" si="108"/>
        <v>3793</v>
      </c>
      <c r="E993" s="97">
        <v>3400</v>
      </c>
      <c r="F993" s="7">
        <v>2000</v>
      </c>
      <c r="G993" s="7">
        <f t="shared" si="109"/>
        <v>1400</v>
      </c>
      <c r="H993" s="98">
        <v>2400</v>
      </c>
      <c r="I993" s="7">
        <v>2000</v>
      </c>
      <c r="J993" s="7">
        <f t="shared" si="115"/>
        <v>400</v>
      </c>
      <c r="K993" s="99">
        <f t="shared" si="114"/>
        <v>14145.17</v>
      </c>
      <c r="L993" s="7">
        <v>2400</v>
      </c>
      <c r="M993" s="7">
        <v>6100</v>
      </c>
      <c r="N993" s="7">
        <v>2046</v>
      </c>
      <c r="O993" s="7">
        <v>0</v>
      </c>
      <c r="P993" s="7">
        <v>8250.3048964899499</v>
      </c>
      <c r="Q993" s="7">
        <v>2928.5347179100518</v>
      </c>
      <c r="R993" s="113">
        <f t="shared" si="110"/>
        <v>0.54548559226474713</v>
      </c>
      <c r="S993" s="113">
        <f t="shared" si="111"/>
        <v>0.58823529411764708</v>
      </c>
      <c r="T993" s="113">
        <f t="shared" si="112"/>
        <v>0.83333333333333337</v>
      </c>
      <c r="U993" s="113">
        <f t="shared" si="113"/>
        <v>0.65568473990524245</v>
      </c>
    </row>
    <row r="994" spans="1:21" x14ac:dyDescent="0.45">
      <c r="A994" s="95">
        <v>45554</v>
      </c>
      <c r="B994" s="96">
        <v>8705.17</v>
      </c>
      <c r="C994" s="7">
        <v>5037.97</v>
      </c>
      <c r="D994" s="7">
        <f t="shared" si="108"/>
        <v>3667.2</v>
      </c>
      <c r="E994" s="97">
        <v>3400</v>
      </c>
      <c r="F994" s="7">
        <v>2000</v>
      </c>
      <c r="G994" s="7">
        <f t="shared" si="109"/>
        <v>1400</v>
      </c>
      <c r="H994" s="98">
        <v>2400</v>
      </c>
      <c r="I994" s="7">
        <v>2000</v>
      </c>
      <c r="J994" s="7">
        <f t="shared" si="115"/>
        <v>400</v>
      </c>
      <c r="K994" s="99">
        <f t="shared" si="114"/>
        <v>14505.17</v>
      </c>
      <c r="L994" s="7">
        <v>1800</v>
      </c>
      <c r="M994" s="7">
        <v>7500</v>
      </c>
      <c r="N994" s="7">
        <v>2148</v>
      </c>
      <c r="O994" s="7">
        <v>0</v>
      </c>
      <c r="P994" s="7">
        <v>8250.3048964899499</v>
      </c>
      <c r="Q994" s="7">
        <v>1503.403206030051</v>
      </c>
      <c r="R994" s="113">
        <f t="shared" si="110"/>
        <v>0.57873309768792569</v>
      </c>
      <c r="S994" s="113">
        <f t="shared" si="111"/>
        <v>0.58823529411764708</v>
      </c>
      <c r="T994" s="113">
        <f t="shared" si="112"/>
        <v>0.83333333333333337</v>
      </c>
      <c r="U994" s="113">
        <f t="shared" si="113"/>
        <v>0.66676724171296875</v>
      </c>
    </row>
    <row r="995" spans="1:21" x14ac:dyDescent="0.45">
      <c r="A995" s="95">
        <v>45555</v>
      </c>
      <c r="B995" s="96">
        <v>8705.17</v>
      </c>
      <c r="C995" s="7">
        <v>5037.97</v>
      </c>
      <c r="D995" s="7">
        <f t="shared" si="108"/>
        <v>3667.2</v>
      </c>
      <c r="E995" s="97">
        <v>3400</v>
      </c>
      <c r="F995" s="7">
        <v>2000</v>
      </c>
      <c r="G995" s="7">
        <f t="shared" si="109"/>
        <v>1400</v>
      </c>
      <c r="H995" s="98">
        <v>2400</v>
      </c>
      <c r="I995" s="7">
        <v>2000</v>
      </c>
      <c r="J995" s="7">
        <f t="shared" si="115"/>
        <v>400</v>
      </c>
      <c r="K995" s="99">
        <f t="shared" si="114"/>
        <v>14505.17</v>
      </c>
      <c r="L995" s="7">
        <v>1800</v>
      </c>
      <c r="M995" s="7">
        <v>7500</v>
      </c>
      <c r="N995" s="7">
        <v>2244</v>
      </c>
      <c r="O995" s="7">
        <v>0</v>
      </c>
      <c r="P995" s="7">
        <v>8250.3048964899499</v>
      </c>
      <c r="Q995" s="7">
        <v>1331.8360548700512</v>
      </c>
      <c r="R995" s="113">
        <f t="shared" si="110"/>
        <v>0.57873309768792569</v>
      </c>
      <c r="S995" s="113">
        <f t="shared" si="111"/>
        <v>0.58823529411764708</v>
      </c>
      <c r="T995" s="113">
        <f t="shared" si="112"/>
        <v>0.83333333333333337</v>
      </c>
      <c r="U995" s="113">
        <f t="shared" si="113"/>
        <v>0.66676724171296875</v>
      </c>
    </row>
    <row r="996" spans="1:21" x14ac:dyDescent="0.45">
      <c r="A996" s="95">
        <v>45556</v>
      </c>
      <c r="B996" s="96">
        <v>8705.17</v>
      </c>
      <c r="C996" s="7">
        <v>5037.97</v>
      </c>
      <c r="D996" s="7">
        <f t="shared" si="108"/>
        <v>3667.2</v>
      </c>
      <c r="E996" s="97">
        <v>3400</v>
      </c>
      <c r="F996" s="7">
        <v>2000</v>
      </c>
      <c r="G996" s="7">
        <f t="shared" si="109"/>
        <v>1400</v>
      </c>
      <c r="H996" s="98">
        <v>2400</v>
      </c>
      <c r="I996" s="7">
        <v>2000</v>
      </c>
      <c r="J996" s="7">
        <f t="shared" si="115"/>
        <v>400</v>
      </c>
      <c r="K996" s="99">
        <f t="shared" si="114"/>
        <v>14505.17</v>
      </c>
      <c r="L996" s="7">
        <v>1800</v>
      </c>
      <c r="M996" s="7">
        <v>7500</v>
      </c>
      <c r="N996" s="7">
        <v>2244</v>
      </c>
      <c r="O996" s="7">
        <v>0</v>
      </c>
      <c r="P996" s="7">
        <v>8250.3048964899499</v>
      </c>
      <c r="Q996" s="7">
        <v>1331.8360548700512</v>
      </c>
      <c r="R996" s="113">
        <f t="shared" si="110"/>
        <v>0.57873309768792569</v>
      </c>
      <c r="S996" s="113">
        <f t="shared" si="111"/>
        <v>0.58823529411764708</v>
      </c>
      <c r="T996" s="113">
        <f t="shared" si="112"/>
        <v>0.83333333333333337</v>
      </c>
      <c r="U996" s="113">
        <f t="shared" si="113"/>
        <v>0.66676724171296875</v>
      </c>
    </row>
    <row r="997" spans="1:21" x14ac:dyDescent="0.45">
      <c r="A997" s="95">
        <v>45557</v>
      </c>
      <c r="B997" s="96">
        <v>8705.17</v>
      </c>
      <c r="C997" s="7">
        <v>5037.97</v>
      </c>
      <c r="D997" s="7">
        <f t="shared" si="108"/>
        <v>3667.2</v>
      </c>
      <c r="E997" s="97">
        <v>3400</v>
      </c>
      <c r="F997" s="7">
        <v>2000</v>
      </c>
      <c r="G997" s="7">
        <f t="shared" si="109"/>
        <v>1400</v>
      </c>
      <c r="H997" s="98">
        <v>2400</v>
      </c>
      <c r="I997" s="7">
        <v>2000</v>
      </c>
      <c r="J997" s="7">
        <f t="shared" si="115"/>
        <v>400</v>
      </c>
      <c r="K997" s="99">
        <f t="shared" si="114"/>
        <v>14505.17</v>
      </c>
      <c r="L997" s="7">
        <v>1800</v>
      </c>
      <c r="M997" s="7">
        <v>7500</v>
      </c>
      <c r="N997" s="7">
        <v>2244</v>
      </c>
      <c r="O997" s="7">
        <v>0</v>
      </c>
      <c r="P997" s="7">
        <v>8250.3048964899499</v>
      </c>
      <c r="Q997" s="7">
        <v>1331.8360548700512</v>
      </c>
      <c r="R997" s="113">
        <f t="shared" si="110"/>
        <v>0.57873309768792569</v>
      </c>
      <c r="S997" s="113">
        <f t="shared" si="111"/>
        <v>0.58823529411764708</v>
      </c>
      <c r="T997" s="113">
        <f t="shared" si="112"/>
        <v>0.83333333333333337</v>
      </c>
      <c r="U997" s="113">
        <f t="shared" si="113"/>
        <v>0.66676724171296875</v>
      </c>
    </row>
    <row r="998" spans="1:21" x14ac:dyDescent="0.45">
      <c r="A998" s="95">
        <v>45558</v>
      </c>
      <c r="B998" s="96">
        <v>8705.17</v>
      </c>
      <c r="C998" s="7">
        <v>5037.97</v>
      </c>
      <c r="D998" s="7">
        <f t="shared" si="108"/>
        <v>3667.2</v>
      </c>
      <c r="E998" s="97">
        <v>3400</v>
      </c>
      <c r="F998" s="7">
        <v>2000</v>
      </c>
      <c r="G998" s="7">
        <f t="shared" si="109"/>
        <v>1400</v>
      </c>
      <c r="H998" s="98">
        <v>2400</v>
      </c>
      <c r="I998" s="7">
        <v>2000</v>
      </c>
      <c r="J998" s="7">
        <f t="shared" si="115"/>
        <v>400</v>
      </c>
      <c r="K998" s="99">
        <f t="shared" si="114"/>
        <v>14505.17</v>
      </c>
      <c r="L998" s="7">
        <v>1800</v>
      </c>
      <c r="M998" s="7">
        <v>7500</v>
      </c>
      <c r="N998" s="7">
        <v>3306</v>
      </c>
      <c r="O998" s="7">
        <v>0</v>
      </c>
      <c r="P998" s="7">
        <v>8250.3048964899499</v>
      </c>
      <c r="Q998" s="7">
        <v>194.53077558005145</v>
      </c>
      <c r="R998" s="113">
        <f t="shared" si="110"/>
        <v>0.57873309768792569</v>
      </c>
      <c r="S998" s="113">
        <f t="shared" si="111"/>
        <v>0.58823529411764708</v>
      </c>
      <c r="T998" s="113">
        <f t="shared" si="112"/>
        <v>0.83333333333333337</v>
      </c>
      <c r="U998" s="113">
        <f t="shared" si="113"/>
        <v>0.66676724171296875</v>
      </c>
    </row>
    <row r="999" spans="1:21" x14ac:dyDescent="0.45">
      <c r="A999" s="95">
        <v>45559</v>
      </c>
      <c r="B999" s="96">
        <v>8705.17</v>
      </c>
      <c r="C999" s="7">
        <v>5037.97</v>
      </c>
      <c r="D999" s="7">
        <f t="shared" si="108"/>
        <v>3667.2</v>
      </c>
      <c r="E999" s="97">
        <v>2800</v>
      </c>
      <c r="F999" s="7">
        <v>2000</v>
      </c>
      <c r="G999" s="7">
        <f t="shared" si="109"/>
        <v>800</v>
      </c>
      <c r="H999" s="98">
        <v>2400</v>
      </c>
      <c r="I999" s="7">
        <v>2000</v>
      </c>
      <c r="J999" s="7">
        <f t="shared" si="115"/>
        <v>400</v>
      </c>
      <c r="K999" s="99">
        <f t="shared" si="114"/>
        <v>13905.17</v>
      </c>
      <c r="L999" s="7">
        <v>1800</v>
      </c>
      <c r="M999" s="7">
        <v>7500</v>
      </c>
      <c r="N999" s="7">
        <v>3201</v>
      </c>
      <c r="O999" s="7">
        <v>0</v>
      </c>
      <c r="P999" s="7">
        <v>8250.3048964899499</v>
      </c>
      <c r="Q999" s="7">
        <v>1981.6569314000515</v>
      </c>
      <c r="R999" s="113">
        <f t="shared" si="110"/>
        <v>0.57873309768792569</v>
      </c>
      <c r="S999" s="113">
        <f t="shared" si="111"/>
        <v>0.7142857142857143</v>
      </c>
      <c r="T999" s="113">
        <f t="shared" si="112"/>
        <v>0.83333333333333337</v>
      </c>
      <c r="U999" s="113">
        <f t="shared" si="113"/>
        <v>0.70878404843565779</v>
      </c>
    </row>
    <row r="1000" spans="1:21" x14ac:dyDescent="0.45">
      <c r="A1000" s="95">
        <v>45560</v>
      </c>
      <c r="B1000" s="96">
        <v>8705.17</v>
      </c>
      <c r="C1000" s="7">
        <v>5037.97</v>
      </c>
      <c r="D1000" s="7">
        <f t="shared" si="108"/>
        <v>3667.2</v>
      </c>
      <c r="E1000" s="97">
        <v>2800</v>
      </c>
      <c r="F1000" s="7">
        <v>2000</v>
      </c>
      <c r="G1000" s="7">
        <f t="shared" si="109"/>
        <v>800</v>
      </c>
      <c r="H1000" s="98">
        <v>2400</v>
      </c>
      <c r="I1000" s="7">
        <v>2000</v>
      </c>
      <c r="J1000" s="7">
        <f t="shared" si="115"/>
        <v>400</v>
      </c>
      <c r="K1000" s="99">
        <f t="shared" si="114"/>
        <v>13905.17</v>
      </c>
      <c r="L1000" s="7">
        <v>1800</v>
      </c>
      <c r="M1000" s="7">
        <v>7500</v>
      </c>
      <c r="N1000" s="7">
        <v>3355</v>
      </c>
      <c r="O1000" s="7">
        <v>0</v>
      </c>
      <c r="P1000" s="7">
        <v>8250.3048964899499</v>
      </c>
      <c r="Q1000" s="7">
        <v>2198.6182320100511</v>
      </c>
      <c r="R1000" s="113">
        <f t="shared" si="110"/>
        <v>0.57873309768792569</v>
      </c>
      <c r="S1000" s="113">
        <f t="shared" si="111"/>
        <v>0.7142857142857143</v>
      </c>
      <c r="T1000" s="113">
        <f t="shared" si="112"/>
        <v>0.83333333333333337</v>
      </c>
      <c r="U1000" s="113">
        <f t="shared" si="113"/>
        <v>0.70878404843565779</v>
      </c>
    </row>
    <row r="1001" spans="1:21" x14ac:dyDescent="0.45">
      <c r="A1001" s="95">
        <v>45561</v>
      </c>
      <c r="B1001" s="96">
        <v>8410.9699999999993</v>
      </c>
      <c r="C1001" s="7">
        <v>4617.97</v>
      </c>
      <c r="D1001" s="7">
        <f t="shared" si="108"/>
        <v>3792.9999999999991</v>
      </c>
      <c r="E1001" s="97">
        <v>3200</v>
      </c>
      <c r="F1001" s="7">
        <v>1700</v>
      </c>
      <c r="G1001" s="7">
        <f t="shared" si="109"/>
        <v>1500</v>
      </c>
      <c r="H1001" s="98">
        <v>2400</v>
      </c>
      <c r="I1001" s="7">
        <v>2000</v>
      </c>
      <c r="J1001" s="7">
        <f t="shared" si="115"/>
        <v>400</v>
      </c>
      <c r="K1001" s="99">
        <f t="shared" si="114"/>
        <v>14010.97</v>
      </c>
      <c r="L1001" s="7">
        <v>1800</v>
      </c>
      <c r="M1001" s="7">
        <v>7500</v>
      </c>
      <c r="N1001" s="7">
        <v>3151</v>
      </c>
      <c r="O1001" s="7">
        <v>0</v>
      </c>
      <c r="P1001" s="7">
        <v>8250.3048964899499</v>
      </c>
      <c r="Q1001" s="7">
        <v>3080.9493934200509</v>
      </c>
      <c r="R1001" s="113">
        <f t="shared" si="110"/>
        <v>0.54904131152530566</v>
      </c>
      <c r="S1001" s="113">
        <f t="shared" si="111"/>
        <v>0.53125</v>
      </c>
      <c r="T1001" s="113">
        <f t="shared" si="112"/>
        <v>0.83333333333333337</v>
      </c>
      <c r="U1001" s="113">
        <f t="shared" si="113"/>
        <v>0.63787488161954631</v>
      </c>
    </row>
    <row r="1002" spans="1:21" x14ac:dyDescent="0.45">
      <c r="A1002" s="95">
        <v>45562</v>
      </c>
      <c r="B1002" s="96">
        <v>8410.9699999999993</v>
      </c>
      <c r="C1002" s="7">
        <v>4617.97</v>
      </c>
      <c r="D1002" s="7">
        <f t="shared" si="108"/>
        <v>3792.9999999999991</v>
      </c>
      <c r="E1002" s="97">
        <v>3200</v>
      </c>
      <c r="F1002" s="7">
        <v>1700</v>
      </c>
      <c r="G1002" s="7">
        <f t="shared" si="109"/>
        <v>1500</v>
      </c>
      <c r="H1002" s="98">
        <v>2400</v>
      </c>
      <c r="I1002" s="7">
        <v>2000</v>
      </c>
      <c r="J1002" s="7">
        <f t="shared" si="115"/>
        <v>400</v>
      </c>
      <c r="K1002" s="99">
        <f t="shared" si="114"/>
        <v>14010.97</v>
      </c>
      <c r="L1002" s="7">
        <v>1800</v>
      </c>
      <c r="M1002" s="7">
        <v>7500</v>
      </c>
      <c r="N1002" s="7">
        <v>3829</v>
      </c>
      <c r="O1002" s="7">
        <v>0</v>
      </c>
      <c r="P1002" s="7">
        <v>8250.3048964899499</v>
      </c>
      <c r="Q1002" s="7">
        <v>2258.4151035100508</v>
      </c>
      <c r="R1002" s="113">
        <f t="shared" si="110"/>
        <v>0.54904131152530566</v>
      </c>
      <c r="S1002" s="113">
        <f t="shared" si="111"/>
        <v>0.53125</v>
      </c>
      <c r="T1002" s="113">
        <f t="shared" si="112"/>
        <v>0.83333333333333337</v>
      </c>
      <c r="U1002" s="113">
        <f t="shared" si="113"/>
        <v>0.63787488161954631</v>
      </c>
    </row>
    <row r="1003" spans="1:21" x14ac:dyDescent="0.45">
      <c r="A1003" s="95">
        <v>45563</v>
      </c>
      <c r="B1003" s="96">
        <v>8410.9699999999993</v>
      </c>
      <c r="C1003" s="7">
        <v>4617.97</v>
      </c>
      <c r="D1003" s="7">
        <f t="shared" si="108"/>
        <v>3792.9999999999991</v>
      </c>
      <c r="E1003" s="97">
        <v>3200</v>
      </c>
      <c r="F1003" s="7">
        <v>1700</v>
      </c>
      <c r="G1003" s="7">
        <f t="shared" si="109"/>
        <v>1500</v>
      </c>
      <c r="H1003" s="98">
        <v>2400</v>
      </c>
      <c r="I1003" s="7">
        <v>2000</v>
      </c>
      <c r="J1003" s="7">
        <f t="shared" si="115"/>
        <v>400</v>
      </c>
      <c r="K1003" s="99">
        <f t="shared" si="114"/>
        <v>14010.97</v>
      </c>
      <c r="L1003" s="7">
        <v>1800</v>
      </c>
      <c r="M1003" s="7">
        <v>7500</v>
      </c>
      <c r="N1003" s="7">
        <v>3829</v>
      </c>
      <c r="O1003" s="7">
        <v>0</v>
      </c>
      <c r="P1003" s="7">
        <v>8250.3048964899499</v>
      </c>
      <c r="Q1003" s="7">
        <v>2258.4151035100508</v>
      </c>
      <c r="R1003" s="113">
        <f t="shared" si="110"/>
        <v>0.54904131152530566</v>
      </c>
      <c r="S1003" s="113">
        <f t="shared" si="111"/>
        <v>0.53125</v>
      </c>
      <c r="T1003" s="113">
        <f t="shared" si="112"/>
        <v>0.83333333333333337</v>
      </c>
      <c r="U1003" s="113">
        <f t="shared" si="113"/>
        <v>0.63787488161954631</v>
      </c>
    </row>
    <row r="1004" spans="1:21" x14ac:dyDescent="0.45">
      <c r="A1004" s="95">
        <v>45564</v>
      </c>
      <c r="B1004" s="96">
        <v>8410.9699999999993</v>
      </c>
      <c r="C1004" s="7">
        <v>4617.97</v>
      </c>
      <c r="D1004" s="7">
        <f t="shared" si="108"/>
        <v>3792.9999999999991</v>
      </c>
      <c r="E1004" s="97">
        <v>3200</v>
      </c>
      <c r="F1004" s="7">
        <v>1700</v>
      </c>
      <c r="G1004" s="7">
        <f t="shared" si="109"/>
        <v>1500</v>
      </c>
      <c r="H1004" s="98">
        <v>2400</v>
      </c>
      <c r="I1004" s="7">
        <v>2000</v>
      </c>
      <c r="J1004" s="7">
        <f t="shared" si="115"/>
        <v>400</v>
      </c>
      <c r="K1004" s="99">
        <f t="shared" si="114"/>
        <v>14010.97</v>
      </c>
      <c r="L1004" s="7">
        <v>1800</v>
      </c>
      <c r="M1004" s="7">
        <v>7500</v>
      </c>
      <c r="N1004" s="7">
        <v>3829</v>
      </c>
      <c r="O1004" s="7">
        <v>0</v>
      </c>
      <c r="P1004" s="7">
        <v>8250.3048964899499</v>
      </c>
      <c r="Q1004" s="7">
        <v>2258.4151035100508</v>
      </c>
      <c r="R1004" s="113">
        <f t="shared" si="110"/>
        <v>0.54904131152530566</v>
      </c>
      <c r="S1004" s="113">
        <f t="shared" si="111"/>
        <v>0.53125</v>
      </c>
      <c r="T1004" s="113">
        <f t="shared" si="112"/>
        <v>0.83333333333333337</v>
      </c>
      <c r="U1004" s="113">
        <f t="shared" si="113"/>
        <v>0.63787488161954631</v>
      </c>
    </row>
    <row r="1005" spans="1:21" x14ac:dyDescent="0.45">
      <c r="A1005" s="95">
        <v>45565</v>
      </c>
      <c r="B1005" s="96">
        <v>8410.9699999999993</v>
      </c>
      <c r="C1005" s="7">
        <v>4617.97</v>
      </c>
      <c r="D1005" s="7">
        <f t="shared" si="108"/>
        <v>3792.9999999999991</v>
      </c>
      <c r="E1005" s="97">
        <v>3200</v>
      </c>
      <c r="F1005" s="7">
        <v>1700</v>
      </c>
      <c r="G1005" s="7">
        <f t="shared" si="109"/>
        <v>1500</v>
      </c>
      <c r="H1005" s="98">
        <v>2400</v>
      </c>
      <c r="I1005" s="7">
        <v>2000</v>
      </c>
      <c r="J1005" s="7">
        <f t="shared" si="115"/>
        <v>400</v>
      </c>
      <c r="K1005" s="99">
        <f t="shared" si="114"/>
        <v>14010.97</v>
      </c>
      <c r="L1005" s="7">
        <v>1800</v>
      </c>
      <c r="M1005" s="7">
        <v>7500</v>
      </c>
      <c r="N1005" s="7">
        <v>4197</v>
      </c>
      <c r="O1005" s="7">
        <v>0</v>
      </c>
      <c r="P1005" s="7">
        <v>8893.1667705940872</v>
      </c>
      <c r="Q1005" s="7">
        <v>513.3713809059127</v>
      </c>
      <c r="R1005" s="113">
        <f t="shared" si="110"/>
        <v>0.54904131152530566</v>
      </c>
      <c r="S1005" s="113">
        <f t="shared" si="111"/>
        <v>0.53125</v>
      </c>
      <c r="T1005" s="113">
        <f t="shared" si="112"/>
        <v>0.83333333333333337</v>
      </c>
      <c r="U1005" s="113">
        <f t="shared" si="113"/>
        <v>0.63787488161954631</v>
      </c>
    </row>
    <row r="1006" spans="1:21" x14ac:dyDescent="0.45">
      <c r="A1006" s="95">
        <v>45566</v>
      </c>
      <c r="B1006" s="96">
        <v>8410.9699999999993</v>
      </c>
      <c r="C1006" s="7">
        <v>4617.97</v>
      </c>
      <c r="D1006" s="7">
        <f t="shared" si="108"/>
        <v>3792.9999999999991</v>
      </c>
      <c r="E1006" s="97">
        <v>3200</v>
      </c>
      <c r="F1006" s="7">
        <v>1700</v>
      </c>
      <c r="G1006" s="7">
        <f t="shared" si="109"/>
        <v>1500</v>
      </c>
      <c r="H1006" s="98">
        <v>2400</v>
      </c>
      <c r="I1006" s="7">
        <v>2000</v>
      </c>
      <c r="J1006" s="7">
        <f t="shared" si="115"/>
        <v>400</v>
      </c>
      <c r="K1006" s="99">
        <f t="shared" si="114"/>
        <v>14010.97</v>
      </c>
      <c r="L1006" s="7">
        <v>1800</v>
      </c>
      <c r="M1006" s="7">
        <v>7500</v>
      </c>
      <c r="N1006" s="7">
        <v>3201</v>
      </c>
      <c r="O1006" s="7">
        <v>0</v>
      </c>
      <c r="P1006" s="7">
        <v>8893.1667705940872</v>
      </c>
      <c r="Q1006" s="7">
        <v>1510.0088527959124</v>
      </c>
      <c r="R1006" s="113">
        <f t="shared" si="110"/>
        <v>0.54904131152530566</v>
      </c>
      <c r="S1006" s="113">
        <f t="shared" si="111"/>
        <v>0.53125</v>
      </c>
      <c r="T1006" s="113">
        <f t="shared" si="112"/>
        <v>0.83333333333333337</v>
      </c>
      <c r="U1006" s="113">
        <f t="shared" si="113"/>
        <v>0.63787488161954631</v>
      </c>
    </row>
    <row r="1007" spans="1:21" x14ac:dyDescent="0.45">
      <c r="A1007" s="95">
        <v>45567</v>
      </c>
      <c r="B1007" s="96">
        <v>8410.9699999999993</v>
      </c>
      <c r="C1007" s="7">
        <v>4617.97</v>
      </c>
      <c r="D1007" s="7">
        <f t="shared" si="108"/>
        <v>3792.9999999999991</v>
      </c>
      <c r="E1007" s="97">
        <v>3200</v>
      </c>
      <c r="F1007" s="7">
        <v>1700</v>
      </c>
      <c r="G1007" s="7">
        <f t="shared" si="109"/>
        <v>1500</v>
      </c>
      <c r="H1007" s="98">
        <v>2400</v>
      </c>
      <c r="I1007" s="7">
        <v>2000</v>
      </c>
      <c r="J1007" s="7">
        <f t="shared" si="115"/>
        <v>400</v>
      </c>
      <c r="K1007" s="99">
        <f t="shared" si="114"/>
        <v>14010.97</v>
      </c>
      <c r="L1007" s="7">
        <v>1800</v>
      </c>
      <c r="M1007" s="7">
        <v>7500</v>
      </c>
      <c r="N1007" s="7">
        <v>2175</v>
      </c>
      <c r="O1007" s="7">
        <v>0</v>
      </c>
      <c r="P1007" s="7">
        <v>8893.1667705940872</v>
      </c>
      <c r="Q1007" s="7">
        <v>2624.1388939859125</v>
      </c>
      <c r="R1007" s="113">
        <f t="shared" si="110"/>
        <v>0.54904131152530566</v>
      </c>
      <c r="S1007" s="113">
        <f t="shared" si="111"/>
        <v>0.53125</v>
      </c>
      <c r="T1007" s="113">
        <f t="shared" si="112"/>
        <v>0.83333333333333337</v>
      </c>
      <c r="U1007" s="113">
        <f t="shared" si="113"/>
        <v>0.63787488161954631</v>
      </c>
    </row>
    <row r="1008" spans="1:21" x14ac:dyDescent="0.45">
      <c r="A1008" s="95">
        <v>45568</v>
      </c>
      <c r="B1008" s="96">
        <v>8354.9699999999993</v>
      </c>
      <c r="C1008" s="7">
        <v>4561.97</v>
      </c>
      <c r="D1008" s="7">
        <f t="shared" si="108"/>
        <v>3792.9999999999991</v>
      </c>
      <c r="E1008" s="97">
        <v>3200</v>
      </c>
      <c r="F1008" s="7">
        <v>1700</v>
      </c>
      <c r="G1008" s="7">
        <f t="shared" si="109"/>
        <v>1500</v>
      </c>
      <c r="H1008" s="98">
        <v>2400</v>
      </c>
      <c r="I1008" s="7">
        <v>2000</v>
      </c>
      <c r="J1008" s="7">
        <f t="shared" si="115"/>
        <v>400</v>
      </c>
      <c r="K1008" s="99">
        <f t="shared" si="114"/>
        <v>13954.97</v>
      </c>
      <c r="L1008" s="7">
        <v>1000</v>
      </c>
      <c r="M1008" s="7">
        <v>6000</v>
      </c>
      <c r="N1008" s="7">
        <v>4354</v>
      </c>
      <c r="O1008" s="7">
        <v>0</v>
      </c>
      <c r="P1008" s="7">
        <v>8893.1667705940872</v>
      </c>
      <c r="Q1008" s="7">
        <v>2488.8147872859131</v>
      </c>
      <c r="R1008" s="113">
        <f t="shared" si="110"/>
        <v>0.54601871700317306</v>
      </c>
      <c r="S1008" s="113">
        <f t="shared" si="111"/>
        <v>0.53125</v>
      </c>
      <c r="T1008" s="113">
        <f t="shared" si="112"/>
        <v>0.83333333333333337</v>
      </c>
      <c r="U1008" s="113">
        <f t="shared" si="113"/>
        <v>0.63686735011216877</v>
      </c>
    </row>
    <row r="1009" spans="1:21" x14ac:dyDescent="0.45">
      <c r="A1009" s="95">
        <v>45569</v>
      </c>
      <c r="B1009" s="96">
        <v>8354.9699999999993</v>
      </c>
      <c r="C1009" s="7">
        <v>4561.97</v>
      </c>
      <c r="D1009" s="7">
        <f t="shared" si="108"/>
        <v>3792.9999999999991</v>
      </c>
      <c r="E1009" s="97">
        <v>3200</v>
      </c>
      <c r="F1009" s="7">
        <v>1700</v>
      </c>
      <c r="G1009" s="7">
        <f t="shared" si="109"/>
        <v>1500</v>
      </c>
      <c r="H1009" s="98">
        <v>2400</v>
      </c>
      <c r="I1009" s="7">
        <v>2000</v>
      </c>
      <c r="J1009" s="7">
        <f t="shared" si="115"/>
        <v>400</v>
      </c>
      <c r="K1009" s="99">
        <f t="shared" si="114"/>
        <v>13954.97</v>
      </c>
      <c r="L1009" s="7">
        <v>1000</v>
      </c>
      <c r="M1009" s="7">
        <v>6000</v>
      </c>
      <c r="N1009" s="7">
        <v>2862</v>
      </c>
      <c r="O1009" s="7">
        <v>0</v>
      </c>
      <c r="P1009" s="7">
        <v>8893.1667705940872</v>
      </c>
      <c r="Q1009" s="7">
        <v>4116.1592294059119</v>
      </c>
      <c r="R1009" s="113">
        <f t="shared" si="110"/>
        <v>0.54601871700317306</v>
      </c>
      <c r="S1009" s="113">
        <f t="shared" si="111"/>
        <v>0.53125</v>
      </c>
      <c r="T1009" s="113">
        <f t="shared" si="112"/>
        <v>0.83333333333333337</v>
      </c>
      <c r="U1009" s="113">
        <f t="shared" si="113"/>
        <v>0.63686735011216877</v>
      </c>
    </row>
    <row r="1010" spans="1:21" x14ac:dyDescent="0.45">
      <c r="A1010" s="95">
        <v>45570</v>
      </c>
      <c r="B1010" s="96">
        <v>8354.9699999999993</v>
      </c>
      <c r="C1010" s="7">
        <v>4561.97</v>
      </c>
      <c r="D1010" s="7">
        <f t="shared" si="108"/>
        <v>3792.9999999999991</v>
      </c>
      <c r="E1010" s="97">
        <v>3200</v>
      </c>
      <c r="F1010" s="7">
        <v>1700</v>
      </c>
      <c r="G1010" s="7">
        <f t="shared" si="109"/>
        <v>1500</v>
      </c>
      <c r="H1010" s="98">
        <v>2400</v>
      </c>
      <c r="I1010" s="7">
        <v>2000</v>
      </c>
      <c r="J1010" s="7">
        <f t="shared" si="115"/>
        <v>400</v>
      </c>
      <c r="K1010" s="99">
        <f t="shared" si="114"/>
        <v>13954.97</v>
      </c>
      <c r="L1010" s="7">
        <v>1000</v>
      </c>
      <c r="M1010" s="7">
        <v>6000</v>
      </c>
      <c r="N1010" s="7">
        <v>2862</v>
      </c>
      <c r="O1010" s="7">
        <v>0</v>
      </c>
      <c r="P1010" s="7">
        <v>8893.1667705940872</v>
      </c>
      <c r="Q1010" s="7">
        <v>4116.1592294059119</v>
      </c>
      <c r="R1010" s="113">
        <f t="shared" si="110"/>
        <v>0.54601871700317306</v>
      </c>
      <c r="S1010" s="113">
        <f t="shared" si="111"/>
        <v>0.53125</v>
      </c>
      <c r="T1010" s="113">
        <f t="shared" si="112"/>
        <v>0.83333333333333337</v>
      </c>
      <c r="U1010" s="113">
        <f t="shared" si="113"/>
        <v>0.63686735011216877</v>
      </c>
    </row>
    <row r="1011" spans="1:21" x14ac:dyDescent="0.45">
      <c r="A1011" s="95">
        <v>45571</v>
      </c>
      <c r="B1011" s="96">
        <v>8354.9699999999993</v>
      </c>
      <c r="C1011" s="7">
        <v>4561.97</v>
      </c>
      <c r="D1011" s="7">
        <f t="shared" si="108"/>
        <v>3792.9999999999991</v>
      </c>
      <c r="E1011" s="97">
        <v>3200</v>
      </c>
      <c r="F1011" s="7">
        <v>1700</v>
      </c>
      <c r="G1011" s="7">
        <f t="shared" si="109"/>
        <v>1500</v>
      </c>
      <c r="H1011" s="98">
        <v>2400</v>
      </c>
      <c r="I1011" s="7">
        <v>2000</v>
      </c>
      <c r="J1011" s="7">
        <f t="shared" si="115"/>
        <v>400</v>
      </c>
      <c r="K1011" s="99">
        <f t="shared" si="114"/>
        <v>13954.97</v>
      </c>
      <c r="L1011" s="7">
        <v>1000</v>
      </c>
      <c r="M1011" s="7">
        <v>6000</v>
      </c>
      <c r="N1011" s="7">
        <v>2862</v>
      </c>
      <c r="O1011" s="7">
        <v>0</v>
      </c>
      <c r="P1011" s="7">
        <v>8893.1667705940872</v>
      </c>
      <c r="Q1011" s="7">
        <v>4116.1592294059119</v>
      </c>
      <c r="R1011" s="113">
        <f t="shared" si="110"/>
        <v>0.54601871700317306</v>
      </c>
      <c r="S1011" s="113">
        <f t="shared" si="111"/>
        <v>0.53125</v>
      </c>
      <c r="T1011" s="113">
        <f t="shared" si="112"/>
        <v>0.83333333333333337</v>
      </c>
      <c r="U1011" s="113">
        <f t="shared" si="113"/>
        <v>0.63686735011216877</v>
      </c>
    </row>
    <row r="1012" spans="1:21" x14ac:dyDescent="0.45">
      <c r="A1012" s="95">
        <v>45572</v>
      </c>
      <c r="B1012" s="96">
        <v>8354.9699999999993</v>
      </c>
      <c r="C1012" s="7">
        <v>4561.97</v>
      </c>
      <c r="D1012" s="7">
        <f t="shared" si="108"/>
        <v>3792.9999999999991</v>
      </c>
      <c r="E1012" s="97">
        <v>3200</v>
      </c>
      <c r="F1012" s="7">
        <v>1700</v>
      </c>
      <c r="G1012" s="7">
        <f t="shared" si="109"/>
        <v>1500</v>
      </c>
      <c r="H1012" s="98">
        <v>2400</v>
      </c>
      <c r="I1012" s="7">
        <v>2000</v>
      </c>
      <c r="J1012" s="7">
        <f t="shared" si="115"/>
        <v>400</v>
      </c>
      <c r="K1012" s="99">
        <f t="shared" si="114"/>
        <v>13954.97</v>
      </c>
      <c r="L1012" s="7">
        <v>1000</v>
      </c>
      <c r="M1012" s="7">
        <v>6000</v>
      </c>
      <c r="N1012" s="7">
        <v>3532</v>
      </c>
      <c r="O1012" s="7">
        <v>0</v>
      </c>
      <c r="P1012" s="7">
        <v>8893.1667705940872</v>
      </c>
      <c r="Q1012" s="7">
        <v>2995.2522294059117</v>
      </c>
      <c r="R1012" s="113">
        <f t="shared" si="110"/>
        <v>0.54601871700317306</v>
      </c>
      <c r="S1012" s="113">
        <f t="shared" si="111"/>
        <v>0.53125</v>
      </c>
      <c r="T1012" s="113">
        <f t="shared" si="112"/>
        <v>0.83333333333333337</v>
      </c>
      <c r="U1012" s="113">
        <f t="shared" si="113"/>
        <v>0.63686735011216877</v>
      </c>
    </row>
    <row r="1013" spans="1:21" x14ac:dyDescent="0.45">
      <c r="A1013" s="95">
        <v>45573</v>
      </c>
      <c r="B1013" s="96">
        <v>8354.9699999999993</v>
      </c>
      <c r="C1013" s="7">
        <v>4561.97</v>
      </c>
      <c r="D1013" s="7">
        <f t="shared" si="108"/>
        <v>3792.9999999999991</v>
      </c>
      <c r="E1013" s="97">
        <v>3200</v>
      </c>
      <c r="F1013" s="7">
        <v>1700</v>
      </c>
      <c r="G1013" s="7">
        <f t="shared" si="109"/>
        <v>1500</v>
      </c>
      <c r="H1013" s="98">
        <v>2400</v>
      </c>
      <c r="I1013" s="7">
        <v>2000</v>
      </c>
      <c r="J1013" s="7">
        <f t="shared" si="115"/>
        <v>400</v>
      </c>
      <c r="K1013" s="99">
        <f t="shared" si="114"/>
        <v>13954.97</v>
      </c>
      <c r="L1013" s="7">
        <v>1000</v>
      </c>
      <c r="M1013" s="7">
        <v>6000</v>
      </c>
      <c r="N1013" s="7">
        <v>3643</v>
      </c>
      <c r="O1013" s="7">
        <v>0</v>
      </c>
      <c r="P1013" s="7">
        <v>8893.1667705940872</v>
      </c>
      <c r="Q1013" s="7">
        <v>3375.9532294059122</v>
      </c>
      <c r="R1013" s="113">
        <f t="shared" si="110"/>
        <v>0.54601871700317306</v>
      </c>
      <c r="S1013" s="113">
        <f t="shared" si="111"/>
        <v>0.53125</v>
      </c>
      <c r="T1013" s="113">
        <f t="shared" si="112"/>
        <v>0.83333333333333337</v>
      </c>
      <c r="U1013" s="113">
        <f t="shared" si="113"/>
        <v>0.63686735011216877</v>
      </c>
    </row>
    <row r="1014" spans="1:21" x14ac:dyDescent="0.45">
      <c r="A1014" s="95">
        <v>45574</v>
      </c>
      <c r="B1014" s="96">
        <v>8354.9699999999993</v>
      </c>
      <c r="C1014" s="7">
        <v>4561.97</v>
      </c>
      <c r="D1014" s="7">
        <f t="shared" si="108"/>
        <v>3792.9999999999991</v>
      </c>
      <c r="E1014" s="97">
        <v>3200</v>
      </c>
      <c r="F1014" s="7">
        <v>1700</v>
      </c>
      <c r="G1014" s="7">
        <f t="shared" si="109"/>
        <v>1500</v>
      </c>
      <c r="H1014" s="98">
        <v>2400</v>
      </c>
      <c r="I1014" s="7">
        <v>2000</v>
      </c>
      <c r="J1014" s="7">
        <v>400</v>
      </c>
      <c r="K1014" s="99">
        <f t="shared" si="114"/>
        <v>13954.97</v>
      </c>
      <c r="L1014" s="7">
        <v>1000</v>
      </c>
      <c r="M1014" s="7">
        <v>6000</v>
      </c>
      <c r="N1014" s="7">
        <v>3952</v>
      </c>
      <c r="O1014" s="7">
        <v>0</v>
      </c>
      <c r="P1014" s="7">
        <v>8893.1667705940872</v>
      </c>
      <c r="Q1014" s="7">
        <v>3366.197484735912</v>
      </c>
      <c r="R1014" s="113">
        <f t="shared" si="110"/>
        <v>0.54601871700317306</v>
      </c>
      <c r="S1014" s="113">
        <f t="shared" si="111"/>
        <v>0.53125</v>
      </c>
      <c r="T1014" s="113">
        <f t="shared" si="112"/>
        <v>0.83333333333333337</v>
      </c>
      <c r="U1014" s="113">
        <f t="shared" si="113"/>
        <v>0.63686735011216877</v>
      </c>
    </row>
    <row r="1015" spans="1:21" x14ac:dyDescent="0.45">
      <c r="A1015" s="95">
        <v>45575</v>
      </c>
      <c r="B1015" s="96">
        <v>8360.9699999999993</v>
      </c>
      <c r="C1015" s="7">
        <v>4846.97</v>
      </c>
      <c r="D1015" s="7">
        <f t="shared" si="108"/>
        <v>3513.9999999999991</v>
      </c>
      <c r="E1015" s="97">
        <v>3200</v>
      </c>
      <c r="F1015" s="7">
        <v>1700</v>
      </c>
      <c r="G1015" s="7">
        <f t="shared" si="109"/>
        <v>1500</v>
      </c>
      <c r="H1015" s="98">
        <v>2400</v>
      </c>
      <c r="I1015" s="7">
        <v>2000</v>
      </c>
      <c r="J1015" s="7">
        <v>400</v>
      </c>
      <c r="K1015" s="99">
        <f t="shared" si="114"/>
        <v>13960.97</v>
      </c>
      <c r="L1015" s="7">
        <v>1000</v>
      </c>
      <c r="M1015" s="7">
        <v>8000</v>
      </c>
      <c r="N1015" s="7">
        <v>2928</v>
      </c>
      <c r="O1015" s="7">
        <v>0</v>
      </c>
      <c r="P1015" s="7">
        <v>8893.1667705940872</v>
      </c>
      <c r="Q1015" s="7">
        <v>1940.7940266859127</v>
      </c>
      <c r="R1015" s="113">
        <f t="shared" si="110"/>
        <v>0.57971383703087087</v>
      </c>
      <c r="S1015" s="113">
        <f t="shared" si="111"/>
        <v>0.53125</v>
      </c>
      <c r="T1015" s="113">
        <f t="shared" si="112"/>
        <v>0.83333333333333337</v>
      </c>
      <c r="U1015" s="113">
        <f t="shared" si="113"/>
        <v>0.64809905678806812</v>
      </c>
    </row>
    <row r="1016" spans="1:21" x14ac:dyDescent="0.45">
      <c r="A1016" s="95">
        <v>45576</v>
      </c>
      <c r="B1016" s="96">
        <v>8360.9699999999993</v>
      </c>
      <c r="C1016" s="7">
        <v>4846.97</v>
      </c>
      <c r="D1016" s="7">
        <f t="shared" si="108"/>
        <v>3513.9999999999991</v>
      </c>
      <c r="E1016" s="97">
        <v>3200</v>
      </c>
      <c r="F1016" s="7">
        <v>1700</v>
      </c>
      <c r="G1016" s="7">
        <f t="shared" si="109"/>
        <v>1500</v>
      </c>
      <c r="H1016" s="98">
        <v>2400</v>
      </c>
      <c r="I1016" s="7">
        <v>2000</v>
      </c>
      <c r="J1016" s="7">
        <v>400</v>
      </c>
      <c r="K1016" s="99">
        <f t="shared" si="114"/>
        <v>13960.97</v>
      </c>
      <c r="L1016" s="7">
        <v>1000</v>
      </c>
      <c r="M1016" s="7">
        <v>8000</v>
      </c>
      <c r="N1016" s="7">
        <v>3167</v>
      </c>
      <c r="O1016" s="7">
        <v>0</v>
      </c>
      <c r="P1016" s="7">
        <v>8893.1667705940872</v>
      </c>
      <c r="Q1016" s="7">
        <v>1947.1612068159125</v>
      </c>
      <c r="R1016" s="113">
        <f t="shared" si="110"/>
        <v>0.57971383703087087</v>
      </c>
      <c r="S1016" s="113">
        <f t="shared" si="111"/>
        <v>0.53125</v>
      </c>
      <c r="T1016" s="113">
        <f t="shared" si="112"/>
        <v>0.83333333333333337</v>
      </c>
      <c r="U1016" s="113">
        <f t="shared" si="113"/>
        <v>0.64809905678806812</v>
      </c>
    </row>
    <row r="1017" spans="1:21" x14ac:dyDescent="0.45">
      <c r="A1017" s="95">
        <v>45577</v>
      </c>
      <c r="B1017" s="96">
        <v>8360.9699999999993</v>
      </c>
      <c r="C1017" s="7">
        <v>4846.97</v>
      </c>
      <c r="D1017" s="7">
        <f t="shared" si="108"/>
        <v>3513.9999999999991</v>
      </c>
      <c r="E1017" s="97">
        <v>3200</v>
      </c>
      <c r="F1017" s="7">
        <v>1700</v>
      </c>
      <c r="G1017" s="7">
        <f t="shared" si="109"/>
        <v>1500</v>
      </c>
      <c r="H1017" s="98">
        <v>2400</v>
      </c>
      <c r="I1017" s="7">
        <v>2000</v>
      </c>
      <c r="J1017" s="7">
        <v>400</v>
      </c>
      <c r="K1017" s="99">
        <f t="shared" si="114"/>
        <v>13960.97</v>
      </c>
      <c r="L1017" s="7">
        <v>1000</v>
      </c>
      <c r="M1017" s="7">
        <v>8000</v>
      </c>
      <c r="N1017" s="7">
        <v>3167</v>
      </c>
      <c r="O1017" s="7">
        <v>0</v>
      </c>
      <c r="P1017" s="7">
        <v>8893.1667705940872</v>
      </c>
      <c r="Q1017" s="7">
        <v>1947.1612068159125</v>
      </c>
      <c r="R1017" s="113">
        <f t="shared" si="110"/>
        <v>0.57971383703087087</v>
      </c>
      <c r="S1017" s="113">
        <f t="shared" si="111"/>
        <v>0.53125</v>
      </c>
      <c r="T1017" s="113">
        <f t="shared" si="112"/>
        <v>0.83333333333333337</v>
      </c>
      <c r="U1017" s="113">
        <f t="shared" si="113"/>
        <v>0.64809905678806812</v>
      </c>
    </row>
    <row r="1018" spans="1:21" x14ac:dyDescent="0.45">
      <c r="A1018" s="95">
        <v>45578</v>
      </c>
      <c r="B1018" s="96">
        <v>8360.9699999999993</v>
      </c>
      <c r="C1018" s="7">
        <v>4846.97</v>
      </c>
      <c r="D1018" s="7">
        <f t="shared" si="108"/>
        <v>3513.9999999999991</v>
      </c>
      <c r="E1018" s="97">
        <v>3200</v>
      </c>
      <c r="F1018" s="7">
        <v>1700</v>
      </c>
      <c r="G1018" s="7">
        <f t="shared" si="109"/>
        <v>1500</v>
      </c>
      <c r="H1018" s="98">
        <v>2400</v>
      </c>
      <c r="I1018" s="7">
        <v>2000</v>
      </c>
      <c r="J1018" s="7">
        <v>400</v>
      </c>
      <c r="K1018" s="99">
        <f t="shared" si="114"/>
        <v>13960.97</v>
      </c>
      <c r="L1018" s="7">
        <v>1000</v>
      </c>
      <c r="M1018" s="7">
        <v>8000</v>
      </c>
      <c r="N1018" s="7">
        <v>3167</v>
      </c>
      <c r="O1018" s="7">
        <v>0</v>
      </c>
      <c r="P1018" s="7">
        <v>8893.1667705940872</v>
      </c>
      <c r="Q1018" s="7">
        <v>1947.1612068159125</v>
      </c>
      <c r="R1018" s="113">
        <f t="shared" si="110"/>
        <v>0.57971383703087087</v>
      </c>
      <c r="S1018" s="113">
        <f t="shared" si="111"/>
        <v>0.53125</v>
      </c>
      <c r="T1018" s="113">
        <f t="shared" si="112"/>
        <v>0.83333333333333337</v>
      </c>
      <c r="U1018" s="113">
        <f t="shared" si="113"/>
        <v>0.64809905678806812</v>
      </c>
    </row>
    <row r="1019" spans="1:21" x14ac:dyDescent="0.45">
      <c r="A1019" s="95">
        <v>45579</v>
      </c>
      <c r="B1019" s="96">
        <v>8360.9699999999993</v>
      </c>
      <c r="C1019" s="7">
        <v>4846.97</v>
      </c>
      <c r="D1019" s="7">
        <f t="shared" si="108"/>
        <v>3513.9999999999991</v>
      </c>
      <c r="E1019" s="97">
        <v>3200</v>
      </c>
      <c r="F1019" s="7">
        <v>1700</v>
      </c>
      <c r="G1019" s="7">
        <f t="shared" si="109"/>
        <v>1500</v>
      </c>
      <c r="H1019" s="98">
        <v>2400</v>
      </c>
      <c r="I1019" s="7">
        <v>2000</v>
      </c>
      <c r="J1019" s="7">
        <v>400</v>
      </c>
      <c r="K1019" s="99">
        <f t="shared" si="114"/>
        <v>13960.97</v>
      </c>
      <c r="L1019" s="7">
        <v>1000</v>
      </c>
      <c r="M1019" s="7">
        <v>8000</v>
      </c>
      <c r="N1019" s="7">
        <v>4002</v>
      </c>
      <c r="O1019" s="7">
        <v>0</v>
      </c>
      <c r="P1019" s="7">
        <v>8893.1667705940872</v>
      </c>
      <c r="Q1019" s="7">
        <v>1485.9328719159125</v>
      </c>
      <c r="R1019" s="113">
        <f t="shared" si="110"/>
        <v>0.57971383703087087</v>
      </c>
      <c r="S1019" s="113">
        <f t="shared" si="111"/>
        <v>0.53125</v>
      </c>
      <c r="T1019" s="113">
        <f t="shared" si="112"/>
        <v>0.83333333333333337</v>
      </c>
      <c r="U1019" s="113">
        <f t="shared" si="113"/>
        <v>0.64809905678806812</v>
      </c>
    </row>
    <row r="1020" spans="1:21" x14ac:dyDescent="0.45">
      <c r="A1020" s="95">
        <v>45580</v>
      </c>
      <c r="B1020" s="96">
        <v>8360.9699999999993</v>
      </c>
      <c r="C1020" s="7">
        <v>4846.97</v>
      </c>
      <c r="D1020" s="7">
        <f t="shared" si="108"/>
        <v>3513.9999999999991</v>
      </c>
      <c r="E1020" s="97">
        <v>3200</v>
      </c>
      <c r="F1020" s="7">
        <v>1700</v>
      </c>
      <c r="G1020" s="7">
        <f t="shared" si="109"/>
        <v>1500</v>
      </c>
      <c r="H1020" s="98">
        <v>2400</v>
      </c>
      <c r="I1020" s="7">
        <v>2000</v>
      </c>
      <c r="J1020" s="7">
        <v>400</v>
      </c>
      <c r="K1020" s="99">
        <f t="shared" si="114"/>
        <v>13960.97</v>
      </c>
      <c r="L1020" s="7">
        <v>1000</v>
      </c>
      <c r="M1020" s="7">
        <v>8000</v>
      </c>
      <c r="N1020" s="7">
        <v>3456</v>
      </c>
      <c r="O1020" s="7">
        <v>0</v>
      </c>
      <c r="P1020" s="7">
        <v>8893.1667705940872</v>
      </c>
      <c r="Q1020" s="7">
        <v>1827.6886310959126</v>
      </c>
      <c r="R1020" s="113">
        <f t="shared" si="110"/>
        <v>0.57971383703087087</v>
      </c>
      <c r="S1020" s="113">
        <f t="shared" si="111"/>
        <v>0.53125</v>
      </c>
      <c r="T1020" s="113">
        <f t="shared" si="112"/>
        <v>0.83333333333333337</v>
      </c>
      <c r="U1020" s="113">
        <f t="shared" si="113"/>
        <v>0.64809905678806812</v>
      </c>
    </row>
    <row r="1021" spans="1:21" x14ac:dyDescent="0.45">
      <c r="A1021" s="95">
        <v>45581</v>
      </c>
      <c r="B1021" s="96">
        <v>8360.9699999999993</v>
      </c>
      <c r="C1021" s="7">
        <v>4846.97</v>
      </c>
      <c r="D1021" s="7">
        <f t="shared" si="108"/>
        <v>3513.9999999999991</v>
      </c>
      <c r="E1021" s="97">
        <v>3200</v>
      </c>
      <c r="F1021" s="7">
        <v>1700</v>
      </c>
      <c r="G1021" s="7">
        <f t="shared" si="109"/>
        <v>1500</v>
      </c>
      <c r="H1021" s="98">
        <v>2400</v>
      </c>
      <c r="I1021" s="7">
        <v>2000</v>
      </c>
      <c r="J1021" s="7">
        <v>400</v>
      </c>
      <c r="K1021" s="99">
        <f t="shared" si="114"/>
        <v>13960.97</v>
      </c>
      <c r="L1021" s="7">
        <v>1000</v>
      </c>
      <c r="M1021" s="7">
        <v>8000</v>
      </c>
      <c r="N1021" s="7">
        <v>3380</v>
      </c>
      <c r="O1021" s="7">
        <v>0</v>
      </c>
      <c r="P1021" s="7">
        <v>8893.1667705940872</v>
      </c>
      <c r="Q1021" s="7">
        <v>1667.372277105912</v>
      </c>
      <c r="R1021" s="113">
        <f t="shared" si="110"/>
        <v>0.57971383703087087</v>
      </c>
      <c r="S1021" s="113">
        <f t="shared" si="111"/>
        <v>0.53125</v>
      </c>
      <c r="T1021" s="113">
        <f t="shared" si="112"/>
        <v>0.83333333333333337</v>
      </c>
      <c r="U1021" s="113">
        <f t="shared" si="113"/>
        <v>0.64809905678806812</v>
      </c>
    </row>
    <row r="1022" spans="1:21" x14ac:dyDescent="0.45">
      <c r="A1022" s="95">
        <v>45582</v>
      </c>
      <c r="B1022" s="96">
        <v>8661.77</v>
      </c>
      <c r="C1022" s="7">
        <v>5147.7700000000004</v>
      </c>
      <c r="D1022" s="7">
        <f t="shared" si="108"/>
        <v>3514</v>
      </c>
      <c r="E1022" s="97">
        <v>3200</v>
      </c>
      <c r="F1022" s="7">
        <v>1700</v>
      </c>
      <c r="G1022" s="7">
        <f t="shared" si="109"/>
        <v>1500</v>
      </c>
      <c r="H1022" s="98">
        <f>I1022+J1022</f>
        <v>3900</v>
      </c>
      <c r="I1022" s="7">
        <v>3500</v>
      </c>
      <c r="J1022" s="7">
        <v>400</v>
      </c>
      <c r="K1022" s="99">
        <f t="shared" si="114"/>
        <v>15761.77</v>
      </c>
      <c r="L1022" s="7">
        <v>1200</v>
      </c>
      <c r="M1022" s="7">
        <v>6000</v>
      </c>
      <c r="N1022" s="7">
        <v>4075</v>
      </c>
      <c r="O1022" s="7">
        <v>0</v>
      </c>
      <c r="P1022" s="7">
        <v>8893.1667705940872</v>
      </c>
      <c r="Q1022" s="7">
        <v>1589.5734789559126</v>
      </c>
      <c r="R1022" s="113">
        <f t="shared" si="110"/>
        <v>0.59430924626259996</v>
      </c>
      <c r="S1022" s="113">
        <f t="shared" si="111"/>
        <v>0.53125</v>
      </c>
      <c r="T1022" s="113">
        <f t="shared" si="112"/>
        <v>0.89743589743589747</v>
      </c>
      <c r="U1022" s="113">
        <f t="shared" si="113"/>
        <v>0.67433171456616581</v>
      </c>
    </row>
    <row r="1023" spans="1:21" x14ac:dyDescent="0.45">
      <c r="A1023" s="95">
        <v>45583</v>
      </c>
      <c r="B1023" s="96">
        <v>8661.77</v>
      </c>
      <c r="C1023" s="7">
        <v>5147.7700000000004</v>
      </c>
      <c r="D1023" s="7">
        <f t="shared" si="108"/>
        <v>3514</v>
      </c>
      <c r="E1023" s="97">
        <v>3200</v>
      </c>
      <c r="F1023" s="7">
        <v>1700</v>
      </c>
      <c r="G1023" s="7">
        <f t="shared" si="109"/>
        <v>1500</v>
      </c>
      <c r="H1023" s="98">
        <f t="shared" ref="H1023:H1086" si="116">I1023+J1023</f>
        <v>3900</v>
      </c>
      <c r="I1023" s="7">
        <v>3500</v>
      </c>
      <c r="J1023" s="7">
        <v>400</v>
      </c>
      <c r="K1023" s="99">
        <f t="shared" si="114"/>
        <v>15761.77</v>
      </c>
      <c r="L1023" s="7">
        <v>1200</v>
      </c>
      <c r="M1023" s="7">
        <v>6000</v>
      </c>
      <c r="N1023" s="7">
        <v>3178</v>
      </c>
      <c r="O1023" s="7">
        <v>0</v>
      </c>
      <c r="P1023" s="7">
        <v>8893.1667705940872</v>
      </c>
      <c r="Q1023" s="7">
        <v>1977.3004257159123</v>
      </c>
      <c r="R1023" s="113">
        <f t="shared" si="110"/>
        <v>0.59430924626259996</v>
      </c>
      <c r="S1023" s="113">
        <f t="shared" si="111"/>
        <v>0.53125</v>
      </c>
      <c r="T1023" s="113">
        <f t="shared" si="112"/>
        <v>0.89743589743589747</v>
      </c>
      <c r="U1023" s="113">
        <f t="shared" si="113"/>
        <v>0.67433171456616581</v>
      </c>
    </row>
    <row r="1024" spans="1:21" x14ac:dyDescent="0.45">
      <c r="A1024" s="95">
        <v>45584</v>
      </c>
      <c r="B1024" s="96">
        <v>8661.77</v>
      </c>
      <c r="C1024" s="7">
        <v>5147.7700000000004</v>
      </c>
      <c r="D1024" s="7">
        <f t="shared" si="108"/>
        <v>3514</v>
      </c>
      <c r="E1024" s="97">
        <v>3200</v>
      </c>
      <c r="F1024" s="7">
        <v>1700</v>
      </c>
      <c r="G1024" s="7">
        <f t="shared" si="109"/>
        <v>1500</v>
      </c>
      <c r="H1024" s="98">
        <f t="shared" si="116"/>
        <v>3900</v>
      </c>
      <c r="I1024" s="7">
        <v>3500</v>
      </c>
      <c r="J1024" s="7">
        <v>400</v>
      </c>
      <c r="K1024" s="99">
        <f t="shared" si="114"/>
        <v>15761.77</v>
      </c>
      <c r="L1024" s="7">
        <v>1200</v>
      </c>
      <c r="M1024" s="7">
        <v>6000</v>
      </c>
      <c r="N1024" s="7">
        <v>3178</v>
      </c>
      <c r="O1024" s="7">
        <v>0</v>
      </c>
      <c r="P1024" s="7">
        <v>8893.1667705940872</v>
      </c>
      <c r="Q1024" s="7">
        <v>1977.3004257159123</v>
      </c>
      <c r="R1024" s="113">
        <f t="shared" si="110"/>
        <v>0.59430924626259996</v>
      </c>
      <c r="S1024" s="113">
        <f t="shared" si="111"/>
        <v>0.53125</v>
      </c>
      <c r="T1024" s="113">
        <f t="shared" si="112"/>
        <v>0.89743589743589747</v>
      </c>
      <c r="U1024" s="113">
        <f t="shared" si="113"/>
        <v>0.67433171456616581</v>
      </c>
    </row>
    <row r="1025" spans="1:21" x14ac:dyDescent="0.45">
      <c r="A1025" s="95">
        <v>45585</v>
      </c>
      <c r="B1025" s="96">
        <v>8661.77</v>
      </c>
      <c r="C1025" s="7">
        <v>5147.7700000000004</v>
      </c>
      <c r="D1025" s="7">
        <f t="shared" si="108"/>
        <v>3514</v>
      </c>
      <c r="E1025" s="97">
        <v>3200</v>
      </c>
      <c r="F1025" s="7">
        <v>1700</v>
      </c>
      <c r="G1025" s="7">
        <f t="shared" si="109"/>
        <v>1500</v>
      </c>
      <c r="H1025" s="98">
        <f t="shared" si="116"/>
        <v>3900</v>
      </c>
      <c r="I1025" s="7">
        <v>3500</v>
      </c>
      <c r="J1025" s="7">
        <v>400</v>
      </c>
      <c r="K1025" s="99">
        <f t="shared" si="114"/>
        <v>15761.77</v>
      </c>
      <c r="L1025" s="7">
        <v>1200</v>
      </c>
      <c r="M1025" s="7">
        <v>6000</v>
      </c>
      <c r="N1025" s="7">
        <v>3178</v>
      </c>
      <c r="O1025" s="7">
        <v>0</v>
      </c>
      <c r="P1025" s="7">
        <v>8893.1667705940872</v>
      </c>
      <c r="Q1025" s="7">
        <v>1977.3004257159123</v>
      </c>
      <c r="R1025" s="113">
        <f t="shared" si="110"/>
        <v>0.59430924626259996</v>
      </c>
      <c r="S1025" s="113">
        <f t="shared" si="111"/>
        <v>0.53125</v>
      </c>
      <c r="T1025" s="113">
        <f t="shared" si="112"/>
        <v>0.89743589743589747</v>
      </c>
      <c r="U1025" s="113">
        <f t="shared" si="113"/>
        <v>0.67433171456616581</v>
      </c>
    </row>
    <row r="1026" spans="1:21" x14ac:dyDescent="0.45">
      <c r="A1026" s="95">
        <v>45586</v>
      </c>
      <c r="B1026" s="96">
        <v>8661.77</v>
      </c>
      <c r="C1026" s="7">
        <v>5147.7700000000004</v>
      </c>
      <c r="D1026" s="7">
        <f t="shared" ref="D1026:D1089" si="117">B1026-C1026</f>
        <v>3514</v>
      </c>
      <c r="E1026" s="97">
        <v>3200</v>
      </c>
      <c r="F1026" s="7">
        <v>1700</v>
      </c>
      <c r="G1026" s="7">
        <f t="shared" ref="G1026:G1089" si="118">E1026-F1026</f>
        <v>1500</v>
      </c>
      <c r="H1026" s="98">
        <f t="shared" si="116"/>
        <v>3900</v>
      </c>
      <c r="I1026" s="7">
        <v>3500</v>
      </c>
      <c r="J1026" s="7">
        <v>400</v>
      </c>
      <c r="K1026" s="99">
        <f t="shared" si="114"/>
        <v>15761.77</v>
      </c>
      <c r="L1026" s="7">
        <v>1200</v>
      </c>
      <c r="M1026" s="7">
        <v>6000</v>
      </c>
      <c r="N1026" s="7">
        <v>4110</v>
      </c>
      <c r="O1026" s="7">
        <v>0</v>
      </c>
      <c r="P1026" s="7">
        <v>8893.1667705940872</v>
      </c>
      <c r="Q1026" s="7">
        <v>1809.4736925559123</v>
      </c>
      <c r="R1026" s="113">
        <f t="shared" si="110"/>
        <v>0.59430924626259996</v>
      </c>
      <c r="S1026" s="113">
        <f t="shared" si="111"/>
        <v>0.53125</v>
      </c>
      <c r="T1026" s="113">
        <f t="shared" si="112"/>
        <v>0.89743589743589747</v>
      </c>
      <c r="U1026" s="113">
        <f t="shared" si="113"/>
        <v>0.67433171456616581</v>
      </c>
    </row>
    <row r="1027" spans="1:21" x14ac:dyDescent="0.45">
      <c r="A1027" s="95">
        <v>45587</v>
      </c>
      <c r="B1027" s="96">
        <v>8661.77</v>
      </c>
      <c r="C1027" s="7">
        <v>5147.7700000000004</v>
      </c>
      <c r="D1027" s="7">
        <f t="shared" si="117"/>
        <v>3514</v>
      </c>
      <c r="E1027" s="97">
        <v>3200</v>
      </c>
      <c r="F1027" s="7">
        <v>1700</v>
      </c>
      <c r="G1027" s="7">
        <f t="shared" si="118"/>
        <v>1500</v>
      </c>
      <c r="H1027" s="98">
        <f t="shared" si="116"/>
        <v>3900</v>
      </c>
      <c r="I1027" s="7">
        <v>3500</v>
      </c>
      <c r="J1027" s="7">
        <v>400</v>
      </c>
      <c r="K1027" s="99">
        <f t="shared" si="114"/>
        <v>15761.77</v>
      </c>
      <c r="L1027" s="7">
        <v>1200</v>
      </c>
      <c r="M1027" s="7">
        <v>6000</v>
      </c>
      <c r="N1027" s="7">
        <v>4220</v>
      </c>
      <c r="O1027" s="7">
        <v>0</v>
      </c>
      <c r="P1027" s="7">
        <v>8893.1667705940872</v>
      </c>
      <c r="Q1027" s="7">
        <v>2071.9633358859128</v>
      </c>
      <c r="R1027" s="113">
        <f t="shared" ref="R1027:R1090" si="119">C1027/B1027</f>
        <v>0.59430924626259996</v>
      </c>
      <c r="S1027" s="113">
        <f t="shared" ref="S1027:S1090" si="120">F1027/E1027</f>
        <v>0.53125</v>
      </c>
      <c r="T1027" s="113">
        <f t="shared" ref="T1027:T1090" si="121">IF(H1027=0,0,I1027/H1027)</f>
        <v>0.89743589743589747</v>
      </c>
      <c r="U1027" s="113">
        <f t="shared" ref="U1027:U1090" si="122">AVERAGE(R1027:T1027)</f>
        <v>0.67433171456616581</v>
      </c>
    </row>
    <row r="1028" spans="1:21" x14ac:dyDescent="0.45">
      <c r="A1028" s="95">
        <v>45588</v>
      </c>
      <c r="B1028" s="96">
        <v>8661.77</v>
      </c>
      <c r="C1028" s="7">
        <v>5147.7700000000004</v>
      </c>
      <c r="D1028" s="7">
        <f t="shared" si="117"/>
        <v>3514</v>
      </c>
      <c r="E1028" s="97">
        <v>2700</v>
      </c>
      <c r="F1028" s="7">
        <v>1200</v>
      </c>
      <c r="G1028" s="7">
        <f t="shared" si="118"/>
        <v>1500</v>
      </c>
      <c r="H1028" s="98">
        <f t="shared" si="116"/>
        <v>3900</v>
      </c>
      <c r="I1028" s="7">
        <v>3500</v>
      </c>
      <c r="J1028" s="7">
        <v>400</v>
      </c>
      <c r="K1028" s="99">
        <f t="shared" ref="K1028:K1091" si="123">B1028+E1028+H1028</f>
        <v>15261.77</v>
      </c>
      <c r="L1028" s="7">
        <v>1200</v>
      </c>
      <c r="M1028" s="7">
        <v>6000</v>
      </c>
      <c r="N1028" s="7">
        <v>3320</v>
      </c>
      <c r="O1028" s="7">
        <v>0</v>
      </c>
      <c r="P1028" s="7">
        <v>8893.1667705940872</v>
      </c>
      <c r="Q1028" s="7">
        <v>3741.561360115913</v>
      </c>
      <c r="R1028" s="113">
        <f t="shared" si="119"/>
        <v>0.59430924626259996</v>
      </c>
      <c r="S1028" s="113">
        <f t="shared" si="120"/>
        <v>0.44444444444444442</v>
      </c>
      <c r="T1028" s="113">
        <f t="shared" si="121"/>
        <v>0.89743589743589747</v>
      </c>
      <c r="U1028" s="113">
        <f t="shared" si="122"/>
        <v>0.64539652938098058</v>
      </c>
    </row>
    <row r="1029" spans="1:21" x14ac:dyDescent="0.45">
      <c r="A1029" s="95">
        <v>45589</v>
      </c>
      <c r="B1029" s="96">
        <v>8561.77</v>
      </c>
      <c r="C1029" s="7">
        <v>5047.7700000000004</v>
      </c>
      <c r="D1029" s="7">
        <f t="shared" si="117"/>
        <v>3514</v>
      </c>
      <c r="E1029" s="97">
        <v>2915</v>
      </c>
      <c r="F1029" s="7">
        <v>1235</v>
      </c>
      <c r="G1029" s="7">
        <f t="shared" si="118"/>
        <v>1680</v>
      </c>
      <c r="H1029" s="98">
        <f t="shared" si="116"/>
        <v>3900</v>
      </c>
      <c r="I1029" s="7">
        <v>3500</v>
      </c>
      <c r="J1029" s="7">
        <v>400</v>
      </c>
      <c r="K1029" s="99">
        <f t="shared" si="123"/>
        <v>15376.77</v>
      </c>
      <c r="L1029" s="7">
        <v>1000</v>
      </c>
      <c r="M1029" s="7">
        <v>7000</v>
      </c>
      <c r="N1029" s="7">
        <v>4540</v>
      </c>
      <c r="O1029" s="7">
        <v>0</v>
      </c>
      <c r="P1029" s="7">
        <v>8893.1667705940872</v>
      </c>
      <c r="Q1029" s="7">
        <v>2947.8212372659127</v>
      </c>
      <c r="R1029" s="113">
        <f t="shared" si="119"/>
        <v>0.58957084808398263</v>
      </c>
      <c r="S1029" s="113">
        <f t="shared" si="120"/>
        <v>0.42367066895368782</v>
      </c>
      <c r="T1029" s="113">
        <f t="shared" si="121"/>
        <v>0.89743589743589747</v>
      </c>
      <c r="U1029" s="113">
        <f t="shared" si="122"/>
        <v>0.63689247149118933</v>
      </c>
    </row>
    <row r="1030" spans="1:21" x14ac:dyDescent="0.45">
      <c r="A1030" s="95">
        <v>45590</v>
      </c>
      <c r="B1030" s="96">
        <v>8561.77</v>
      </c>
      <c r="C1030" s="7">
        <v>5047.7700000000004</v>
      </c>
      <c r="D1030" s="7">
        <f t="shared" si="117"/>
        <v>3514</v>
      </c>
      <c r="E1030" s="97">
        <v>2915</v>
      </c>
      <c r="F1030" s="7">
        <v>1235</v>
      </c>
      <c r="G1030" s="7">
        <f t="shared" si="118"/>
        <v>1680</v>
      </c>
      <c r="H1030" s="98">
        <f t="shared" si="116"/>
        <v>3900</v>
      </c>
      <c r="I1030" s="7">
        <v>3500</v>
      </c>
      <c r="J1030" s="7">
        <v>400</v>
      </c>
      <c r="K1030" s="99">
        <f t="shared" si="123"/>
        <v>15376.77</v>
      </c>
      <c r="L1030" s="7">
        <v>1000</v>
      </c>
      <c r="M1030" s="7">
        <v>7000</v>
      </c>
      <c r="N1030" s="7">
        <v>5721</v>
      </c>
      <c r="O1030" s="7">
        <v>0</v>
      </c>
      <c r="P1030" s="7">
        <v>8893.1667705940872</v>
      </c>
      <c r="Q1030" s="7">
        <v>2143.6392294059124</v>
      </c>
      <c r="R1030" s="113">
        <f t="shared" si="119"/>
        <v>0.58957084808398263</v>
      </c>
      <c r="S1030" s="113">
        <f t="shared" si="120"/>
        <v>0.42367066895368782</v>
      </c>
      <c r="T1030" s="113">
        <f t="shared" si="121"/>
        <v>0.89743589743589747</v>
      </c>
      <c r="U1030" s="113">
        <f t="shared" si="122"/>
        <v>0.63689247149118933</v>
      </c>
    </row>
    <row r="1031" spans="1:21" x14ac:dyDescent="0.45">
      <c r="A1031" s="95">
        <v>45591</v>
      </c>
      <c r="B1031" s="96">
        <v>8561.77</v>
      </c>
      <c r="C1031" s="7">
        <v>5047.7700000000004</v>
      </c>
      <c r="D1031" s="7">
        <f t="shared" si="117"/>
        <v>3514</v>
      </c>
      <c r="E1031" s="97">
        <v>2915</v>
      </c>
      <c r="F1031" s="7">
        <v>1235</v>
      </c>
      <c r="G1031" s="7">
        <f t="shared" si="118"/>
        <v>1680</v>
      </c>
      <c r="H1031" s="98">
        <f t="shared" si="116"/>
        <v>3900</v>
      </c>
      <c r="I1031" s="7">
        <v>3500</v>
      </c>
      <c r="J1031" s="7">
        <v>400</v>
      </c>
      <c r="K1031" s="99">
        <f t="shared" si="123"/>
        <v>15376.77</v>
      </c>
      <c r="L1031" s="7">
        <v>1000</v>
      </c>
      <c r="M1031" s="7">
        <v>7000</v>
      </c>
      <c r="N1031" s="7">
        <v>5721</v>
      </c>
      <c r="O1031" s="7">
        <v>0</v>
      </c>
      <c r="P1031" s="7">
        <v>8893.1667705940872</v>
      </c>
      <c r="Q1031" s="7">
        <v>2143.6392294059124</v>
      </c>
      <c r="R1031" s="113">
        <f t="shared" si="119"/>
        <v>0.58957084808398263</v>
      </c>
      <c r="S1031" s="113">
        <f t="shared" si="120"/>
        <v>0.42367066895368782</v>
      </c>
      <c r="T1031" s="113">
        <f t="shared" si="121"/>
        <v>0.89743589743589747</v>
      </c>
      <c r="U1031" s="113">
        <f t="shared" si="122"/>
        <v>0.63689247149118933</v>
      </c>
    </row>
    <row r="1032" spans="1:21" x14ac:dyDescent="0.45">
      <c r="A1032" s="95">
        <v>45592</v>
      </c>
      <c r="B1032" s="96">
        <v>8561.77</v>
      </c>
      <c r="C1032" s="7">
        <v>5047.7700000000004</v>
      </c>
      <c r="D1032" s="7">
        <f t="shared" si="117"/>
        <v>3514</v>
      </c>
      <c r="E1032" s="97">
        <v>2915</v>
      </c>
      <c r="F1032" s="7">
        <v>1235</v>
      </c>
      <c r="G1032" s="7">
        <f t="shared" si="118"/>
        <v>1680</v>
      </c>
      <c r="H1032" s="98">
        <f t="shared" si="116"/>
        <v>3900</v>
      </c>
      <c r="I1032" s="7">
        <v>3500</v>
      </c>
      <c r="J1032" s="7">
        <v>400</v>
      </c>
      <c r="K1032" s="99">
        <f t="shared" si="123"/>
        <v>15376.77</v>
      </c>
      <c r="L1032" s="7">
        <v>1000</v>
      </c>
      <c r="M1032" s="7">
        <v>7000</v>
      </c>
      <c r="N1032" s="7">
        <v>5721</v>
      </c>
      <c r="O1032" s="7">
        <v>0</v>
      </c>
      <c r="P1032" s="7">
        <v>8893.1667705940872</v>
      </c>
      <c r="Q1032" s="7">
        <v>2143.6392294059124</v>
      </c>
      <c r="R1032" s="113">
        <f t="shared" si="119"/>
        <v>0.58957084808398263</v>
      </c>
      <c r="S1032" s="113">
        <f t="shared" si="120"/>
        <v>0.42367066895368782</v>
      </c>
      <c r="T1032" s="113">
        <f t="shared" si="121"/>
        <v>0.89743589743589747</v>
      </c>
      <c r="U1032" s="113">
        <f t="shared" si="122"/>
        <v>0.63689247149118933</v>
      </c>
    </row>
    <row r="1033" spans="1:21" x14ac:dyDescent="0.45">
      <c r="A1033" s="95">
        <v>45593</v>
      </c>
      <c r="B1033" s="96">
        <v>8561.77</v>
      </c>
      <c r="C1033" s="7">
        <v>5047.7700000000004</v>
      </c>
      <c r="D1033" s="7">
        <f t="shared" si="117"/>
        <v>3514</v>
      </c>
      <c r="E1033" s="97">
        <v>2915</v>
      </c>
      <c r="F1033" s="7">
        <v>1235</v>
      </c>
      <c r="G1033" s="7">
        <f t="shared" si="118"/>
        <v>1680</v>
      </c>
      <c r="H1033" s="98">
        <f t="shared" si="116"/>
        <v>3900</v>
      </c>
      <c r="I1033" s="7">
        <v>3500</v>
      </c>
      <c r="J1033" s="7">
        <v>400</v>
      </c>
      <c r="K1033" s="99">
        <f t="shared" si="123"/>
        <v>15376.77</v>
      </c>
      <c r="L1033" s="7">
        <v>1000</v>
      </c>
      <c r="M1033" s="7">
        <v>7000</v>
      </c>
      <c r="N1033" s="7">
        <v>4340</v>
      </c>
      <c r="O1033" s="7">
        <v>0</v>
      </c>
      <c r="P1033" s="7">
        <v>9253.687712962048</v>
      </c>
      <c r="Q1033" s="7">
        <v>3381.017287037952</v>
      </c>
      <c r="R1033" s="113">
        <f t="shared" si="119"/>
        <v>0.58957084808398263</v>
      </c>
      <c r="S1033" s="113">
        <f t="shared" si="120"/>
        <v>0.42367066895368782</v>
      </c>
      <c r="T1033" s="113">
        <f t="shared" si="121"/>
        <v>0.89743589743589747</v>
      </c>
      <c r="U1033" s="113">
        <f t="shared" si="122"/>
        <v>0.63689247149118933</v>
      </c>
    </row>
    <row r="1034" spans="1:21" x14ac:dyDescent="0.45">
      <c r="A1034" s="95">
        <v>45594</v>
      </c>
      <c r="B1034" s="96">
        <v>8561.77</v>
      </c>
      <c r="C1034" s="7">
        <v>5047.7700000000004</v>
      </c>
      <c r="D1034" s="7">
        <f t="shared" si="117"/>
        <v>3514</v>
      </c>
      <c r="E1034" s="97">
        <v>2915</v>
      </c>
      <c r="F1034" s="7">
        <v>1235</v>
      </c>
      <c r="G1034" s="7">
        <f t="shared" si="118"/>
        <v>1680</v>
      </c>
      <c r="H1034" s="98">
        <f t="shared" si="116"/>
        <v>3900</v>
      </c>
      <c r="I1034" s="7">
        <v>3500</v>
      </c>
      <c r="J1034" s="7">
        <v>400</v>
      </c>
      <c r="K1034" s="99">
        <f t="shared" si="123"/>
        <v>15376.77</v>
      </c>
      <c r="L1034" s="7">
        <v>1000</v>
      </c>
      <c r="M1034" s="7">
        <v>7000</v>
      </c>
      <c r="N1034" s="7">
        <v>4940</v>
      </c>
      <c r="O1034" s="7">
        <v>0</v>
      </c>
      <c r="P1034" s="7">
        <v>9253.687712962048</v>
      </c>
      <c r="Q1034" s="7">
        <v>3121.432287037951</v>
      </c>
      <c r="R1034" s="113">
        <f t="shared" si="119"/>
        <v>0.58957084808398263</v>
      </c>
      <c r="S1034" s="113">
        <f t="shared" si="120"/>
        <v>0.42367066895368782</v>
      </c>
      <c r="T1034" s="113">
        <f t="shared" si="121"/>
        <v>0.89743589743589747</v>
      </c>
      <c r="U1034" s="113">
        <f t="shared" si="122"/>
        <v>0.63689247149118933</v>
      </c>
    </row>
    <row r="1035" spans="1:21" x14ac:dyDescent="0.45">
      <c r="A1035" s="95">
        <v>45595</v>
      </c>
      <c r="B1035" s="96">
        <v>8561.77</v>
      </c>
      <c r="C1035" s="7">
        <v>5047.7700000000004</v>
      </c>
      <c r="D1035" s="7">
        <f t="shared" si="117"/>
        <v>3514</v>
      </c>
      <c r="E1035" s="97">
        <v>2915</v>
      </c>
      <c r="F1035" s="7">
        <v>1235</v>
      </c>
      <c r="G1035" s="7">
        <f t="shared" si="118"/>
        <v>1680</v>
      </c>
      <c r="H1035" s="98">
        <f t="shared" si="116"/>
        <v>3900</v>
      </c>
      <c r="I1035" s="7">
        <v>3500</v>
      </c>
      <c r="J1035" s="7">
        <v>400</v>
      </c>
      <c r="K1035" s="99">
        <f t="shared" si="123"/>
        <v>15376.77</v>
      </c>
      <c r="L1035" s="7">
        <v>1000</v>
      </c>
      <c r="M1035" s="7">
        <v>7000</v>
      </c>
      <c r="N1035" s="7">
        <v>4185</v>
      </c>
      <c r="O1035" s="7">
        <v>0</v>
      </c>
      <c r="P1035" s="7">
        <v>9253.687712962048</v>
      </c>
      <c r="Q1035" s="7">
        <v>4114.2624292779501</v>
      </c>
      <c r="R1035" s="113">
        <f t="shared" si="119"/>
        <v>0.58957084808398263</v>
      </c>
      <c r="S1035" s="113">
        <f t="shared" si="120"/>
        <v>0.42367066895368782</v>
      </c>
      <c r="T1035" s="113">
        <f t="shared" si="121"/>
        <v>0.89743589743589747</v>
      </c>
      <c r="U1035" s="113">
        <f t="shared" si="122"/>
        <v>0.63689247149118933</v>
      </c>
    </row>
    <row r="1036" spans="1:21" x14ac:dyDescent="0.45">
      <c r="A1036" s="95">
        <v>45596</v>
      </c>
      <c r="B1036" s="96">
        <v>9241.77</v>
      </c>
      <c r="C1036" s="7">
        <v>5647.77</v>
      </c>
      <c r="D1036" s="7">
        <f t="shared" si="117"/>
        <v>3594</v>
      </c>
      <c r="E1036" s="97">
        <v>2915</v>
      </c>
      <c r="F1036" s="7">
        <v>1235</v>
      </c>
      <c r="G1036" s="7">
        <f t="shared" si="118"/>
        <v>1680</v>
      </c>
      <c r="H1036" s="98">
        <f t="shared" si="116"/>
        <v>3900</v>
      </c>
      <c r="I1036" s="7">
        <v>3500</v>
      </c>
      <c r="J1036" s="7">
        <v>400</v>
      </c>
      <c r="K1036" s="99">
        <f t="shared" si="123"/>
        <v>16056.77</v>
      </c>
      <c r="L1036" s="7">
        <v>1900</v>
      </c>
      <c r="M1036" s="7">
        <v>8000</v>
      </c>
      <c r="N1036" s="7">
        <v>3600</v>
      </c>
      <c r="O1036" s="7">
        <v>0</v>
      </c>
      <c r="P1036" s="7">
        <v>9253.687712962048</v>
      </c>
      <c r="Q1036" s="7">
        <v>2025.5462870379506</v>
      </c>
      <c r="R1036" s="113">
        <f t="shared" si="119"/>
        <v>0.61111345553936103</v>
      </c>
      <c r="S1036" s="113">
        <f t="shared" si="120"/>
        <v>0.42367066895368782</v>
      </c>
      <c r="T1036" s="113">
        <f t="shared" si="121"/>
        <v>0.89743589743589747</v>
      </c>
      <c r="U1036" s="113">
        <f t="shared" si="122"/>
        <v>0.64407334064298205</v>
      </c>
    </row>
    <row r="1037" spans="1:21" x14ac:dyDescent="0.45">
      <c r="A1037" s="95">
        <v>45597</v>
      </c>
      <c r="B1037" s="96">
        <v>9241.77</v>
      </c>
      <c r="C1037" s="7">
        <v>5647.77</v>
      </c>
      <c r="D1037" s="7">
        <f t="shared" si="117"/>
        <v>3594</v>
      </c>
      <c r="E1037" s="97">
        <v>2915</v>
      </c>
      <c r="F1037" s="7">
        <v>1235</v>
      </c>
      <c r="G1037" s="7">
        <f t="shared" si="118"/>
        <v>1680</v>
      </c>
      <c r="H1037" s="98">
        <f t="shared" si="116"/>
        <v>3900</v>
      </c>
      <c r="I1037" s="7">
        <v>3500</v>
      </c>
      <c r="J1037" s="7">
        <v>400</v>
      </c>
      <c r="K1037" s="99">
        <f t="shared" si="123"/>
        <v>16056.77</v>
      </c>
      <c r="L1037" s="7">
        <v>1900</v>
      </c>
      <c r="M1037" s="7">
        <v>8000</v>
      </c>
      <c r="N1037" s="7">
        <v>4052</v>
      </c>
      <c r="O1037" s="7">
        <v>0</v>
      </c>
      <c r="P1037" s="7">
        <v>9253.687712962048</v>
      </c>
      <c r="Q1037" s="7">
        <v>2046.1935155979509</v>
      </c>
      <c r="R1037" s="113">
        <f t="shared" si="119"/>
        <v>0.61111345553936103</v>
      </c>
      <c r="S1037" s="113">
        <f t="shared" si="120"/>
        <v>0.42367066895368782</v>
      </c>
      <c r="T1037" s="113">
        <f t="shared" si="121"/>
        <v>0.89743589743589747</v>
      </c>
      <c r="U1037" s="113">
        <f t="shared" si="122"/>
        <v>0.64407334064298205</v>
      </c>
    </row>
    <row r="1038" spans="1:21" x14ac:dyDescent="0.45">
      <c r="A1038" s="95">
        <v>45598</v>
      </c>
      <c r="B1038" s="96">
        <v>9241.77</v>
      </c>
      <c r="C1038" s="7">
        <v>5647.77</v>
      </c>
      <c r="D1038" s="7">
        <f t="shared" si="117"/>
        <v>3594</v>
      </c>
      <c r="E1038" s="97">
        <v>2915</v>
      </c>
      <c r="F1038" s="7">
        <v>1235</v>
      </c>
      <c r="G1038" s="7">
        <f t="shared" si="118"/>
        <v>1680</v>
      </c>
      <c r="H1038" s="98">
        <f t="shared" si="116"/>
        <v>3900</v>
      </c>
      <c r="I1038" s="7">
        <v>3500</v>
      </c>
      <c r="J1038" s="7">
        <v>400</v>
      </c>
      <c r="K1038" s="99">
        <f t="shared" si="123"/>
        <v>16056.77</v>
      </c>
      <c r="L1038" s="7">
        <v>1900</v>
      </c>
      <c r="M1038" s="7">
        <v>8000</v>
      </c>
      <c r="N1038" s="7">
        <v>4052</v>
      </c>
      <c r="O1038" s="7">
        <v>0</v>
      </c>
      <c r="P1038" s="7">
        <v>9253.687712962048</v>
      </c>
      <c r="Q1038" s="7">
        <v>2046.1935155979509</v>
      </c>
      <c r="R1038" s="113">
        <f t="shared" si="119"/>
        <v>0.61111345553936103</v>
      </c>
      <c r="S1038" s="113">
        <f t="shared" si="120"/>
        <v>0.42367066895368782</v>
      </c>
      <c r="T1038" s="113">
        <f t="shared" si="121"/>
        <v>0.89743589743589747</v>
      </c>
      <c r="U1038" s="113">
        <f t="shared" si="122"/>
        <v>0.64407334064298205</v>
      </c>
    </row>
    <row r="1039" spans="1:21" x14ac:dyDescent="0.45">
      <c r="A1039" s="95">
        <v>45599</v>
      </c>
      <c r="B1039" s="96">
        <v>9241.77</v>
      </c>
      <c r="C1039" s="7">
        <v>5647.77</v>
      </c>
      <c r="D1039" s="7">
        <f t="shared" si="117"/>
        <v>3594</v>
      </c>
      <c r="E1039" s="97">
        <v>2915</v>
      </c>
      <c r="F1039" s="7">
        <v>1235</v>
      </c>
      <c r="G1039" s="7">
        <f t="shared" si="118"/>
        <v>1680</v>
      </c>
      <c r="H1039" s="98">
        <f t="shared" si="116"/>
        <v>3900</v>
      </c>
      <c r="I1039" s="7">
        <v>3500</v>
      </c>
      <c r="J1039" s="7">
        <v>400</v>
      </c>
      <c r="K1039" s="99">
        <f t="shared" si="123"/>
        <v>16056.77</v>
      </c>
      <c r="L1039" s="7">
        <v>1900</v>
      </c>
      <c r="M1039" s="7">
        <v>8000</v>
      </c>
      <c r="N1039" s="7">
        <v>4052</v>
      </c>
      <c r="O1039" s="7">
        <v>0</v>
      </c>
      <c r="P1039" s="7">
        <v>9253.687712962048</v>
      </c>
      <c r="Q1039" s="7">
        <v>2046.1935155979509</v>
      </c>
      <c r="R1039" s="113">
        <f t="shared" si="119"/>
        <v>0.61111345553936103</v>
      </c>
      <c r="S1039" s="113">
        <f t="shared" si="120"/>
        <v>0.42367066895368782</v>
      </c>
      <c r="T1039" s="113">
        <f t="shared" si="121"/>
        <v>0.89743589743589747</v>
      </c>
      <c r="U1039" s="113">
        <f t="shared" si="122"/>
        <v>0.64407334064298205</v>
      </c>
    </row>
    <row r="1040" spans="1:21" x14ac:dyDescent="0.45">
      <c r="A1040" s="95">
        <v>45600</v>
      </c>
      <c r="B1040" s="96">
        <v>9241.77</v>
      </c>
      <c r="C1040" s="7">
        <v>5647.77</v>
      </c>
      <c r="D1040" s="7">
        <f t="shared" si="117"/>
        <v>3594</v>
      </c>
      <c r="E1040" s="97">
        <v>2915</v>
      </c>
      <c r="F1040" s="7">
        <v>1235</v>
      </c>
      <c r="G1040" s="7">
        <f t="shared" si="118"/>
        <v>1680</v>
      </c>
      <c r="H1040" s="98">
        <f t="shared" si="116"/>
        <v>3900</v>
      </c>
      <c r="I1040" s="7">
        <v>3500</v>
      </c>
      <c r="J1040" s="7">
        <v>400</v>
      </c>
      <c r="K1040" s="99">
        <f t="shared" si="123"/>
        <v>16056.77</v>
      </c>
      <c r="L1040" s="7">
        <v>1900</v>
      </c>
      <c r="M1040" s="7">
        <v>8000</v>
      </c>
      <c r="N1040" s="7">
        <v>3072</v>
      </c>
      <c r="O1040" s="7">
        <v>0</v>
      </c>
      <c r="P1040" s="7">
        <v>9253.687712962048</v>
      </c>
      <c r="Q1040" s="7">
        <v>3049.1196857779501</v>
      </c>
      <c r="R1040" s="113">
        <f t="shared" si="119"/>
        <v>0.61111345553936103</v>
      </c>
      <c r="S1040" s="113">
        <f t="shared" si="120"/>
        <v>0.42367066895368782</v>
      </c>
      <c r="T1040" s="113">
        <f t="shared" si="121"/>
        <v>0.89743589743589747</v>
      </c>
      <c r="U1040" s="113">
        <f t="shared" si="122"/>
        <v>0.64407334064298205</v>
      </c>
    </row>
    <row r="1041" spans="1:21" x14ac:dyDescent="0.45">
      <c r="A1041" s="95">
        <v>45601</v>
      </c>
      <c r="B1041" s="96">
        <v>9241.77</v>
      </c>
      <c r="C1041" s="7">
        <v>5647.77</v>
      </c>
      <c r="D1041" s="7">
        <f t="shared" si="117"/>
        <v>3594</v>
      </c>
      <c r="E1041" s="97">
        <v>2915</v>
      </c>
      <c r="F1041" s="7">
        <v>1235</v>
      </c>
      <c r="G1041" s="7">
        <f t="shared" si="118"/>
        <v>1680</v>
      </c>
      <c r="H1041" s="98">
        <f t="shared" si="116"/>
        <v>3900</v>
      </c>
      <c r="I1041" s="7">
        <v>3500</v>
      </c>
      <c r="J1041" s="7">
        <v>400</v>
      </c>
      <c r="K1041" s="99">
        <f t="shared" si="123"/>
        <v>16056.77</v>
      </c>
      <c r="L1041" s="7">
        <v>1900</v>
      </c>
      <c r="M1041" s="7">
        <v>8000</v>
      </c>
      <c r="N1041" s="7">
        <v>4271</v>
      </c>
      <c r="O1041" s="7">
        <v>0</v>
      </c>
      <c r="P1041" s="7">
        <v>9253.687712962048</v>
      </c>
      <c r="Q1041" s="7">
        <v>2130.5479451479509</v>
      </c>
      <c r="R1041" s="113">
        <f t="shared" si="119"/>
        <v>0.61111345553936103</v>
      </c>
      <c r="S1041" s="113">
        <f t="shared" si="120"/>
        <v>0.42367066895368782</v>
      </c>
      <c r="T1041" s="113">
        <f t="shared" si="121"/>
        <v>0.89743589743589747</v>
      </c>
      <c r="U1041" s="113">
        <f t="shared" si="122"/>
        <v>0.64407334064298205</v>
      </c>
    </row>
    <row r="1042" spans="1:21" x14ac:dyDescent="0.45">
      <c r="A1042" s="95">
        <v>45602</v>
      </c>
      <c r="B1042" s="96">
        <v>9241.77</v>
      </c>
      <c r="C1042" s="7">
        <v>5647.77</v>
      </c>
      <c r="D1042" s="7">
        <f t="shared" si="117"/>
        <v>3594</v>
      </c>
      <c r="E1042" s="97">
        <v>2915</v>
      </c>
      <c r="F1042" s="7">
        <v>1235</v>
      </c>
      <c r="G1042" s="7">
        <f t="shared" si="118"/>
        <v>1680</v>
      </c>
      <c r="H1042" s="98">
        <f t="shared" si="116"/>
        <v>3900</v>
      </c>
      <c r="I1042" s="7">
        <v>3500</v>
      </c>
      <c r="J1042" s="7">
        <v>400</v>
      </c>
      <c r="K1042" s="99">
        <f t="shared" si="123"/>
        <v>16056.77</v>
      </c>
      <c r="L1042" s="7">
        <v>1900</v>
      </c>
      <c r="M1042" s="7">
        <v>8000</v>
      </c>
      <c r="N1042" s="7">
        <v>4492</v>
      </c>
      <c r="O1042" s="7">
        <v>0</v>
      </c>
      <c r="P1042" s="7">
        <v>9253.687712962048</v>
      </c>
      <c r="Q1042" s="7">
        <v>1476.5282870379506</v>
      </c>
      <c r="R1042" s="113">
        <f t="shared" si="119"/>
        <v>0.61111345553936103</v>
      </c>
      <c r="S1042" s="113">
        <f t="shared" si="120"/>
        <v>0.42367066895368782</v>
      </c>
      <c r="T1042" s="113">
        <f t="shared" si="121"/>
        <v>0.89743589743589747</v>
      </c>
      <c r="U1042" s="113">
        <f t="shared" si="122"/>
        <v>0.64407334064298205</v>
      </c>
    </row>
    <row r="1043" spans="1:21" x14ac:dyDescent="0.45">
      <c r="A1043" s="95">
        <v>45603</v>
      </c>
      <c r="B1043" s="96">
        <v>8921.77</v>
      </c>
      <c r="C1043" s="7">
        <v>5497.77</v>
      </c>
      <c r="D1043" s="7">
        <f t="shared" si="117"/>
        <v>3424</v>
      </c>
      <c r="E1043" s="97">
        <v>2915</v>
      </c>
      <c r="F1043" s="7">
        <v>1235</v>
      </c>
      <c r="G1043" s="7">
        <f t="shared" si="118"/>
        <v>1680</v>
      </c>
      <c r="H1043" s="98">
        <f t="shared" si="116"/>
        <v>3900</v>
      </c>
      <c r="I1043" s="7">
        <v>3500</v>
      </c>
      <c r="J1043" s="7">
        <v>400</v>
      </c>
      <c r="K1043" s="99">
        <f t="shared" si="123"/>
        <v>15736.77</v>
      </c>
      <c r="L1043" s="7">
        <v>900</v>
      </c>
      <c r="M1043" s="7">
        <v>9500</v>
      </c>
      <c r="N1043" s="7">
        <v>6089</v>
      </c>
      <c r="O1043" s="7">
        <v>0</v>
      </c>
      <c r="P1043" s="7">
        <v>9253.687712962048</v>
      </c>
      <c r="Q1043" s="7">
        <v>474.57638819795096</v>
      </c>
      <c r="R1043" s="113">
        <f t="shared" si="119"/>
        <v>0.61621965148171276</v>
      </c>
      <c r="S1043" s="113">
        <f t="shared" si="120"/>
        <v>0.42367066895368782</v>
      </c>
      <c r="T1043" s="113">
        <f t="shared" si="121"/>
        <v>0.89743589743589747</v>
      </c>
      <c r="U1043" s="113">
        <f t="shared" si="122"/>
        <v>0.64577540595709937</v>
      </c>
    </row>
    <row r="1044" spans="1:21" x14ac:dyDescent="0.45">
      <c r="A1044" s="95">
        <v>45604</v>
      </c>
      <c r="B1044" s="96">
        <v>8921.77</v>
      </c>
      <c r="C1044" s="7">
        <v>5497.77</v>
      </c>
      <c r="D1044" s="7">
        <f t="shared" si="117"/>
        <v>3424</v>
      </c>
      <c r="E1044" s="97">
        <v>2915</v>
      </c>
      <c r="F1044" s="7">
        <v>1235</v>
      </c>
      <c r="G1044" s="7">
        <f t="shared" si="118"/>
        <v>1680</v>
      </c>
      <c r="H1044" s="98">
        <f t="shared" si="116"/>
        <v>3900</v>
      </c>
      <c r="I1044" s="7">
        <v>3500</v>
      </c>
      <c r="J1044" s="7">
        <v>400</v>
      </c>
      <c r="K1044" s="99">
        <f t="shared" si="123"/>
        <v>15736.77</v>
      </c>
      <c r="L1044" s="7">
        <v>900</v>
      </c>
      <c r="M1044" s="7">
        <v>9500</v>
      </c>
      <c r="N1044" s="7">
        <v>5600</v>
      </c>
      <c r="O1044" s="7">
        <v>0</v>
      </c>
      <c r="P1044" s="7">
        <v>9253.687712962048</v>
      </c>
      <c r="Q1044" s="7">
        <v>1231.9966229979505</v>
      </c>
      <c r="R1044" s="113">
        <f t="shared" si="119"/>
        <v>0.61621965148171276</v>
      </c>
      <c r="S1044" s="113">
        <f t="shared" si="120"/>
        <v>0.42367066895368782</v>
      </c>
      <c r="T1044" s="113">
        <f t="shared" si="121"/>
        <v>0.89743589743589747</v>
      </c>
      <c r="U1044" s="113">
        <f t="shared" si="122"/>
        <v>0.64577540595709937</v>
      </c>
    </row>
    <row r="1045" spans="1:21" x14ac:dyDescent="0.45">
      <c r="A1045" s="95">
        <v>45605</v>
      </c>
      <c r="B1045" s="96">
        <v>8921.77</v>
      </c>
      <c r="C1045" s="7">
        <v>5497.77</v>
      </c>
      <c r="D1045" s="7">
        <f t="shared" si="117"/>
        <v>3424</v>
      </c>
      <c r="E1045" s="97">
        <v>2915</v>
      </c>
      <c r="F1045" s="7">
        <v>1235</v>
      </c>
      <c r="G1045" s="7">
        <f t="shared" si="118"/>
        <v>1680</v>
      </c>
      <c r="H1045" s="98">
        <f t="shared" si="116"/>
        <v>3900</v>
      </c>
      <c r="I1045" s="7">
        <v>3500</v>
      </c>
      <c r="J1045" s="7">
        <v>400</v>
      </c>
      <c r="K1045" s="99">
        <f t="shared" si="123"/>
        <v>15736.77</v>
      </c>
      <c r="L1045" s="7">
        <v>900</v>
      </c>
      <c r="M1045" s="7">
        <v>9500</v>
      </c>
      <c r="N1045" s="7">
        <v>5600</v>
      </c>
      <c r="O1045" s="7">
        <v>0</v>
      </c>
      <c r="P1045" s="7">
        <v>9253.687712962048</v>
      </c>
      <c r="Q1045" s="7">
        <v>1231.9966229979505</v>
      </c>
      <c r="R1045" s="113">
        <f t="shared" si="119"/>
        <v>0.61621965148171276</v>
      </c>
      <c r="S1045" s="113">
        <f t="shared" si="120"/>
        <v>0.42367066895368782</v>
      </c>
      <c r="T1045" s="113">
        <f t="shared" si="121"/>
        <v>0.89743589743589747</v>
      </c>
      <c r="U1045" s="113">
        <f t="shared" si="122"/>
        <v>0.64577540595709937</v>
      </c>
    </row>
    <row r="1046" spans="1:21" x14ac:dyDescent="0.45">
      <c r="A1046" s="95">
        <v>45606</v>
      </c>
      <c r="B1046" s="96">
        <v>8921.77</v>
      </c>
      <c r="C1046" s="7">
        <v>5497.77</v>
      </c>
      <c r="D1046" s="7">
        <f t="shared" si="117"/>
        <v>3424</v>
      </c>
      <c r="E1046" s="97">
        <v>2915</v>
      </c>
      <c r="F1046" s="7">
        <v>1235</v>
      </c>
      <c r="G1046" s="7">
        <f t="shared" si="118"/>
        <v>1680</v>
      </c>
      <c r="H1046" s="98">
        <f t="shared" si="116"/>
        <v>3900</v>
      </c>
      <c r="I1046" s="7">
        <v>3500</v>
      </c>
      <c r="J1046" s="7">
        <v>400</v>
      </c>
      <c r="K1046" s="99">
        <f t="shared" si="123"/>
        <v>15736.77</v>
      </c>
      <c r="L1046" s="7">
        <v>900</v>
      </c>
      <c r="M1046" s="7">
        <v>9500</v>
      </c>
      <c r="N1046" s="7">
        <v>5600</v>
      </c>
      <c r="O1046" s="7">
        <v>0</v>
      </c>
      <c r="P1046" s="7">
        <v>9253.687712962048</v>
      </c>
      <c r="Q1046" s="7">
        <v>1231.9966229979505</v>
      </c>
      <c r="R1046" s="113">
        <f t="shared" si="119"/>
        <v>0.61621965148171276</v>
      </c>
      <c r="S1046" s="113">
        <f t="shared" si="120"/>
        <v>0.42367066895368782</v>
      </c>
      <c r="T1046" s="113">
        <f t="shared" si="121"/>
        <v>0.89743589743589747</v>
      </c>
      <c r="U1046" s="113">
        <f t="shared" si="122"/>
        <v>0.64577540595709937</v>
      </c>
    </row>
    <row r="1047" spans="1:21" x14ac:dyDescent="0.45">
      <c r="A1047" s="95">
        <v>45607</v>
      </c>
      <c r="B1047" s="96">
        <v>8921.77</v>
      </c>
      <c r="C1047" s="7">
        <v>5497.77</v>
      </c>
      <c r="D1047" s="7">
        <f t="shared" si="117"/>
        <v>3424</v>
      </c>
      <c r="E1047" s="97">
        <v>2915</v>
      </c>
      <c r="F1047" s="7">
        <v>1235</v>
      </c>
      <c r="G1047" s="7">
        <f t="shared" si="118"/>
        <v>1680</v>
      </c>
      <c r="H1047" s="98">
        <f t="shared" si="116"/>
        <v>3900</v>
      </c>
      <c r="I1047" s="7">
        <v>3500</v>
      </c>
      <c r="J1047" s="7">
        <v>400</v>
      </c>
      <c r="K1047" s="99">
        <f t="shared" si="123"/>
        <v>15736.77</v>
      </c>
      <c r="L1047" s="7">
        <v>900</v>
      </c>
      <c r="M1047" s="7">
        <v>9500</v>
      </c>
      <c r="N1047" s="7">
        <v>5920</v>
      </c>
      <c r="O1047" s="7">
        <v>0</v>
      </c>
      <c r="P1047" s="7">
        <v>9253.687712962048</v>
      </c>
      <c r="Q1047" s="7">
        <v>778.19890410795006</v>
      </c>
      <c r="R1047" s="113">
        <f t="shared" si="119"/>
        <v>0.61621965148171276</v>
      </c>
      <c r="S1047" s="113">
        <f t="shared" si="120"/>
        <v>0.42367066895368782</v>
      </c>
      <c r="T1047" s="113">
        <f t="shared" si="121"/>
        <v>0.89743589743589747</v>
      </c>
      <c r="U1047" s="113">
        <f t="shared" si="122"/>
        <v>0.64577540595709937</v>
      </c>
    </row>
    <row r="1048" spans="1:21" x14ac:dyDescent="0.45">
      <c r="A1048" s="95">
        <v>45608</v>
      </c>
      <c r="B1048" s="96">
        <v>8921.77</v>
      </c>
      <c r="C1048" s="7">
        <v>5497.77</v>
      </c>
      <c r="D1048" s="7">
        <f t="shared" si="117"/>
        <v>3424</v>
      </c>
      <c r="E1048" s="97">
        <v>2915</v>
      </c>
      <c r="F1048" s="7">
        <v>1235</v>
      </c>
      <c r="G1048" s="7">
        <f t="shared" si="118"/>
        <v>1680</v>
      </c>
      <c r="H1048" s="98">
        <f t="shared" si="116"/>
        <v>3900</v>
      </c>
      <c r="I1048" s="7">
        <v>3500</v>
      </c>
      <c r="J1048" s="7">
        <v>400</v>
      </c>
      <c r="K1048" s="99">
        <f t="shared" si="123"/>
        <v>15736.77</v>
      </c>
      <c r="L1048" s="7">
        <v>900</v>
      </c>
      <c r="M1048" s="7">
        <v>9500</v>
      </c>
      <c r="N1048" s="7">
        <v>6342</v>
      </c>
      <c r="O1048" s="7">
        <v>0</v>
      </c>
      <c r="P1048" s="7">
        <v>9253.687712962048</v>
      </c>
      <c r="Q1048" s="7">
        <v>232.90767478795041</v>
      </c>
      <c r="R1048" s="113">
        <f t="shared" si="119"/>
        <v>0.61621965148171276</v>
      </c>
      <c r="S1048" s="113">
        <f t="shared" si="120"/>
        <v>0.42367066895368782</v>
      </c>
      <c r="T1048" s="113">
        <f t="shared" si="121"/>
        <v>0.89743589743589747</v>
      </c>
      <c r="U1048" s="113">
        <f t="shared" si="122"/>
        <v>0.64577540595709937</v>
      </c>
    </row>
    <row r="1049" spans="1:21" x14ac:dyDescent="0.45">
      <c r="A1049" s="95">
        <v>45609</v>
      </c>
      <c r="B1049" s="96">
        <v>8921.77</v>
      </c>
      <c r="C1049" s="7">
        <v>5497.77</v>
      </c>
      <c r="D1049" s="7">
        <f t="shared" si="117"/>
        <v>3424</v>
      </c>
      <c r="E1049" s="97">
        <v>2915</v>
      </c>
      <c r="F1049" s="7">
        <v>1235</v>
      </c>
      <c r="G1049" s="7">
        <f t="shared" si="118"/>
        <v>1680</v>
      </c>
      <c r="H1049" s="98">
        <f t="shared" si="116"/>
        <v>3900</v>
      </c>
      <c r="I1049" s="7">
        <v>3500</v>
      </c>
      <c r="J1049" s="7">
        <v>400</v>
      </c>
      <c r="K1049" s="99">
        <f t="shared" si="123"/>
        <v>15736.77</v>
      </c>
      <c r="L1049" s="7">
        <v>900</v>
      </c>
      <c r="M1049" s="7">
        <v>9500</v>
      </c>
      <c r="N1049" s="7">
        <v>5902</v>
      </c>
      <c r="O1049" s="7">
        <v>0</v>
      </c>
      <c r="P1049" s="7">
        <v>9253.687712962048</v>
      </c>
      <c r="Q1049" s="7">
        <v>-262.06126742204935</v>
      </c>
      <c r="R1049" s="113">
        <f t="shared" si="119"/>
        <v>0.61621965148171276</v>
      </c>
      <c r="S1049" s="113">
        <f t="shared" si="120"/>
        <v>0.42367066895368782</v>
      </c>
      <c r="T1049" s="113">
        <f t="shared" si="121"/>
        <v>0.89743589743589747</v>
      </c>
      <c r="U1049" s="113">
        <f t="shared" si="122"/>
        <v>0.64577540595709937</v>
      </c>
    </row>
    <row r="1050" spans="1:21" x14ac:dyDescent="0.45">
      <c r="A1050" s="95">
        <v>45610</v>
      </c>
      <c r="B1050" s="96">
        <v>8946.77</v>
      </c>
      <c r="C1050" s="7">
        <v>5412.77</v>
      </c>
      <c r="D1050" s="7">
        <f t="shared" si="117"/>
        <v>3534</v>
      </c>
      <c r="E1050" s="97">
        <v>2915</v>
      </c>
      <c r="F1050" s="7">
        <v>1235</v>
      </c>
      <c r="G1050" s="7">
        <f t="shared" si="118"/>
        <v>1680</v>
      </c>
      <c r="H1050" s="98">
        <f t="shared" si="116"/>
        <v>3900</v>
      </c>
      <c r="I1050" s="7">
        <v>3500</v>
      </c>
      <c r="J1050" s="7">
        <v>400</v>
      </c>
      <c r="K1050" s="99">
        <f t="shared" si="123"/>
        <v>15761.77</v>
      </c>
      <c r="L1050" s="7">
        <v>1000</v>
      </c>
      <c r="M1050" s="7">
        <v>6000</v>
      </c>
      <c r="N1050" s="7">
        <v>5875</v>
      </c>
      <c r="O1050" s="7">
        <v>0</v>
      </c>
      <c r="P1050" s="7">
        <v>9253.687712962048</v>
      </c>
      <c r="Q1050" s="7">
        <v>3252.2941160079508</v>
      </c>
      <c r="R1050" s="113">
        <f t="shared" si="119"/>
        <v>0.604997110689109</v>
      </c>
      <c r="S1050" s="113">
        <f t="shared" si="120"/>
        <v>0.42367066895368782</v>
      </c>
      <c r="T1050" s="113">
        <f t="shared" si="121"/>
        <v>0.89743589743589747</v>
      </c>
      <c r="U1050" s="113">
        <f t="shared" si="122"/>
        <v>0.64203455902623141</v>
      </c>
    </row>
    <row r="1051" spans="1:21" x14ac:dyDescent="0.45">
      <c r="A1051" s="95">
        <v>45611</v>
      </c>
      <c r="B1051" s="96">
        <v>8946.77</v>
      </c>
      <c r="C1051" s="7">
        <v>5412.77</v>
      </c>
      <c r="D1051" s="7">
        <f t="shared" si="117"/>
        <v>3534</v>
      </c>
      <c r="E1051" s="97">
        <v>2915</v>
      </c>
      <c r="F1051" s="7">
        <v>1235</v>
      </c>
      <c r="G1051" s="7">
        <f t="shared" si="118"/>
        <v>1680</v>
      </c>
      <c r="H1051" s="98">
        <f t="shared" si="116"/>
        <v>3900</v>
      </c>
      <c r="I1051" s="7">
        <v>3500</v>
      </c>
      <c r="J1051" s="7">
        <v>400</v>
      </c>
      <c r="K1051" s="99">
        <f t="shared" si="123"/>
        <v>15761.77</v>
      </c>
      <c r="L1051" s="7">
        <v>1000</v>
      </c>
      <c r="M1051" s="7">
        <v>6000</v>
      </c>
      <c r="N1051" s="7">
        <v>5339</v>
      </c>
      <c r="O1051" s="7">
        <v>0</v>
      </c>
      <c r="P1051" s="7">
        <v>9253.687712962048</v>
      </c>
      <c r="Q1051" s="7">
        <v>4296.6228630079504</v>
      </c>
      <c r="R1051" s="113">
        <f t="shared" si="119"/>
        <v>0.604997110689109</v>
      </c>
      <c r="S1051" s="113">
        <f t="shared" si="120"/>
        <v>0.42367066895368782</v>
      </c>
      <c r="T1051" s="113">
        <f t="shared" si="121"/>
        <v>0.89743589743589747</v>
      </c>
      <c r="U1051" s="113">
        <f t="shared" si="122"/>
        <v>0.64203455902623141</v>
      </c>
    </row>
    <row r="1052" spans="1:21" x14ac:dyDescent="0.45">
      <c r="A1052" s="95">
        <v>45612</v>
      </c>
      <c r="B1052" s="96">
        <v>8946.77</v>
      </c>
      <c r="C1052" s="7">
        <v>5412.77</v>
      </c>
      <c r="D1052" s="7">
        <f t="shared" si="117"/>
        <v>3534</v>
      </c>
      <c r="E1052" s="97">
        <v>2915</v>
      </c>
      <c r="F1052" s="7">
        <v>1235</v>
      </c>
      <c r="G1052" s="7">
        <f t="shared" si="118"/>
        <v>1680</v>
      </c>
      <c r="H1052" s="98">
        <f t="shared" si="116"/>
        <v>3900</v>
      </c>
      <c r="I1052" s="7">
        <v>3500</v>
      </c>
      <c r="J1052" s="7">
        <v>400</v>
      </c>
      <c r="K1052" s="99">
        <f t="shared" si="123"/>
        <v>15761.77</v>
      </c>
      <c r="L1052" s="7">
        <v>1000</v>
      </c>
      <c r="M1052" s="7">
        <v>6000</v>
      </c>
      <c r="N1052" s="7">
        <v>5339</v>
      </c>
      <c r="O1052" s="7">
        <v>0</v>
      </c>
      <c r="P1052" s="7">
        <v>9253.687712962048</v>
      </c>
      <c r="Q1052" s="7">
        <v>4296.6228630079504</v>
      </c>
      <c r="R1052" s="113">
        <f t="shared" si="119"/>
        <v>0.604997110689109</v>
      </c>
      <c r="S1052" s="113">
        <f t="shared" si="120"/>
        <v>0.42367066895368782</v>
      </c>
      <c r="T1052" s="113">
        <f t="shared" si="121"/>
        <v>0.89743589743589747</v>
      </c>
      <c r="U1052" s="113">
        <f t="shared" si="122"/>
        <v>0.64203455902623141</v>
      </c>
    </row>
    <row r="1053" spans="1:21" x14ac:dyDescent="0.45">
      <c r="A1053" s="95">
        <v>45613</v>
      </c>
      <c r="B1053" s="96">
        <v>8946.77</v>
      </c>
      <c r="C1053" s="7">
        <v>5412.77</v>
      </c>
      <c r="D1053" s="7">
        <f t="shared" si="117"/>
        <v>3534</v>
      </c>
      <c r="E1053" s="97">
        <v>2915</v>
      </c>
      <c r="F1053" s="7">
        <v>1235</v>
      </c>
      <c r="G1053" s="7">
        <f t="shared" si="118"/>
        <v>1680</v>
      </c>
      <c r="H1053" s="98">
        <f t="shared" si="116"/>
        <v>3900</v>
      </c>
      <c r="I1053" s="7">
        <v>3500</v>
      </c>
      <c r="J1053" s="7">
        <v>400</v>
      </c>
      <c r="K1053" s="99">
        <f t="shared" si="123"/>
        <v>15761.77</v>
      </c>
      <c r="L1053" s="7">
        <v>1000</v>
      </c>
      <c r="M1053" s="7">
        <v>6000</v>
      </c>
      <c r="N1053" s="7">
        <v>5339</v>
      </c>
      <c r="O1053" s="7">
        <v>0</v>
      </c>
      <c r="P1053" s="7">
        <v>9253.687712962048</v>
      </c>
      <c r="Q1053" s="7">
        <v>4296.6228630079504</v>
      </c>
      <c r="R1053" s="113">
        <f t="shared" si="119"/>
        <v>0.604997110689109</v>
      </c>
      <c r="S1053" s="113">
        <f t="shared" si="120"/>
        <v>0.42367066895368782</v>
      </c>
      <c r="T1053" s="113">
        <f t="shared" si="121"/>
        <v>0.89743589743589747</v>
      </c>
      <c r="U1053" s="113">
        <f t="shared" si="122"/>
        <v>0.64203455902623141</v>
      </c>
    </row>
    <row r="1054" spans="1:21" x14ac:dyDescent="0.45">
      <c r="A1054" s="95">
        <v>45614</v>
      </c>
      <c r="B1054" s="96">
        <v>8946.77</v>
      </c>
      <c r="C1054" s="7">
        <v>5412.77</v>
      </c>
      <c r="D1054" s="7">
        <f t="shared" si="117"/>
        <v>3534</v>
      </c>
      <c r="E1054" s="97">
        <v>2915</v>
      </c>
      <c r="F1054" s="7">
        <v>1235</v>
      </c>
      <c r="G1054" s="7">
        <f t="shared" si="118"/>
        <v>1680</v>
      </c>
      <c r="H1054" s="98">
        <f t="shared" si="116"/>
        <v>3900</v>
      </c>
      <c r="I1054" s="7">
        <v>3500</v>
      </c>
      <c r="J1054" s="7">
        <v>400</v>
      </c>
      <c r="K1054" s="99">
        <f t="shared" si="123"/>
        <v>15761.77</v>
      </c>
      <c r="L1054" s="7">
        <v>1000</v>
      </c>
      <c r="M1054" s="7">
        <v>6000</v>
      </c>
      <c r="N1054" s="7">
        <v>5122</v>
      </c>
      <c r="O1054" s="7">
        <v>0</v>
      </c>
      <c r="P1054" s="7">
        <v>9253.687712962048</v>
      </c>
      <c r="Q1054" s="7">
        <v>4376.4512356079504</v>
      </c>
      <c r="R1054" s="113">
        <f t="shared" si="119"/>
        <v>0.604997110689109</v>
      </c>
      <c r="S1054" s="113">
        <f t="shared" si="120"/>
        <v>0.42367066895368782</v>
      </c>
      <c r="T1054" s="113">
        <f t="shared" si="121"/>
        <v>0.89743589743589747</v>
      </c>
      <c r="U1054" s="113">
        <f t="shared" si="122"/>
        <v>0.64203455902623141</v>
      </c>
    </row>
    <row r="1055" spans="1:21" x14ac:dyDescent="0.45">
      <c r="A1055" s="95">
        <v>45615</v>
      </c>
      <c r="B1055" s="96">
        <v>8946.77</v>
      </c>
      <c r="C1055" s="7">
        <v>5412.77</v>
      </c>
      <c r="D1055" s="7">
        <f t="shared" si="117"/>
        <v>3534</v>
      </c>
      <c r="E1055" s="97">
        <v>2915</v>
      </c>
      <c r="F1055" s="7">
        <v>1235</v>
      </c>
      <c r="G1055" s="7">
        <f t="shared" si="118"/>
        <v>1680</v>
      </c>
      <c r="H1055" s="98">
        <f t="shared" si="116"/>
        <v>3900</v>
      </c>
      <c r="I1055" s="7">
        <v>3500</v>
      </c>
      <c r="J1055" s="7">
        <v>400</v>
      </c>
      <c r="K1055" s="99">
        <f t="shared" si="123"/>
        <v>15761.77</v>
      </c>
      <c r="L1055" s="7">
        <v>1000</v>
      </c>
      <c r="M1055" s="7">
        <v>6000</v>
      </c>
      <c r="N1055" s="7">
        <v>5230.5</v>
      </c>
      <c r="O1055" s="7">
        <v>0</v>
      </c>
      <c r="P1055" s="7">
        <v>9253.687712962048</v>
      </c>
      <c r="Q1055" s="7">
        <v>4474.8903454079509</v>
      </c>
      <c r="R1055" s="113">
        <f t="shared" si="119"/>
        <v>0.604997110689109</v>
      </c>
      <c r="S1055" s="113">
        <f t="shared" si="120"/>
        <v>0.42367066895368782</v>
      </c>
      <c r="T1055" s="113">
        <f t="shared" si="121"/>
        <v>0.89743589743589747</v>
      </c>
      <c r="U1055" s="113">
        <f t="shared" si="122"/>
        <v>0.64203455902623141</v>
      </c>
    </row>
    <row r="1056" spans="1:21" x14ac:dyDescent="0.45">
      <c r="A1056" s="95">
        <v>45616</v>
      </c>
      <c r="B1056" s="96">
        <v>8946.77</v>
      </c>
      <c r="C1056" s="7">
        <v>5412.77</v>
      </c>
      <c r="D1056" s="7">
        <f t="shared" si="117"/>
        <v>3534</v>
      </c>
      <c r="E1056" s="97">
        <v>2915</v>
      </c>
      <c r="F1056" s="7">
        <v>1235</v>
      </c>
      <c r="G1056" s="7">
        <f t="shared" si="118"/>
        <v>1680</v>
      </c>
      <c r="H1056" s="98">
        <f t="shared" si="116"/>
        <v>3900</v>
      </c>
      <c r="I1056" s="7">
        <v>3500</v>
      </c>
      <c r="J1056" s="7">
        <v>400</v>
      </c>
      <c r="K1056" s="99">
        <f t="shared" si="123"/>
        <v>15761.77</v>
      </c>
      <c r="L1056" s="7">
        <v>1000</v>
      </c>
      <c r="M1056" s="7">
        <v>6000</v>
      </c>
      <c r="N1056" s="7">
        <v>5567</v>
      </c>
      <c r="O1056" s="7">
        <v>0</v>
      </c>
      <c r="P1056" s="7">
        <v>9253.687712962048</v>
      </c>
      <c r="Q1056" s="7">
        <v>3551.7525342579506</v>
      </c>
      <c r="R1056" s="113">
        <f t="shared" si="119"/>
        <v>0.604997110689109</v>
      </c>
      <c r="S1056" s="113">
        <f t="shared" si="120"/>
        <v>0.42367066895368782</v>
      </c>
      <c r="T1056" s="113">
        <f t="shared" si="121"/>
        <v>0.89743589743589747</v>
      </c>
      <c r="U1056" s="113">
        <f t="shared" si="122"/>
        <v>0.64203455902623141</v>
      </c>
    </row>
    <row r="1057" spans="1:21" x14ac:dyDescent="0.45">
      <c r="A1057" s="95">
        <v>45617</v>
      </c>
      <c r="B1057" s="96">
        <v>8646.7999999999993</v>
      </c>
      <c r="C1057" s="7">
        <v>5512.8</v>
      </c>
      <c r="D1057" s="7">
        <f t="shared" si="117"/>
        <v>3133.9999999999991</v>
      </c>
      <c r="E1057" s="97">
        <v>2915</v>
      </c>
      <c r="F1057" s="7">
        <v>1235</v>
      </c>
      <c r="G1057" s="7">
        <f t="shared" si="118"/>
        <v>1680</v>
      </c>
      <c r="H1057" s="98">
        <f t="shared" si="116"/>
        <v>3900</v>
      </c>
      <c r="I1057" s="7">
        <v>3500</v>
      </c>
      <c r="J1057" s="7">
        <v>400</v>
      </c>
      <c r="K1057" s="99">
        <f t="shared" si="123"/>
        <v>15461.8</v>
      </c>
      <c r="L1057" s="7">
        <v>3000</v>
      </c>
      <c r="M1057" s="7">
        <v>7000</v>
      </c>
      <c r="N1057" s="7">
        <v>3044</v>
      </c>
      <c r="O1057" s="7">
        <v>0</v>
      </c>
      <c r="P1057" s="7">
        <v>9253.687712962048</v>
      </c>
      <c r="Q1057" s="7">
        <v>2754.0141863679514</v>
      </c>
      <c r="R1057" s="113">
        <f t="shared" si="119"/>
        <v>0.6375537771198595</v>
      </c>
      <c r="S1057" s="113">
        <f t="shared" si="120"/>
        <v>0.42367066895368782</v>
      </c>
      <c r="T1057" s="113">
        <f t="shared" si="121"/>
        <v>0.89743589743589747</v>
      </c>
      <c r="U1057" s="113">
        <f t="shared" si="122"/>
        <v>0.65288678116981502</v>
      </c>
    </row>
    <row r="1058" spans="1:21" x14ac:dyDescent="0.45">
      <c r="A1058" s="95">
        <v>45618</v>
      </c>
      <c r="B1058" s="96">
        <v>8646.7999999999993</v>
      </c>
      <c r="C1058" s="7">
        <v>5512.8</v>
      </c>
      <c r="D1058" s="7">
        <f t="shared" si="117"/>
        <v>3133.9999999999991</v>
      </c>
      <c r="E1058" s="97">
        <v>2915</v>
      </c>
      <c r="F1058" s="7">
        <v>1235</v>
      </c>
      <c r="G1058" s="7">
        <f t="shared" si="118"/>
        <v>1680</v>
      </c>
      <c r="H1058" s="98">
        <f t="shared" si="116"/>
        <v>3900</v>
      </c>
      <c r="I1058" s="7">
        <v>3500</v>
      </c>
      <c r="J1058" s="7">
        <v>400</v>
      </c>
      <c r="K1058" s="99">
        <f t="shared" si="123"/>
        <v>15461.8</v>
      </c>
      <c r="L1058" s="7">
        <v>3000</v>
      </c>
      <c r="M1058" s="7">
        <v>7000</v>
      </c>
      <c r="N1058" s="7">
        <v>3277</v>
      </c>
      <c r="O1058" s="7">
        <v>0</v>
      </c>
      <c r="P1058" s="7">
        <v>9253.687712962048</v>
      </c>
      <c r="Q1058" s="7">
        <v>2832.8202870379505</v>
      </c>
      <c r="R1058" s="113">
        <f t="shared" si="119"/>
        <v>0.6375537771198595</v>
      </c>
      <c r="S1058" s="113">
        <f t="shared" si="120"/>
        <v>0.42367066895368782</v>
      </c>
      <c r="T1058" s="113">
        <f t="shared" si="121"/>
        <v>0.89743589743589747</v>
      </c>
      <c r="U1058" s="113">
        <f t="shared" si="122"/>
        <v>0.65288678116981502</v>
      </c>
    </row>
    <row r="1059" spans="1:21" x14ac:dyDescent="0.45">
      <c r="A1059" s="95">
        <v>45619</v>
      </c>
      <c r="B1059" s="96">
        <v>8646.7999999999993</v>
      </c>
      <c r="C1059" s="7">
        <v>5512.8</v>
      </c>
      <c r="D1059" s="7">
        <f t="shared" si="117"/>
        <v>3133.9999999999991</v>
      </c>
      <c r="E1059" s="97">
        <v>2915</v>
      </c>
      <c r="F1059" s="7">
        <v>1235</v>
      </c>
      <c r="G1059" s="7">
        <f t="shared" si="118"/>
        <v>1680</v>
      </c>
      <c r="H1059" s="98">
        <f t="shared" si="116"/>
        <v>3900</v>
      </c>
      <c r="I1059" s="7">
        <v>3500</v>
      </c>
      <c r="J1059" s="7">
        <v>400</v>
      </c>
      <c r="K1059" s="99">
        <f t="shared" si="123"/>
        <v>15461.8</v>
      </c>
      <c r="L1059" s="7">
        <v>3000</v>
      </c>
      <c r="M1059" s="7">
        <v>7000</v>
      </c>
      <c r="N1059" s="7">
        <v>3277</v>
      </c>
      <c r="O1059" s="7">
        <v>0</v>
      </c>
      <c r="P1059" s="7">
        <v>9253.687712962048</v>
      </c>
      <c r="Q1059" s="7">
        <v>2832.8202870379505</v>
      </c>
      <c r="R1059" s="113">
        <f t="shared" si="119"/>
        <v>0.6375537771198595</v>
      </c>
      <c r="S1059" s="113">
        <f t="shared" si="120"/>
        <v>0.42367066895368782</v>
      </c>
      <c r="T1059" s="113">
        <f t="shared" si="121"/>
        <v>0.89743589743589747</v>
      </c>
      <c r="U1059" s="113">
        <f t="shared" si="122"/>
        <v>0.65288678116981502</v>
      </c>
    </row>
    <row r="1060" spans="1:21" x14ac:dyDescent="0.45">
      <c r="A1060" s="95">
        <v>45620</v>
      </c>
      <c r="B1060" s="96">
        <v>8646.7999999999993</v>
      </c>
      <c r="C1060" s="7">
        <v>5512.8</v>
      </c>
      <c r="D1060" s="7">
        <f t="shared" si="117"/>
        <v>3133.9999999999991</v>
      </c>
      <c r="E1060" s="97">
        <v>2915</v>
      </c>
      <c r="F1060" s="7">
        <v>1235</v>
      </c>
      <c r="G1060" s="7">
        <f t="shared" si="118"/>
        <v>1680</v>
      </c>
      <c r="H1060" s="98">
        <f t="shared" si="116"/>
        <v>3900</v>
      </c>
      <c r="I1060" s="7">
        <v>3500</v>
      </c>
      <c r="J1060" s="7">
        <v>400</v>
      </c>
      <c r="K1060" s="99">
        <f t="shared" si="123"/>
        <v>15461.8</v>
      </c>
      <c r="L1060" s="7">
        <v>3000</v>
      </c>
      <c r="M1060" s="7">
        <v>7000</v>
      </c>
      <c r="N1060" s="7">
        <v>3277</v>
      </c>
      <c r="O1060" s="7">
        <v>0</v>
      </c>
      <c r="P1060" s="7">
        <v>9253.687712962048</v>
      </c>
      <c r="Q1060" s="7">
        <v>2832.8202870379505</v>
      </c>
      <c r="R1060" s="113">
        <f t="shared" si="119"/>
        <v>0.6375537771198595</v>
      </c>
      <c r="S1060" s="113">
        <f t="shared" si="120"/>
        <v>0.42367066895368782</v>
      </c>
      <c r="T1060" s="113">
        <f t="shared" si="121"/>
        <v>0.89743589743589747</v>
      </c>
      <c r="U1060" s="113">
        <f t="shared" si="122"/>
        <v>0.65288678116981502</v>
      </c>
    </row>
    <row r="1061" spans="1:21" x14ac:dyDescent="0.45">
      <c r="A1061" s="95">
        <v>45621</v>
      </c>
      <c r="B1061" s="96">
        <v>8646.7999999999993</v>
      </c>
      <c r="C1061" s="7">
        <v>5512.8</v>
      </c>
      <c r="D1061" s="7">
        <f t="shared" si="117"/>
        <v>3133.9999999999991</v>
      </c>
      <c r="E1061" s="97">
        <v>2915</v>
      </c>
      <c r="F1061" s="7">
        <v>1235</v>
      </c>
      <c r="G1061" s="7">
        <f t="shared" si="118"/>
        <v>1680</v>
      </c>
      <c r="H1061" s="98">
        <f t="shared" si="116"/>
        <v>3900</v>
      </c>
      <c r="I1061" s="7">
        <v>3500</v>
      </c>
      <c r="J1061" s="7">
        <v>400</v>
      </c>
      <c r="K1061" s="99">
        <f t="shared" si="123"/>
        <v>15461.8</v>
      </c>
      <c r="L1061" s="7">
        <v>3000</v>
      </c>
      <c r="M1061" s="7">
        <v>7000</v>
      </c>
      <c r="N1061" s="7">
        <v>3140.63</v>
      </c>
      <c r="O1061" s="7">
        <v>0</v>
      </c>
      <c r="P1061" s="7">
        <v>9209.4097682298052</v>
      </c>
      <c r="Q1061" s="7">
        <v>3964.0759618401944</v>
      </c>
      <c r="R1061" s="113">
        <f t="shared" si="119"/>
        <v>0.6375537771198595</v>
      </c>
      <c r="S1061" s="113">
        <f t="shared" si="120"/>
        <v>0.42367066895368782</v>
      </c>
      <c r="T1061" s="113">
        <f t="shared" si="121"/>
        <v>0.89743589743589747</v>
      </c>
      <c r="U1061" s="113">
        <f t="shared" si="122"/>
        <v>0.65288678116981502</v>
      </c>
    </row>
    <row r="1062" spans="1:21" x14ac:dyDescent="0.45">
      <c r="A1062" s="95">
        <v>45622</v>
      </c>
      <c r="B1062" s="96">
        <v>8646.7999999999993</v>
      </c>
      <c r="C1062" s="7">
        <v>5512.8</v>
      </c>
      <c r="D1062" s="7">
        <f t="shared" si="117"/>
        <v>3133.9999999999991</v>
      </c>
      <c r="E1062" s="97">
        <v>2915</v>
      </c>
      <c r="F1062" s="7">
        <v>1235</v>
      </c>
      <c r="G1062" s="7">
        <f t="shared" si="118"/>
        <v>1680</v>
      </c>
      <c r="H1062" s="98">
        <f t="shared" si="116"/>
        <v>3900</v>
      </c>
      <c r="I1062" s="7">
        <v>3500</v>
      </c>
      <c r="J1062" s="7">
        <v>400</v>
      </c>
      <c r="K1062" s="99">
        <f t="shared" si="123"/>
        <v>15461.8</v>
      </c>
      <c r="L1062" s="7">
        <v>3000</v>
      </c>
      <c r="M1062" s="7">
        <v>7000</v>
      </c>
      <c r="N1062" s="7">
        <v>3678.52</v>
      </c>
      <c r="O1062" s="7">
        <v>0</v>
      </c>
      <c r="P1062" s="7">
        <v>9209.4097682298052</v>
      </c>
      <c r="Q1062" s="7">
        <v>3595.1341978701935</v>
      </c>
      <c r="R1062" s="113">
        <f t="shared" si="119"/>
        <v>0.6375537771198595</v>
      </c>
      <c r="S1062" s="113">
        <f t="shared" si="120"/>
        <v>0.42367066895368782</v>
      </c>
      <c r="T1062" s="113">
        <f t="shared" si="121"/>
        <v>0.89743589743589747</v>
      </c>
      <c r="U1062" s="113">
        <f t="shared" si="122"/>
        <v>0.65288678116981502</v>
      </c>
    </row>
    <row r="1063" spans="1:21" x14ac:dyDescent="0.45">
      <c r="A1063" s="95">
        <v>45623</v>
      </c>
      <c r="B1063" s="96">
        <v>8646.7999999999993</v>
      </c>
      <c r="C1063" s="7">
        <v>5512.8</v>
      </c>
      <c r="D1063" s="7">
        <f t="shared" si="117"/>
        <v>3133.9999999999991</v>
      </c>
      <c r="E1063" s="97">
        <v>2915</v>
      </c>
      <c r="F1063" s="7">
        <v>1235</v>
      </c>
      <c r="G1063" s="7">
        <f t="shared" si="118"/>
        <v>1680</v>
      </c>
      <c r="H1063" s="98">
        <f t="shared" si="116"/>
        <v>3900</v>
      </c>
      <c r="I1063" s="7">
        <v>3500</v>
      </c>
      <c r="J1063" s="7">
        <v>400</v>
      </c>
      <c r="K1063" s="99">
        <f t="shared" si="123"/>
        <v>15461.8</v>
      </c>
      <c r="L1063" s="7">
        <v>3000</v>
      </c>
      <c r="M1063" s="7">
        <v>7000</v>
      </c>
      <c r="N1063" s="7">
        <v>3479.25</v>
      </c>
      <c r="O1063" s="7">
        <v>0</v>
      </c>
      <c r="P1063" s="7">
        <v>9209.4097682298052</v>
      </c>
      <c r="Q1063" s="7">
        <v>3637.6048670201944</v>
      </c>
      <c r="R1063" s="113">
        <f t="shared" si="119"/>
        <v>0.6375537771198595</v>
      </c>
      <c r="S1063" s="113">
        <f t="shared" si="120"/>
        <v>0.42367066895368782</v>
      </c>
      <c r="T1063" s="113">
        <f t="shared" si="121"/>
        <v>0.89743589743589747</v>
      </c>
      <c r="U1063" s="113">
        <f t="shared" si="122"/>
        <v>0.65288678116981502</v>
      </c>
    </row>
    <row r="1064" spans="1:21" x14ac:dyDescent="0.45">
      <c r="A1064" s="95">
        <v>45624</v>
      </c>
      <c r="B1064" s="96">
        <v>8646.7999999999993</v>
      </c>
      <c r="C1064" s="7">
        <v>5512.8</v>
      </c>
      <c r="D1064" s="7">
        <f t="shared" si="117"/>
        <v>3133.9999999999991</v>
      </c>
      <c r="E1064" s="97">
        <v>2915</v>
      </c>
      <c r="F1064" s="7">
        <v>1235</v>
      </c>
      <c r="G1064" s="7">
        <f t="shared" si="118"/>
        <v>1680</v>
      </c>
      <c r="H1064" s="98">
        <f t="shared" si="116"/>
        <v>3900</v>
      </c>
      <c r="I1064" s="7">
        <v>3500</v>
      </c>
      <c r="J1064" s="7">
        <v>400</v>
      </c>
      <c r="K1064" s="99">
        <f t="shared" si="123"/>
        <v>15461.8</v>
      </c>
      <c r="L1064" s="7">
        <v>3000</v>
      </c>
      <c r="M1064" s="7">
        <v>7000</v>
      </c>
      <c r="N1064" s="7">
        <v>3479.25</v>
      </c>
      <c r="O1064" s="7">
        <v>0</v>
      </c>
      <c r="P1064" s="7">
        <v>9209.4097682298052</v>
      </c>
      <c r="Q1064" s="7">
        <v>3637.6048670201944</v>
      </c>
      <c r="R1064" s="113">
        <f t="shared" si="119"/>
        <v>0.6375537771198595</v>
      </c>
      <c r="S1064" s="113">
        <f t="shared" si="120"/>
        <v>0.42367066895368782</v>
      </c>
      <c r="T1064" s="113">
        <f t="shared" si="121"/>
        <v>0.89743589743589747</v>
      </c>
      <c r="U1064" s="113">
        <f t="shared" si="122"/>
        <v>0.65288678116981502</v>
      </c>
    </row>
    <row r="1065" spans="1:21" x14ac:dyDescent="0.45">
      <c r="A1065" s="95">
        <v>45625</v>
      </c>
      <c r="B1065" s="96">
        <v>8921</v>
      </c>
      <c r="C1065" s="7">
        <v>5587</v>
      </c>
      <c r="D1065" s="7">
        <f t="shared" si="117"/>
        <v>3334</v>
      </c>
      <c r="E1065" s="97">
        <v>3315</v>
      </c>
      <c r="F1065" s="7">
        <v>1035</v>
      </c>
      <c r="G1065" s="7">
        <f t="shared" si="118"/>
        <v>2280</v>
      </c>
      <c r="H1065" s="98">
        <f t="shared" si="116"/>
        <v>3900</v>
      </c>
      <c r="I1065" s="7">
        <v>3500</v>
      </c>
      <c r="J1065" s="7">
        <v>400</v>
      </c>
      <c r="K1065" s="99">
        <f t="shared" si="123"/>
        <v>16136</v>
      </c>
      <c r="L1065" s="7">
        <v>2999.93333334</v>
      </c>
      <c r="M1065" s="7">
        <v>8500</v>
      </c>
      <c r="N1065" s="7">
        <v>3479.25</v>
      </c>
      <c r="O1065" s="7">
        <v>0</v>
      </c>
      <c r="P1065" s="7">
        <v>9209.4097682298052</v>
      </c>
      <c r="Q1065" s="7">
        <v>3637.6048670201944</v>
      </c>
      <c r="R1065" s="113">
        <f t="shared" si="119"/>
        <v>0.62627508126891607</v>
      </c>
      <c r="S1065" s="113">
        <f t="shared" si="120"/>
        <v>0.31221719457013575</v>
      </c>
      <c r="T1065" s="113">
        <f t="shared" si="121"/>
        <v>0.89743589743589747</v>
      </c>
      <c r="U1065" s="113">
        <f t="shared" si="122"/>
        <v>0.61197605775831643</v>
      </c>
    </row>
    <row r="1066" spans="1:21" x14ac:dyDescent="0.45">
      <c r="A1066" s="95">
        <v>45626</v>
      </c>
      <c r="B1066" s="96">
        <v>8921</v>
      </c>
      <c r="C1066" s="7">
        <v>5587</v>
      </c>
      <c r="D1066" s="7">
        <f t="shared" si="117"/>
        <v>3334</v>
      </c>
      <c r="E1066" s="97">
        <v>3315</v>
      </c>
      <c r="F1066" s="7">
        <v>1035</v>
      </c>
      <c r="G1066" s="7">
        <f t="shared" si="118"/>
        <v>2280</v>
      </c>
      <c r="H1066" s="98">
        <f t="shared" si="116"/>
        <v>3900</v>
      </c>
      <c r="I1066" s="7">
        <v>3500</v>
      </c>
      <c r="J1066" s="7">
        <v>400</v>
      </c>
      <c r="K1066" s="99">
        <f t="shared" si="123"/>
        <v>16136</v>
      </c>
      <c r="L1066" s="7">
        <v>2999.93333334</v>
      </c>
      <c r="M1066" s="7">
        <v>8500</v>
      </c>
      <c r="N1066" s="7">
        <v>3479.25</v>
      </c>
      <c r="O1066" s="7">
        <v>0</v>
      </c>
      <c r="P1066" s="7">
        <v>9209.4097682298052</v>
      </c>
      <c r="Q1066" s="7">
        <v>3637.6048670201944</v>
      </c>
      <c r="R1066" s="113">
        <f t="shared" si="119"/>
        <v>0.62627508126891607</v>
      </c>
      <c r="S1066" s="113">
        <f t="shared" si="120"/>
        <v>0.31221719457013575</v>
      </c>
      <c r="T1066" s="113">
        <f t="shared" si="121"/>
        <v>0.89743589743589747</v>
      </c>
      <c r="U1066" s="113">
        <f t="shared" si="122"/>
        <v>0.61197605775831643</v>
      </c>
    </row>
    <row r="1067" spans="1:21" x14ac:dyDescent="0.45">
      <c r="A1067" s="95">
        <v>45627</v>
      </c>
      <c r="B1067" s="96">
        <v>8921</v>
      </c>
      <c r="C1067" s="7">
        <v>5587</v>
      </c>
      <c r="D1067" s="7">
        <f t="shared" si="117"/>
        <v>3334</v>
      </c>
      <c r="E1067" s="97">
        <v>3315</v>
      </c>
      <c r="F1067" s="7">
        <v>1035</v>
      </c>
      <c r="G1067" s="7">
        <f t="shared" si="118"/>
        <v>2280</v>
      </c>
      <c r="H1067" s="98">
        <f t="shared" si="116"/>
        <v>3900</v>
      </c>
      <c r="I1067" s="7">
        <v>3500</v>
      </c>
      <c r="J1067" s="7">
        <v>400</v>
      </c>
      <c r="K1067" s="99">
        <f t="shared" si="123"/>
        <v>16136</v>
      </c>
      <c r="L1067" s="7">
        <v>2999.93333334</v>
      </c>
      <c r="M1067" s="7">
        <v>8500</v>
      </c>
      <c r="N1067" s="7">
        <v>3479.25</v>
      </c>
      <c r="O1067" s="7">
        <v>0</v>
      </c>
      <c r="P1067" s="7">
        <v>9209.4097682298052</v>
      </c>
      <c r="Q1067" s="7">
        <v>3637.6048670201944</v>
      </c>
      <c r="R1067" s="113">
        <f t="shared" si="119"/>
        <v>0.62627508126891607</v>
      </c>
      <c r="S1067" s="113">
        <f t="shared" si="120"/>
        <v>0.31221719457013575</v>
      </c>
      <c r="T1067" s="113">
        <f t="shared" si="121"/>
        <v>0.89743589743589747</v>
      </c>
      <c r="U1067" s="113">
        <f t="shared" si="122"/>
        <v>0.61197605775831643</v>
      </c>
    </row>
    <row r="1068" spans="1:21" x14ac:dyDescent="0.45">
      <c r="A1068" s="95">
        <v>45628</v>
      </c>
      <c r="B1068" s="96">
        <v>8921</v>
      </c>
      <c r="C1068" s="7">
        <v>5587</v>
      </c>
      <c r="D1068" s="7">
        <f t="shared" si="117"/>
        <v>3334</v>
      </c>
      <c r="E1068" s="97">
        <v>3315</v>
      </c>
      <c r="F1068" s="7">
        <v>1035</v>
      </c>
      <c r="G1068" s="7">
        <f t="shared" si="118"/>
        <v>2280</v>
      </c>
      <c r="H1068" s="98">
        <f t="shared" si="116"/>
        <v>3900</v>
      </c>
      <c r="I1068" s="7">
        <v>3500</v>
      </c>
      <c r="J1068" s="7">
        <v>400</v>
      </c>
      <c r="K1068" s="99">
        <f t="shared" si="123"/>
        <v>16136</v>
      </c>
      <c r="L1068" s="7">
        <v>2999.93333334</v>
      </c>
      <c r="M1068" s="7">
        <v>8500</v>
      </c>
      <c r="N1068" s="7">
        <v>4132</v>
      </c>
      <c r="O1068" s="7">
        <v>0</v>
      </c>
      <c r="P1068" s="7">
        <v>9209.4097682298052</v>
      </c>
      <c r="Q1068" s="7">
        <v>1891.3999189301937</v>
      </c>
      <c r="R1068" s="113">
        <f t="shared" si="119"/>
        <v>0.62627508126891607</v>
      </c>
      <c r="S1068" s="113">
        <f t="shared" si="120"/>
        <v>0.31221719457013575</v>
      </c>
      <c r="T1068" s="113">
        <f t="shared" si="121"/>
        <v>0.89743589743589747</v>
      </c>
      <c r="U1068" s="113">
        <f t="shared" si="122"/>
        <v>0.61197605775831643</v>
      </c>
    </row>
    <row r="1069" spans="1:21" x14ac:dyDescent="0.45">
      <c r="A1069" s="95">
        <v>45629</v>
      </c>
      <c r="B1069" s="96">
        <v>8921</v>
      </c>
      <c r="C1069" s="7">
        <v>5587</v>
      </c>
      <c r="D1069" s="7">
        <f t="shared" si="117"/>
        <v>3334</v>
      </c>
      <c r="E1069" s="97">
        <v>3315</v>
      </c>
      <c r="F1069" s="7">
        <v>1035</v>
      </c>
      <c r="G1069" s="7">
        <f t="shared" si="118"/>
        <v>2280</v>
      </c>
      <c r="H1069" s="98">
        <f t="shared" si="116"/>
        <v>3900</v>
      </c>
      <c r="I1069" s="7">
        <v>3500</v>
      </c>
      <c r="J1069" s="7">
        <v>400</v>
      </c>
      <c r="K1069" s="99">
        <f t="shared" si="123"/>
        <v>16136</v>
      </c>
      <c r="L1069" s="7">
        <v>2999.93333334</v>
      </c>
      <c r="M1069" s="7">
        <v>8500</v>
      </c>
      <c r="N1069" s="7">
        <v>3881</v>
      </c>
      <c r="O1069" s="7">
        <v>0</v>
      </c>
      <c r="P1069" s="7">
        <v>9209.4097682298052</v>
      </c>
      <c r="Q1069" s="7">
        <v>2306.8890225001937</v>
      </c>
      <c r="R1069" s="113">
        <f t="shared" si="119"/>
        <v>0.62627508126891607</v>
      </c>
      <c r="S1069" s="113">
        <f t="shared" si="120"/>
        <v>0.31221719457013575</v>
      </c>
      <c r="T1069" s="113">
        <f t="shared" si="121"/>
        <v>0.89743589743589747</v>
      </c>
      <c r="U1069" s="113">
        <f t="shared" si="122"/>
        <v>0.61197605775831643</v>
      </c>
    </row>
    <row r="1070" spans="1:21" x14ac:dyDescent="0.45">
      <c r="A1070" s="95">
        <v>45630</v>
      </c>
      <c r="B1070" s="96">
        <v>8921</v>
      </c>
      <c r="C1070" s="7">
        <v>5587</v>
      </c>
      <c r="D1070" s="7">
        <f t="shared" si="117"/>
        <v>3334</v>
      </c>
      <c r="E1070" s="97">
        <v>3315</v>
      </c>
      <c r="F1070" s="7">
        <v>1035</v>
      </c>
      <c r="G1070" s="7">
        <f t="shared" si="118"/>
        <v>2280</v>
      </c>
      <c r="H1070" s="98">
        <f t="shared" si="116"/>
        <v>3900</v>
      </c>
      <c r="I1070" s="7">
        <v>3500</v>
      </c>
      <c r="J1070" s="7">
        <v>400</v>
      </c>
      <c r="K1070" s="99">
        <f t="shared" si="123"/>
        <v>16136</v>
      </c>
      <c r="L1070" s="7">
        <v>2999.93333334</v>
      </c>
      <c r="M1070" s="7">
        <v>8500</v>
      </c>
      <c r="N1070" s="7">
        <v>3666</v>
      </c>
      <c r="O1070" s="7">
        <v>0</v>
      </c>
      <c r="P1070" s="7">
        <v>9209.4097682298052</v>
      </c>
      <c r="Q1070" s="7">
        <v>1665.2564348001938</v>
      </c>
      <c r="R1070" s="113">
        <f t="shared" si="119"/>
        <v>0.62627508126891607</v>
      </c>
      <c r="S1070" s="113">
        <f t="shared" si="120"/>
        <v>0.31221719457013575</v>
      </c>
      <c r="T1070" s="113">
        <f t="shared" si="121"/>
        <v>0.89743589743589747</v>
      </c>
      <c r="U1070" s="113">
        <f t="shared" si="122"/>
        <v>0.61197605775831643</v>
      </c>
    </row>
    <row r="1071" spans="1:21" x14ac:dyDescent="0.45">
      <c r="A1071" s="95">
        <v>45631</v>
      </c>
      <c r="B1071" s="96">
        <v>9364</v>
      </c>
      <c r="C1071" s="7">
        <v>6027</v>
      </c>
      <c r="D1071" s="7">
        <f t="shared" si="117"/>
        <v>3337</v>
      </c>
      <c r="E1071" s="97">
        <v>3315</v>
      </c>
      <c r="F1071" s="7">
        <v>1035</v>
      </c>
      <c r="G1071" s="7">
        <f t="shared" si="118"/>
        <v>2280</v>
      </c>
      <c r="H1071" s="98">
        <f t="shared" si="116"/>
        <v>3900</v>
      </c>
      <c r="I1071" s="7">
        <v>3500</v>
      </c>
      <c r="J1071" s="7">
        <v>400</v>
      </c>
      <c r="K1071" s="99">
        <f t="shared" si="123"/>
        <v>16579</v>
      </c>
      <c r="L1071" s="7">
        <v>1999.94444445</v>
      </c>
      <c r="M1071" s="7">
        <v>8500</v>
      </c>
      <c r="N1071" s="7">
        <v>3682</v>
      </c>
      <c r="O1071" s="7">
        <v>0</v>
      </c>
      <c r="P1071" s="7">
        <v>9209.4097682298052</v>
      </c>
      <c r="Q1071" s="7">
        <v>1266.2142317701939</v>
      </c>
      <c r="R1071" s="113">
        <f t="shared" si="119"/>
        <v>0.64363519863306284</v>
      </c>
      <c r="S1071" s="113">
        <f t="shared" si="120"/>
        <v>0.31221719457013575</v>
      </c>
      <c r="T1071" s="113">
        <f t="shared" si="121"/>
        <v>0.89743589743589747</v>
      </c>
      <c r="U1071" s="113">
        <f t="shared" si="122"/>
        <v>0.61776276354636528</v>
      </c>
    </row>
    <row r="1072" spans="1:21" x14ac:dyDescent="0.45">
      <c r="A1072" s="95">
        <v>45632</v>
      </c>
      <c r="B1072" s="96">
        <v>9364</v>
      </c>
      <c r="C1072" s="7">
        <v>6027</v>
      </c>
      <c r="D1072" s="7">
        <f t="shared" si="117"/>
        <v>3337</v>
      </c>
      <c r="E1072" s="97">
        <v>3315</v>
      </c>
      <c r="F1072" s="7">
        <v>1035</v>
      </c>
      <c r="G1072" s="7">
        <f t="shared" si="118"/>
        <v>2280</v>
      </c>
      <c r="H1072" s="98">
        <f t="shared" si="116"/>
        <v>3900</v>
      </c>
      <c r="I1072" s="7">
        <v>3500</v>
      </c>
      <c r="J1072" s="7">
        <v>400</v>
      </c>
      <c r="K1072" s="99">
        <f t="shared" si="123"/>
        <v>16579</v>
      </c>
      <c r="L1072" s="7">
        <v>1999.94444445</v>
      </c>
      <c r="M1072" s="7">
        <v>8500</v>
      </c>
      <c r="N1072" s="7">
        <v>3688</v>
      </c>
      <c r="O1072" s="7">
        <v>0</v>
      </c>
      <c r="P1072" s="7">
        <v>9209.4097682298052</v>
      </c>
      <c r="Q1072" s="7">
        <v>2368.2964010401938</v>
      </c>
      <c r="R1072" s="113">
        <f t="shared" si="119"/>
        <v>0.64363519863306284</v>
      </c>
      <c r="S1072" s="113">
        <f t="shared" si="120"/>
        <v>0.31221719457013575</v>
      </c>
      <c r="T1072" s="113">
        <f t="shared" si="121"/>
        <v>0.89743589743589747</v>
      </c>
      <c r="U1072" s="113">
        <f t="shared" si="122"/>
        <v>0.61776276354636528</v>
      </c>
    </row>
    <row r="1073" spans="1:21" x14ac:dyDescent="0.45">
      <c r="A1073" s="95">
        <v>45633</v>
      </c>
      <c r="B1073" s="96">
        <v>9364</v>
      </c>
      <c r="C1073" s="7">
        <v>6027</v>
      </c>
      <c r="D1073" s="7">
        <f t="shared" si="117"/>
        <v>3337</v>
      </c>
      <c r="E1073" s="97">
        <v>3315</v>
      </c>
      <c r="F1073" s="7">
        <v>1035</v>
      </c>
      <c r="G1073" s="7">
        <f t="shared" si="118"/>
        <v>2280</v>
      </c>
      <c r="H1073" s="98">
        <f t="shared" si="116"/>
        <v>3900</v>
      </c>
      <c r="I1073" s="7">
        <v>3500</v>
      </c>
      <c r="J1073" s="7">
        <v>400</v>
      </c>
      <c r="K1073" s="99">
        <f t="shared" si="123"/>
        <v>16579</v>
      </c>
      <c r="L1073" s="7">
        <v>1999.94444445</v>
      </c>
      <c r="M1073" s="7">
        <v>8500</v>
      </c>
      <c r="N1073" s="7">
        <v>3688</v>
      </c>
      <c r="O1073" s="7">
        <v>0</v>
      </c>
      <c r="P1073" s="7">
        <v>9209.4097682298052</v>
      </c>
      <c r="Q1073" s="7">
        <v>2368.2964010401938</v>
      </c>
      <c r="R1073" s="113">
        <f t="shared" si="119"/>
        <v>0.64363519863306284</v>
      </c>
      <c r="S1073" s="113">
        <f t="shared" si="120"/>
        <v>0.31221719457013575</v>
      </c>
      <c r="T1073" s="113">
        <f t="shared" si="121"/>
        <v>0.89743589743589747</v>
      </c>
      <c r="U1073" s="113">
        <f t="shared" si="122"/>
        <v>0.61776276354636528</v>
      </c>
    </row>
    <row r="1074" spans="1:21" x14ac:dyDescent="0.45">
      <c r="A1074" s="95">
        <v>45634</v>
      </c>
      <c r="B1074" s="96">
        <v>9364</v>
      </c>
      <c r="C1074" s="7">
        <v>6027</v>
      </c>
      <c r="D1074" s="7">
        <f t="shared" si="117"/>
        <v>3337</v>
      </c>
      <c r="E1074" s="97">
        <v>3315</v>
      </c>
      <c r="F1074" s="7">
        <v>1035</v>
      </c>
      <c r="G1074" s="7">
        <f t="shared" si="118"/>
        <v>2280</v>
      </c>
      <c r="H1074" s="98">
        <f t="shared" si="116"/>
        <v>3900</v>
      </c>
      <c r="I1074" s="7">
        <v>3500</v>
      </c>
      <c r="J1074" s="7">
        <v>400</v>
      </c>
      <c r="K1074" s="99">
        <f t="shared" si="123"/>
        <v>16579</v>
      </c>
      <c r="L1074" s="7">
        <v>1999.94444445</v>
      </c>
      <c r="M1074" s="7">
        <v>8500</v>
      </c>
      <c r="N1074" s="7">
        <v>3688</v>
      </c>
      <c r="O1074" s="7">
        <v>0</v>
      </c>
      <c r="P1074" s="7">
        <v>9209.4097682298052</v>
      </c>
      <c r="Q1074" s="7">
        <v>2368.2964010401938</v>
      </c>
      <c r="R1074" s="113">
        <f t="shared" si="119"/>
        <v>0.64363519863306284</v>
      </c>
      <c r="S1074" s="113">
        <f t="shared" si="120"/>
        <v>0.31221719457013575</v>
      </c>
      <c r="T1074" s="113">
        <f t="shared" si="121"/>
        <v>0.89743589743589747</v>
      </c>
      <c r="U1074" s="113">
        <f t="shared" si="122"/>
        <v>0.61776276354636528</v>
      </c>
    </row>
    <row r="1075" spans="1:21" x14ac:dyDescent="0.45">
      <c r="A1075" s="95">
        <v>45635</v>
      </c>
      <c r="B1075" s="96">
        <v>9364</v>
      </c>
      <c r="C1075" s="7">
        <v>6027</v>
      </c>
      <c r="D1075" s="7">
        <f t="shared" si="117"/>
        <v>3337</v>
      </c>
      <c r="E1075" s="97">
        <v>3315</v>
      </c>
      <c r="F1075" s="7">
        <v>1035</v>
      </c>
      <c r="G1075" s="7">
        <f t="shared" si="118"/>
        <v>2280</v>
      </c>
      <c r="H1075" s="98">
        <f t="shared" si="116"/>
        <v>3900</v>
      </c>
      <c r="I1075" s="7">
        <v>3500</v>
      </c>
      <c r="J1075" s="7">
        <v>400</v>
      </c>
      <c r="K1075" s="99">
        <f t="shared" si="123"/>
        <v>16579</v>
      </c>
      <c r="L1075" s="7">
        <v>1999.94444445</v>
      </c>
      <c r="M1075" s="7">
        <v>8500</v>
      </c>
      <c r="N1075" s="7">
        <v>3866</v>
      </c>
      <c r="O1075" s="7">
        <v>0</v>
      </c>
      <c r="P1075" s="7">
        <v>9209.4097682298052</v>
      </c>
      <c r="Q1075" s="7">
        <v>2550.8077635501932</v>
      </c>
      <c r="R1075" s="113">
        <f t="shared" si="119"/>
        <v>0.64363519863306284</v>
      </c>
      <c r="S1075" s="113">
        <f t="shared" si="120"/>
        <v>0.31221719457013575</v>
      </c>
      <c r="T1075" s="113">
        <f t="shared" si="121"/>
        <v>0.89743589743589747</v>
      </c>
      <c r="U1075" s="113">
        <f t="shared" si="122"/>
        <v>0.61776276354636528</v>
      </c>
    </row>
    <row r="1076" spans="1:21" x14ac:dyDescent="0.45">
      <c r="A1076" s="95">
        <v>45636</v>
      </c>
      <c r="B1076" s="96">
        <v>9364</v>
      </c>
      <c r="C1076" s="7">
        <v>6027</v>
      </c>
      <c r="D1076" s="7">
        <f t="shared" si="117"/>
        <v>3337</v>
      </c>
      <c r="E1076" s="97">
        <v>3315</v>
      </c>
      <c r="F1076" s="7">
        <v>1035</v>
      </c>
      <c r="G1076" s="7">
        <f t="shared" si="118"/>
        <v>2280</v>
      </c>
      <c r="H1076" s="98">
        <f t="shared" si="116"/>
        <v>3900</v>
      </c>
      <c r="I1076" s="7">
        <v>3500</v>
      </c>
      <c r="J1076" s="7">
        <v>400</v>
      </c>
      <c r="K1076" s="99">
        <f t="shared" si="123"/>
        <v>16579</v>
      </c>
      <c r="L1076" s="7">
        <v>1999.94444445</v>
      </c>
      <c r="M1076" s="7">
        <v>8500</v>
      </c>
      <c r="N1076" s="7">
        <v>3862</v>
      </c>
      <c r="O1076" s="7">
        <v>0</v>
      </c>
      <c r="P1076" s="7">
        <v>9209.4097682298052</v>
      </c>
      <c r="Q1076" s="7">
        <v>2609.573695920194</v>
      </c>
      <c r="R1076" s="113">
        <f t="shared" si="119"/>
        <v>0.64363519863306284</v>
      </c>
      <c r="S1076" s="113">
        <f t="shared" si="120"/>
        <v>0.31221719457013575</v>
      </c>
      <c r="T1076" s="113">
        <f t="shared" si="121"/>
        <v>0.89743589743589747</v>
      </c>
      <c r="U1076" s="113">
        <f t="shared" si="122"/>
        <v>0.61776276354636528</v>
      </c>
    </row>
    <row r="1077" spans="1:21" x14ac:dyDescent="0.45">
      <c r="A1077" s="95">
        <v>45637</v>
      </c>
      <c r="B1077" s="96">
        <v>9364</v>
      </c>
      <c r="C1077" s="7">
        <v>6027</v>
      </c>
      <c r="D1077" s="7">
        <f t="shared" si="117"/>
        <v>3337</v>
      </c>
      <c r="E1077" s="97">
        <v>3315</v>
      </c>
      <c r="F1077" s="7">
        <v>1035</v>
      </c>
      <c r="G1077" s="7">
        <f t="shared" si="118"/>
        <v>2280</v>
      </c>
      <c r="H1077" s="98">
        <f t="shared" si="116"/>
        <v>3900</v>
      </c>
      <c r="I1077" s="7">
        <v>3500</v>
      </c>
      <c r="J1077" s="7">
        <v>400</v>
      </c>
      <c r="K1077" s="99">
        <f t="shared" si="123"/>
        <v>16579</v>
      </c>
      <c r="L1077" s="7">
        <v>1999.94444445</v>
      </c>
      <c r="M1077" s="7">
        <v>8500</v>
      </c>
      <c r="N1077" s="7">
        <v>3852</v>
      </c>
      <c r="O1077" s="7">
        <v>0</v>
      </c>
      <c r="P1077" s="7">
        <v>9209.4097682298052</v>
      </c>
      <c r="Q1077" s="7">
        <v>1997.7941598901939</v>
      </c>
      <c r="R1077" s="113">
        <f t="shared" si="119"/>
        <v>0.64363519863306284</v>
      </c>
      <c r="S1077" s="113">
        <f t="shared" si="120"/>
        <v>0.31221719457013575</v>
      </c>
      <c r="T1077" s="113">
        <f t="shared" si="121"/>
        <v>0.89743589743589747</v>
      </c>
      <c r="U1077" s="113">
        <f t="shared" si="122"/>
        <v>0.61776276354636528</v>
      </c>
    </row>
    <row r="1078" spans="1:21" x14ac:dyDescent="0.45">
      <c r="A1078" s="95">
        <v>45638</v>
      </c>
      <c r="B1078" s="96">
        <v>9364</v>
      </c>
      <c r="C1078" s="7">
        <v>6027</v>
      </c>
      <c r="D1078" s="7">
        <f t="shared" si="117"/>
        <v>3337</v>
      </c>
      <c r="E1078" s="97">
        <v>3315</v>
      </c>
      <c r="F1078" s="7">
        <v>1035</v>
      </c>
      <c r="G1078" s="7">
        <f t="shared" si="118"/>
        <v>2280</v>
      </c>
      <c r="H1078" s="98">
        <f t="shared" si="116"/>
        <v>3900</v>
      </c>
      <c r="I1078" s="7">
        <v>3500</v>
      </c>
      <c r="J1078" s="7">
        <v>400</v>
      </c>
      <c r="K1078" s="99">
        <f t="shared" si="123"/>
        <v>16579</v>
      </c>
      <c r="L1078" s="7">
        <v>2200</v>
      </c>
      <c r="M1078" s="7">
        <v>9000</v>
      </c>
      <c r="N1078" s="7">
        <v>4070</v>
      </c>
      <c r="O1078" s="7">
        <v>0</v>
      </c>
      <c r="P1078" s="7">
        <v>9209.4097682298052</v>
      </c>
      <c r="Q1078" s="7">
        <v>763.34151260019382</v>
      </c>
      <c r="R1078" s="113">
        <f t="shared" si="119"/>
        <v>0.64363519863306284</v>
      </c>
      <c r="S1078" s="113">
        <f t="shared" si="120"/>
        <v>0.31221719457013575</v>
      </c>
      <c r="T1078" s="113">
        <f t="shared" si="121"/>
        <v>0.89743589743589747</v>
      </c>
      <c r="U1078" s="113">
        <f t="shared" si="122"/>
        <v>0.61776276354636528</v>
      </c>
    </row>
    <row r="1079" spans="1:21" x14ac:dyDescent="0.45">
      <c r="A1079" s="95">
        <v>45639</v>
      </c>
      <c r="B1079" s="96">
        <v>9364</v>
      </c>
      <c r="C1079" s="7">
        <v>6027</v>
      </c>
      <c r="D1079" s="7">
        <f t="shared" si="117"/>
        <v>3337</v>
      </c>
      <c r="E1079" s="97">
        <v>3315</v>
      </c>
      <c r="F1079" s="7">
        <v>1035</v>
      </c>
      <c r="G1079" s="7">
        <f t="shared" si="118"/>
        <v>2280</v>
      </c>
      <c r="H1079" s="98">
        <f t="shared" si="116"/>
        <v>3900</v>
      </c>
      <c r="I1079" s="7">
        <v>3500</v>
      </c>
      <c r="J1079" s="7">
        <v>400</v>
      </c>
      <c r="K1079" s="99">
        <f t="shared" si="123"/>
        <v>16579</v>
      </c>
      <c r="L1079" s="7">
        <v>2200</v>
      </c>
      <c r="M1079" s="7">
        <v>9000</v>
      </c>
      <c r="N1079" s="7">
        <v>4157</v>
      </c>
      <c r="O1079" s="7">
        <v>0</v>
      </c>
      <c r="P1079" s="7">
        <v>9209.4097682298052</v>
      </c>
      <c r="Q1079" s="7">
        <v>814.51364895019424</v>
      </c>
      <c r="R1079" s="113">
        <f t="shared" si="119"/>
        <v>0.64363519863306284</v>
      </c>
      <c r="S1079" s="113">
        <f t="shared" si="120"/>
        <v>0.31221719457013575</v>
      </c>
      <c r="T1079" s="113">
        <f t="shared" si="121"/>
        <v>0.89743589743589747</v>
      </c>
      <c r="U1079" s="113">
        <f t="shared" si="122"/>
        <v>0.61776276354636528</v>
      </c>
    </row>
    <row r="1080" spans="1:21" x14ac:dyDescent="0.45">
      <c r="A1080" s="95">
        <v>45640</v>
      </c>
      <c r="B1080" s="96">
        <v>9364</v>
      </c>
      <c r="C1080" s="7">
        <v>6027</v>
      </c>
      <c r="D1080" s="7">
        <f t="shared" si="117"/>
        <v>3337</v>
      </c>
      <c r="E1080" s="97">
        <v>3315</v>
      </c>
      <c r="F1080" s="7">
        <v>1035</v>
      </c>
      <c r="G1080" s="7">
        <f t="shared" si="118"/>
        <v>2280</v>
      </c>
      <c r="H1080" s="98">
        <f t="shared" si="116"/>
        <v>3900</v>
      </c>
      <c r="I1080" s="7">
        <v>3500</v>
      </c>
      <c r="J1080" s="7">
        <v>400</v>
      </c>
      <c r="K1080" s="99">
        <f t="shared" si="123"/>
        <v>16579</v>
      </c>
      <c r="L1080" s="7">
        <v>2200</v>
      </c>
      <c r="M1080" s="7">
        <v>9000</v>
      </c>
      <c r="N1080" s="7">
        <v>4157</v>
      </c>
      <c r="O1080" s="7">
        <v>0</v>
      </c>
      <c r="P1080" s="7">
        <v>9209.4097682298052</v>
      </c>
      <c r="Q1080" s="7">
        <v>814.51364895019424</v>
      </c>
      <c r="R1080" s="113">
        <f t="shared" si="119"/>
        <v>0.64363519863306284</v>
      </c>
      <c r="S1080" s="113">
        <f t="shared" si="120"/>
        <v>0.31221719457013575</v>
      </c>
      <c r="T1080" s="113">
        <f t="shared" si="121"/>
        <v>0.89743589743589747</v>
      </c>
      <c r="U1080" s="113">
        <f t="shared" si="122"/>
        <v>0.61776276354636528</v>
      </c>
    </row>
    <row r="1081" spans="1:21" x14ac:dyDescent="0.45">
      <c r="A1081" s="95">
        <v>45641</v>
      </c>
      <c r="B1081" s="96">
        <v>9364</v>
      </c>
      <c r="C1081" s="7">
        <v>6027</v>
      </c>
      <c r="D1081" s="7">
        <f t="shared" si="117"/>
        <v>3337</v>
      </c>
      <c r="E1081" s="97">
        <v>3315</v>
      </c>
      <c r="F1081" s="7">
        <v>1035</v>
      </c>
      <c r="G1081" s="7">
        <f t="shared" si="118"/>
        <v>2280</v>
      </c>
      <c r="H1081" s="98">
        <f t="shared" si="116"/>
        <v>3900</v>
      </c>
      <c r="I1081" s="7">
        <v>3500</v>
      </c>
      <c r="J1081" s="7">
        <v>400</v>
      </c>
      <c r="K1081" s="99">
        <f t="shared" si="123"/>
        <v>16579</v>
      </c>
      <c r="L1081" s="7">
        <v>2200</v>
      </c>
      <c r="M1081" s="7">
        <v>9000</v>
      </c>
      <c r="N1081" s="7">
        <v>4157</v>
      </c>
      <c r="O1081" s="7">
        <v>0</v>
      </c>
      <c r="P1081" s="7">
        <v>9209.4097682298052</v>
      </c>
      <c r="Q1081" s="7">
        <v>814.51364895019424</v>
      </c>
      <c r="R1081" s="113">
        <f t="shared" si="119"/>
        <v>0.64363519863306284</v>
      </c>
      <c r="S1081" s="113">
        <f t="shared" si="120"/>
        <v>0.31221719457013575</v>
      </c>
      <c r="T1081" s="113">
        <f t="shared" si="121"/>
        <v>0.89743589743589747</v>
      </c>
      <c r="U1081" s="113">
        <f t="shared" si="122"/>
        <v>0.61776276354636528</v>
      </c>
    </row>
    <row r="1082" spans="1:21" x14ac:dyDescent="0.45">
      <c r="A1082" s="95">
        <v>45642</v>
      </c>
      <c r="B1082" s="96">
        <v>9364</v>
      </c>
      <c r="C1082" s="7">
        <v>6027</v>
      </c>
      <c r="D1082" s="7">
        <f t="shared" si="117"/>
        <v>3337</v>
      </c>
      <c r="E1082" s="97">
        <v>3315</v>
      </c>
      <c r="F1082" s="7">
        <v>1035</v>
      </c>
      <c r="G1082" s="7">
        <f t="shared" si="118"/>
        <v>2280</v>
      </c>
      <c r="H1082" s="98">
        <f t="shared" si="116"/>
        <v>3900</v>
      </c>
      <c r="I1082" s="7">
        <v>3500</v>
      </c>
      <c r="J1082" s="7">
        <v>400</v>
      </c>
      <c r="K1082" s="99">
        <f t="shared" si="123"/>
        <v>16579</v>
      </c>
      <c r="L1082" s="7">
        <v>2200</v>
      </c>
      <c r="M1082" s="7">
        <v>9000</v>
      </c>
      <c r="N1082" s="7">
        <v>4192</v>
      </c>
      <c r="O1082" s="7">
        <v>0</v>
      </c>
      <c r="P1082" s="7">
        <v>9209.4097682298052</v>
      </c>
      <c r="Q1082" s="7">
        <v>373.28143750019444</v>
      </c>
      <c r="R1082" s="113">
        <f t="shared" si="119"/>
        <v>0.64363519863306284</v>
      </c>
      <c r="S1082" s="113">
        <f t="shared" si="120"/>
        <v>0.31221719457013575</v>
      </c>
      <c r="T1082" s="113">
        <f t="shared" si="121"/>
        <v>0.89743589743589747</v>
      </c>
      <c r="U1082" s="113">
        <f t="shared" si="122"/>
        <v>0.61776276354636528</v>
      </c>
    </row>
    <row r="1083" spans="1:21" x14ac:dyDescent="0.45">
      <c r="A1083" s="95">
        <v>45643</v>
      </c>
      <c r="B1083" s="96">
        <v>9364</v>
      </c>
      <c r="C1083" s="7">
        <v>6027</v>
      </c>
      <c r="D1083" s="7">
        <f t="shared" si="117"/>
        <v>3337</v>
      </c>
      <c r="E1083" s="97">
        <v>3315</v>
      </c>
      <c r="F1083" s="7">
        <v>1035</v>
      </c>
      <c r="G1083" s="7">
        <f t="shared" si="118"/>
        <v>2280</v>
      </c>
      <c r="H1083" s="98">
        <f t="shared" si="116"/>
        <v>3900</v>
      </c>
      <c r="I1083" s="7">
        <v>3500</v>
      </c>
      <c r="J1083" s="7">
        <v>400</v>
      </c>
      <c r="K1083" s="99">
        <f t="shared" si="123"/>
        <v>16579</v>
      </c>
      <c r="L1083" s="7">
        <v>2200</v>
      </c>
      <c r="M1083" s="7">
        <v>9000</v>
      </c>
      <c r="N1083" s="7">
        <v>4262.0271249999996</v>
      </c>
      <c r="O1083" s="7">
        <v>0</v>
      </c>
      <c r="P1083" s="7">
        <v>9209.4097682298052</v>
      </c>
      <c r="Q1083" s="7">
        <v>642.78684933019406</v>
      </c>
      <c r="R1083" s="113">
        <f t="shared" si="119"/>
        <v>0.64363519863306284</v>
      </c>
      <c r="S1083" s="113">
        <f t="shared" si="120"/>
        <v>0.31221719457013575</v>
      </c>
      <c r="T1083" s="113">
        <f t="shared" si="121"/>
        <v>0.89743589743589747</v>
      </c>
      <c r="U1083" s="113">
        <f t="shared" si="122"/>
        <v>0.61776276354636528</v>
      </c>
    </row>
    <row r="1084" spans="1:21" x14ac:dyDescent="0.45">
      <c r="A1084" s="95">
        <v>45644</v>
      </c>
      <c r="B1084" s="96">
        <v>9364</v>
      </c>
      <c r="C1084" s="7">
        <v>6027</v>
      </c>
      <c r="D1084" s="7">
        <f t="shared" si="117"/>
        <v>3337</v>
      </c>
      <c r="E1084" s="97">
        <v>3315</v>
      </c>
      <c r="F1084" s="7">
        <v>1035</v>
      </c>
      <c r="G1084" s="7">
        <f t="shared" si="118"/>
        <v>2280</v>
      </c>
      <c r="H1084" s="98">
        <f t="shared" si="116"/>
        <v>3900</v>
      </c>
      <c r="I1084" s="7">
        <v>3500</v>
      </c>
      <c r="J1084" s="7">
        <v>400</v>
      </c>
      <c r="K1084" s="99">
        <f t="shared" si="123"/>
        <v>16579</v>
      </c>
      <c r="L1084" s="7">
        <v>2200</v>
      </c>
      <c r="M1084" s="7">
        <v>9000</v>
      </c>
      <c r="N1084" s="7">
        <v>4321.0069999999996</v>
      </c>
      <c r="O1084" s="7">
        <v>0</v>
      </c>
      <c r="P1084" s="7">
        <v>9209.4097682298052</v>
      </c>
      <c r="Q1084" s="7">
        <v>-253.73485214980622</v>
      </c>
      <c r="R1084" s="113">
        <f t="shared" si="119"/>
        <v>0.64363519863306284</v>
      </c>
      <c r="S1084" s="113">
        <f t="shared" si="120"/>
        <v>0.31221719457013575</v>
      </c>
      <c r="T1084" s="113">
        <f t="shared" si="121"/>
        <v>0.89743589743589747</v>
      </c>
      <c r="U1084" s="113">
        <f t="shared" si="122"/>
        <v>0.61776276354636528</v>
      </c>
    </row>
    <row r="1085" spans="1:21" x14ac:dyDescent="0.45">
      <c r="A1085" s="95">
        <v>45645</v>
      </c>
      <c r="B1085" s="96">
        <v>9364.2000000000007</v>
      </c>
      <c r="C1085" s="7">
        <v>5637.2</v>
      </c>
      <c r="D1085" s="7">
        <f t="shared" si="117"/>
        <v>3727.0000000000009</v>
      </c>
      <c r="E1085" s="97">
        <v>3315</v>
      </c>
      <c r="F1085" s="7">
        <v>1035</v>
      </c>
      <c r="G1085" s="7">
        <f t="shared" si="118"/>
        <v>2280</v>
      </c>
      <c r="H1085" s="98">
        <f t="shared" si="116"/>
        <v>3900</v>
      </c>
      <c r="I1085" s="7">
        <v>3500</v>
      </c>
      <c r="J1085" s="7">
        <v>400</v>
      </c>
      <c r="K1085" s="99">
        <f t="shared" si="123"/>
        <v>16579.2</v>
      </c>
      <c r="L1085" s="7">
        <v>1500</v>
      </c>
      <c r="M1085" s="7">
        <v>8500</v>
      </c>
      <c r="N1085" s="7">
        <v>4719.66</v>
      </c>
      <c r="O1085" s="7">
        <v>0</v>
      </c>
      <c r="P1085" s="7">
        <v>9209.4097682298052</v>
      </c>
      <c r="Q1085" s="7">
        <v>208.3721666001947</v>
      </c>
      <c r="R1085" s="113">
        <f t="shared" si="119"/>
        <v>0.60199483137908194</v>
      </c>
      <c r="S1085" s="113">
        <f t="shared" si="120"/>
        <v>0.31221719457013575</v>
      </c>
      <c r="T1085" s="113">
        <f t="shared" si="121"/>
        <v>0.89743589743589747</v>
      </c>
      <c r="U1085" s="113">
        <f t="shared" si="122"/>
        <v>0.60388264112837176</v>
      </c>
    </row>
    <row r="1086" spans="1:21" x14ac:dyDescent="0.45">
      <c r="A1086" s="95">
        <v>45646</v>
      </c>
      <c r="B1086" s="96">
        <v>9364.2000000000007</v>
      </c>
      <c r="C1086" s="7">
        <v>5637.2</v>
      </c>
      <c r="D1086" s="7">
        <f t="shared" si="117"/>
        <v>3727.0000000000009</v>
      </c>
      <c r="E1086" s="97">
        <v>3315</v>
      </c>
      <c r="F1086" s="7">
        <v>1035</v>
      </c>
      <c r="G1086" s="7">
        <f t="shared" si="118"/>
        <v>2280</v>
      </c>
      <c r="H1086" s="98">
        <f t="shared" si="116"/>
        <v>3900</v>
      </c>
      <c r="I1086" s="7">
        <v>3500</v>
      </c>
      <c r="J1086" s="7">
        <v>400</v>
      </c>
      <c r="K1086" s="99">
        <f t="shared" si="123"/>
        <v>16579.2</v>
      </c>
      <c r="L1086" s="7">
        <v>1500</v>
      </c>
      <c r="M1086" s="7">
        <v>8500</v>
      </c>
      <c r="N1086" s="7">
        <v>4230</v>
      </c>
      <c r="O1086" s="7">
        <v>0</v>
      </c>
      <c r="P1086" s="7">
        <v>9209.4097682298052</v>
      </c>
      <c r="Q1086" s="7">
        <v>549.19108504019346</v>
      </c>
      <c r="R1086" s="113">
        <f t="shared" si="119"/>
        <v>0.60199483137908194</v>
      </c>
      <c r="S1086" s="113">
        <f t="shared" si="120"/>
        <v>0.31221719457013575</v>
      </c>
      <c r="T1086" s="113">
        <f t="shared" si="121"/>
        <v>0.89743589743589747</v>
      </c>
      <c r="U1086" s="113">
        <f t="shared" si="122"/>
        <v>0.60388264112837176</v>
      </c>
    </row>
    <row r="1087" spans="1:21" x14ac:dyDescent="0.45">
      <c r="A1087" s="95">
        <v>45647</v>
      </c>
      <c r="B1087" s="96">
        <v>9364.2000000000007</v>
      </c>
      <c r="C1087" s="7">
        <v>5637.2</v>
      </c>
      <c r="D1087" s="7">
        <f t="shared" si="117"/>
        <v>3727.0000000000009</v>
      </c>
      <c r="E1087" s="97">
        <v>3315</v>
      </c>
      <c r="F1087" s="7">
        <v>1035</v>
      </c>
      <c r="G1087" s="7">
        <f t="shared" si="118"/>
        <v>2280</v>
      </c>
      <c r="H1087" s="98">
        <f t="shared" ref="H1087:H1150" si="124">I1087+J1087</f>
        <v>3900</v>
      </c>
      <c r="I1087" s="7">
        <v>3500</v>
      </c>
      <c r="J1087" s="7">
        <v>400</v>
      </c>
      <c r="K1087" s="99">
        <f t="shared" si="123"/>
        <v>16579.2</v>
      </c>
      <c r="L1087" s="7">
        <v>1500</v>
      </c>
      <c r="M1087" s="7">
        <v>8500</v>
      </c>
      <c r="N1087" s="7">
        <v>4230</v>
      </c>
      <c r="O1087" s="7">
        <v>0</v>
      </c>
      <c r="P1087" s="7">
        <v>9209.4097682298052</v>
      </c>
      <c r="Q1087" s="7">
        <v>549.19108504019346</v>
      </c>
      <c r="R1087" s="113">
        <f t="shared" si="119"/>
        <v>0.60199483137908194</v>
      </c>
      <c r="S1087" s="113">
        <f t="shared" si="120"/>
        <v>0.31221719457013575</v>
      </c>
      <c r="T1087" s="113">
        <f t="shared" si="121"/>
        <v>0.89743589743589747</v>
      </c>
      <c r="U1087" s="113">
        <f t="shared" si="122"/>
        <v>0.60388264112837176</v>
      </c>
    </row>
    <row r="1088" spans="1:21" x14ac:dyDescent="0.45">
      <c r="A1088" s="95">
        <v>45648</v>
      </c>
      <c r="B1088" s="96">
        <v>9364.2000000000007</v>
      </c>
      <c r="C1088" s="7">
        <v>5637.2</v>
      </c>
      <c r="D1088" s="7">
        <f t="shared" si="117"/>
        <v>3727.0000000000009</v>
      </c>
      <c r="E1088" s="97">
        <v>3315</v>
      </c>
      <c r="F1088" s="7">
        <v>1035</v>
      </c>
      <c r="G1088" s="7">
        <f t="shared" si="118"/>
        <v>2280</v>
      </c>
      <c r="H1088" s="98">
        <f t="shared" si="124"/>
        <v>3900</v>
      </c>
      <c r="I1088" s="7">
        <v>3500</v>
      </c>
      <c r="J1088" s="7">
        <v>400</v>
      </c>
      <c r="K1088" s="99">
        <f t="shared" si="123"/>
        <v>16579.2</v>
      </c>
      <c r="L1088" s="7">
        <v>1500</v>
      </c>
      <c r="M1088" s="7">
        <v>8500</v>
      </c>
      <c r="N1088" s="7">
        <v>4230</v>
      </c>
      <c r="O1088" s="7">
        <v>0</v>
      </c>
      <c r="P1088" s="7">
        <v>9209.4097682298052</v>
      </c>
      <c r="Q1088" s="7">
        <v>549.19108504019346</v>
      </c>
      <c r="R1088" s="113">
        <f t="shared" si="119"/>
        <v>0.60199483137908194</v>
      </c>
      <c r="S1088" s="113">
        <f t="shared" si="120"/>
        <v>0.31221719457013575</v>
      </c>
      <c r="T1088" s="113">
        <f t="shared" si="121"/>
        <v>0.89743589743589747</v>
      </c>
      <c r="U1088" s="113">
        <f t="shared" si="122"/>
        <v>0.60388264112837176</v>
      </c>
    </row>
    <row r="1089" spans="1:21" x14ac:dyDescent="0.45">
      <c r="A1089" s="95">
        <v>45649</v>
      </c>
      <c r="B1089" s="96">
        <v>9364.2000000000007</v>
      </c>
      <c r="C1089" s="7">
        <v>5637.2</v>
      </c>
      <c r="D1089" s="7">
        <f t="shared" si="117"/>
        <v>3727.0000000000009</v>
      </c>
      <c r="E1089" s="97">
        <v>3315</v>
      </c>
      <c r="F1089" s="7">
        <v>1035</v>
      </c>
      <c r="G1089" s="7">
        <f t="shared" si="118"/>
        <v>2280</v>
      </c>
      <c r="H1089" s="98">
        <f t="shared" si="124"/>
        <v>3900</v>
      </c>
      <c r="I1089" s="7">
        <v>3500</v>
      </c>
      <c r="J1089" s="7">
        <v>400</v>
      </c>
      <c r="K1089" s="99">
        <f t="shared" si="123"/>
        <v>16579.2</v>
      </c>
      <c r="L1089" s="7">
        <v>1500</v>
      </c>
      <c r="M1089" s="7">
        <v>8500</v>
      </c>
      <c r="N1089" s="7">
        <v>2886.2</v>
      </c>
      <c r="O1089" s="7">
        <v>0</v>
      </c>
      <c r="P1089" s="7">
        <v>9318.0752997804011</v>
      </c>
      <c r="Q1089" s="7">
        <v>3246.4552018695986</v>
      </c>
      <c r="R1089" s="113">
        <f t="shared" si="119"/>
        <v>0.60199483137908194</v>
      </c>
      <c r="S1089" s="113">
        <f t="shared" si="120"/>
        <v>0.31221719457013575</v>
      </c>
      <c r="T1089" s="113">
        <f t="shared" si="121"/>
        <v>0.89743589743589747</v>
      </c>
      <c r="U1089" s="113">
        <f t="shared" si="122"/>
        <v>0.60388264112837176</v>
      </c>
    </row>
    <row r="1090" spans="1:21" x14ac:dyDescent="0.45">
      <c r="A1090" s="95">
        <v>45650</v>
      </c>
      <c r="B1090" s="96">
        <v>9364.2000000000007</v>
      </c>
      <c r="C1090" s="7">
        <v>5637.2</v>
      </c>
      <c r="D1090" s="7">
        <f t="shared" ref="D1090:D1153" si="125">B1090-C1090</f>
        <v>3727.0000000000009</v>
      </c>
      <c r="E1090" s="97">
        <v>3315</v>
      </c>
      <c r="F1090" s="7">
        <v>1035</v>
      </c>
      <c r="G1090" s="7">
        <f t="shared" ref="G1090:G1153" si="126">E1090-F1090</f>
        <v>2280</v>
      </c>
      <c r="H1090" s="98">
        <f t="shared" si="124"/>
        <v>3900</v>
      </c>
      <c r="I1090" s="7">
        <v>3500</v>
      </c>
      <c r="J1090" s="7">
        <v>400</v>
      </c>
      <c r="K1090" s="99">
        <f t="shared" si="123"/>
        <v>16579.2</v>
      </c>
      <c r="L1090" s="7">
        <v>1500</v>
      </c>
      <c r="M1090" s="7">
        <v>8500</v>
      </c>
      <c r="N1090" s="7">
        <v>4555.74</v>
      </c>
      <c r="O1090" s="7">
        <v>0</v>
      </c>
      <c r="P1090" s="7">
        <v>9318.0752997804011</v>
      </c>
      <c r="Q1090" s="7">
        <v>1738.7303490795985</v>
      </c>
      <c r="R1090" s="113">
        <f t="shared" si="119"/>
        <v>0.60199483137908194</v>
      </c>
      <c r="S1090" s="113">
        <f t="shared" si="120"/>
        <v>0.31221719457013575</v>
      </c>
      <c r="T1090" s="113">
        <f t="shared" si="121"/>
        <v>0.89743589743589747</v>
      </c>
      <c r="U1090" s="113">
        <f t="shared" si="122"/>
        <v>0.60388264112837176</v>
      </c>
    </row>
    <row r="1091" spans="1:21" x14ac:dyDescent="0.45">
      <c r="A1091" s="95">
        <v>45651</v>
      </c>
      <c r="B1091" s="96">
        <v>9364.2000000000007</v>
      </c>
      <c r="C1091" s="7">
        <v>5637.2</v>
      </c>
      <c r="D1091" s="7">
        <f t="shared" si="125"/>
        <v>3727.0000000000009</v>
      </c>
      <c r="E1091" s="97">
        <v>3315</v>
      </c>
      <c r="F1091" s="7">
        <v>1035</v>
      </c>
      <c r="G1091" s="7">
        <f t="shared" si="126"/>
        <v>2280</v>
      </c>
      <c r="H1091" s="98">
        <f t="shared" si="124"/>
        <v>3900</v>
      </c>
      <c r="I1091" s="7">
        <v>3500</v>
      </c>
      <c r="J1091" s="7">
        <v>400</v>
      </c>
      <c r="K1091" s="99">
        <f t="shared" si="123"/>
        <v>16579.2</v>
      </c>
      <c r="L1091" s="7">
        <v>1500</v>
      </c>
      <c r="M1091" s="7">
        <v>8500</v>
      </c>
      <c r="N1091" s="7">
        <v>4555.74</v>
      </c>
      <c r="O1091" s="7">
        <v>0</v>
      </c>
      <c r="P1091" s="7">
        <v>9318.0752997804011</v>
      </c>
      <c r="Q1091" s="7">
        <v>1738.7303490795985</v>
      </c>
      <c r="R1091" s="113">
        <f t="shared" ref="R1091:R1154" si="127">C1091/B1091</f>
        <v>0.60199483137908194</v>
      </c>
      <c r="S1091" s="113">
        <f t="shared" ref="S1091:S1154" si="128">F1091/E1091</f>
        <v>0.31221719457013575</v>
      </c>
      <c r="T1091" s="113">
        <f t="shared" ref="T1091:T1154" si="129">IF(H1091=0,0,I1091/H1091)</f>
        <v>0.89743589743589747</v>
      </c>
      <c r="U1091" s="113">
        <f t="shared" ref="U1091:U1154" si="130">AVERAGE(R1091:T1091)</f>
        <v>0.60388264112837176</v>
      </c>
    </row>
    <row r="1092" spans="1:21" x14ac:dyDescent="0.45">
      <c r="A1092" s="95">
        <v>45652</v>
      </c>
      <c r="B1092" s="96">
        <v>9364.2000000000007</v>
      </c>
      <c r="C1092" s="7">
        <v>5637.2</v>
      </c>
      <c r="D1092" s="7">
        <f t="shared" si="125"/>
        <v>3727.0000000000009</v>
      </c>
      <c r="E1092" s="97">
        <v>3315</v>
      </c>
      <c r="F1092" s="7">
        <v>1035</v>
      </c>
      <c r="G1092" s="7">
        <f t="shared" si="126"/>
        <v>2280</v>
      </c>
      <c r="H1092" s="98">
        <f t="shared" si="124"/>
        <v>3900</v>
      </c>
      <c r="I1092" s="7">
        <v>3500</v>
      </c>
      <c r="J1092" s="7">
        <v>400</v>
      </c>
      <c r="K1092" s="99">
        <f t="shared" ref="K1092:K1155" si="131">B1092+E1092+H1092</f>
        <v>16579.2</v>
      </c>
      <c r="L1092" s="7">
        <v>1500</v>
      </c>
      <c r="M1092" s="7">
        <v>8000</v>
      </c>
      <c r="N1092" s="7">
        <v>4491</v>
      </c>
      <c r="O1092" s="7">
        <v>0</v>
      </c>
      <c r="P1092" s="7">
        <v>9318.0752997804011</v>
      </c>
      <c r="Q1092" s="7">
        <v>2991.9855925395991</v>
      </c>
      <c r="R1092" s="113">
        <f t="shared" si="127"/>
        <v>0.60199483137908194</v>
      </c>
      <c r="S1092" s="113">
        <f t="shared" si="128"/>
        <v>0.31221719457013575</v>
      </c>
      <c r="T1092" s="113">
        <f t="shared" si="129"/>
        <v>0.89743589743589747</v>
      </c>
      <c r="U1092" s="113">
        <f t="shared" si="130"/>
        <v>0.60388264112837176</v>
      </c>
    </row>
    <row r="1093" spans="1:21" x14ac:dyDescent="0.45">
      <c r="A1093" s="95">
        <v>45653</v>
      </c>
      <c r="B1093" s="96">
        <v>8792</v>
      </c>
      <c r="C1093" s="7">
        <v>5115</v>
      </c>
      <c r="D1093" s="7">
        <f t="shared" si="125"/>
        <v>3677</v>
      </c>
      <c r="E1093" s="97">
        <v>3985</v>
      </c>
      <c r="F1093" s="7">
        <v>1635</v>
      </c>
      <c r="G1093" s="7">
        <f t="shared" si="126"/>
        <v>2350</v>
      </c>
      <c r="H1093" s="98">
        <f t="shared" si="124"/>
        <v>3900</v>
      </c>
      <c r="I1093" s="7">
        <v>3500</v>
      </c>
      <c r="J1093" s="7">
        <v>400</v>
      </c>
      <c r="K1093" s="99">
        <f t="shared" si="131"/>
        <v>16677</v>
      </c>
      <c r="L1093" s="7">
        <v>1500</v>
      </c>
      <c r="M1093" s="7">
        <v>8000</v>
      </c>
      <c r="N1093" s="7">
        <v>4337.201</v>
      </c>
      <c r="O1093" s="7">
        <v>0</v>
      </c>
      <c r="P1093" s="7">
        <v>9318.0752997804011</v>
      </c>
      <c r="Q1093" s="7">
        <v>3028.7979834195976</v>
      </c>
      <c r="R1093" s="113">
        <f t="shared" si="127"/>
        <v>0.581778889899909</v>
      </c>
      <c r="S1093" s="113">
        <f t="shared" si="128"/>
        <v>0.41028858218318698</v>
      </c>
      <c r="T1093" s="113">
        <f t="shared" si="129"/>
        <v>0.89743589743589747</v>
      </c>
      <c r="U1093" s="113">
        <f t="shared" si="130"/>
        <v>0.62983445650633119</v>
      </c>
    </row>
    <row r="1094" spans="1:21" x14ac:dyDescent="0.45">
      <c r="A1094" s="95">
        <v>45654</v>
      </c>
      <c r="B1094" s="96">
        <v>8792</v>
      </c>
      <c r="C1094" s="7">
        <v>5115</v>
      </c>
      <c r="D1094" s="7">
        <f t="shared" si="125"/>
        <v>3677</v>
      </c>
      <c r="E1094" s="97">
        <v>3985</v>
      </c>
      <c r="F1094" s="7">
        <v>1635</v>
      </c>
      <c r="G1094" s="7">
        <f t="shared" si="126"/>
        <v>2350</v>
      </c>
      <c r="H1094" s="98">
        <f t="shared" si="124"/>
        <v>3900</v>
      </c>
      <c r="I1094" s="7">
        <v>3500</v>
      </c>
      <c r="J1094" s="7">
        <v>400</v>
      </c>
      <c r="K1094" s="99">
        <f t="shared" si="131"/>
        <v>16677</v>
      </c>
      <c r="L1094" s="7">
        <v>1500</v>
      </c>
      <c r="M1094" s="7">
        <v>8000</v>
      </c>
      <c r="N1094" s="7">
        <v>4337.201</v>
      </c>
      <c r="O1094" s="7">
        <v>0</v>
      </c>
      <c r="P1094" s="7">
        <v>9318.0752997804011</v>
      </c>
      <c r="Q1094" s="7">
        <v>3028.7979834195976</v>
      </c>
      <c r="R1094" s="113">
        <f t="shared" si="127"/>
        <v>0.581778889899909</v>
      </c>
      <c r="S1094" s="113">
        <f t="shared" si="128"/>
        <v>0.41028858218318698</v>
      </c>
      <c r="T1094" s="113">
        <f t="shared" si="129"/>
        <v>0.89743589743589747</v>
      </c>
      <c r="U1094" s="113">
        <f t="shared" si="130"/>
        <v>0.62983445650633119</v>
      </c>
    </row>
    <row r="1095" spans="1:21" x14ac:dyDescent="0.45">
      <c r="A1095" s="95">
        <v>45655</v>
      </c>
      <c r="B1095" s="96">
        <v>8792</v>
      </c>
      <c r="C1095" s="7">
        <v>5115</v>
      </c>
      <c r="D1095" s="7">
        <f t="shared" si="125"/>
        <v>3677</v>
      </c>
      <c r="E1095" s="97">
        <v>3985</v>
      </c>
      <c r="F1095" s="7">
        <v>1635</v>
      </c>
      <c r="G1095" s="7">
        <f t="shared" si="126"/>
        <v>2350</v>
      </c>
      <c r="H1095" s="98">
        <f t="shared" si="124"/>
        <v>3900</v>
      </c>
      <c r="I1095" s="7">
        <v>3500</v>
      </c>
      <c r="J1095" s="7">
        <v>400</v>
      </c>
      <c r="K1095" s="99">
        <f t="shared" si="131"/>
        <v>16677</v>
      </c>
      <c r="L1095" s="7">
        <v>1500</v>
      </c>
      <c r="M1095" s="7">
        <v>8000</v>
      </c>
      <c r="N1095" s="7">
        <v>4337.201</v>
      </c>
      <c r="O1095" s="7">
        <v>0</v>
      </c>
      <c r="P1095" s="7">
        <v>9318.0752997804011</v>
      </c>
      <c r="Q1095" s="7">
        <v>3028.7979834195976</v>
      </c>
      <c r="R1095" s="113">
        <f t="shared" si="127"/>
        <v>0.581778889899909</v>
      </c>
      <c r="S1095" s="113">
        <f t="shared" si="128"/>
        <v>0.41028858218318698</v>
      </c>
      <c r="T1095" s="113">
        <f t="shared" si="129"/>
        <v>0.89743589743589747</v>
      </c>
      <c r="U1095" s="113">
        <f t="shared" si="130"/>
        <v>0.62983445650633119</v>
      </c>
    </row>
    <row r="1096" spans="1:21" x14ac:dyDescent="0.45">
      <c r="A1096" s="95">
        <v>45656</v>
      </c>
      <c r="B1096" s="96">
        <v>8792</v>
      </c>
      <c r="C1096" s="7">
        <v>5115</v>
      </c>
      <c r="D1096" s="7">
        <f t="shared" si="125"/>
        <v>3677</v>
      </c>
      <c r="E1096" s="97">
        <v>3985</v>
      </c>
      <c r="F1096" s="7">
        <v>1635</v>
      </c>
      <c r="G1096" s="7">
        <f t="shared" si="126"/>
        <v>2350</v>
      </c>
      <c r="H1096" s="98">
        <f t="shared" si="124"/>
        <v>3900</v>
      </c>
      <c r="I1096" s="7">
        <v>3500</v>
      </c>
      <c r="J1096" s="7">
        <v>400</v>
      </c>
      <c r="K1096" s="99">
        <f t="shared" si="131"/>
        <v>16677</v>
      </c>
      <c r="L1096" s="7">
        <v>1500</v>
      </c>
      <c r="M1096" s="7">
        <v>8000</v>
      </c>
      <c r="N1096" s="7">
        <v>4416.1719999999996</v>
      </c>
      <c r="O1096" s="7">
        <v>0</v>
      </c>
      <c r="P1096" s="7">
        <v>9318.0752997804011</v>
      </c>
      <c r="Q1096" s="7">
        <v>3457.045700219599</v>
      </c>
      <c r="R1096" s="113">
        <f t="shared" si="127"/>
        <v>0.581778889899909</v>
      </c>
      <c r="S1096" s="113">
        <f t="shared" si="128"/>
        <v>0.41028858218318698</v>
      </c>
      <c r="T1096" s="113">
        <f t="shared" si="129"/>
        <v>0.89743589743589747</v>
      </c>
      <c r="U1096" s="113">
        <f t="shared" si="130"/>
        <v>0.62983445650633119</v>
      </c>
    </row>
    <row r="1097" spans="1:21" x14ac:dyDescent="0.45">
      <c r="A1097" s="95">
        <v>45657</v>
      </c>
      <c r="B1097" s="96">
        <v>8792</v>
      </c>
      <c r="C1097" s="7">
        <v>5115</v>
      </c>
      <c r="D1097" s="7">
        <f t="shared" si="125"/>
        <v>3677</v>
      </c>
      <c r="E1097" s="97">
        <v>3985</v>
      </c>
      <c r="F1097" s="7">
        <v>1635</v>
      </c>
      <c r="G1097" s="7">
        <f t="shared" si="126"/>
        <v>2350</v>
      </c>
      <c r="H1097" s="98">
        <f t="shared" si="124"/>
        <v>3900</v>
      </c>
      <c r="I1097" s="7">
        <v>3500</v>
      </c>
      <c r="J1097" s="7">
        <v>400</v>
      </c>
      <c r="K1097" s="99">
        <f t="shared" si="131"/>
        <v>16677</v>
      </c>
      <c r="L1097" s="7">
        <v>1500</v>
      </c>
      <c r="M1097" s="7">
        <v>8000</v>
      </c>
      <c r="N1097" s="7">
        <v>3880</v>
      </c>
      <c r="O1097" s="7">
        <v>2740</v>
      </c>
      <c r="P1097" s="7">
        <v>9318.0752997804011</v>
      </c>
      <c r="Q1097" s="7">
        <v>1439.1188055995985</v>
      </c>
      <c r="R1097" s="113">
        <f t="shared" si="127"/>
        <v>0.581778889899909</v>
      </c>
      <c r="S1097" s="113">
        <f t="shared" si="128"/>
        <v>0.41028858218318698</v>
      </c>
      <c r="T1097" s="113">
        <f t="shared" si="129"/>
        <v>0.89743589743589747</v>
      </c>
      <c r="U1097" s="113">
        <f t="shared" si="130"/>
        <v>0.62983445650633119</v>
      </c>
    </row>
    <row r="1098" spans="1:21" x14ac:dyDescent="0.45">
      <c r="A1098" s="95">
        <v>45658</v>
      </c>
      <c r="B1098" s="96">
        <v>8792</v>
      </c>
      <c r="C1098" s="7">
        <v>5115</v>
      </c>
      <c r="D1098" s="7">
        <f t="shared" si="125"/>
        <v>3677</v>
      </c>
      <c r="E1098" s="97">
        <v>3985</v>
      </c>
      <c r="F1098" s="7">
        <v>1635</v>
      </c>
      <c r="G1098" s="7">
        <f t="shared" si="126"/>
        <v>2350</v>
      </c>
      <c r="H1098" s="98">
        <f t="shared" si="124"/>
        <v>3900</v>
      </c>
      <c r="I1098" s="7">
        <v>3500</v>
      </c>
      <c r="J1098" s="7">
        <v>400</v>
      </c>
      <c r="K1098" s="99">
        <f t="shared" si="131"/>
        <v>16677</v>
      </c>
      <c r="L1098" s="7">
        <v>1500</v>
      </c>
      <c r="M1098" s="7">
        <v>8000</v>
      </c>
      <c r="N1098" s="7">
        <v>3880</v>
      </c>
      <c r="O1098" s="7">
        <v>2740</v>
      </c>
      <c r="P1098" s="7">
        <v>9318.0752997804011</v>
      </c>
      <c r="Q1098" s="7">
        <v>1439.1188055995985</v>
      </c>
      <c r="R1098" s="113">
        <f t="shared" si="127"/>
        <v>0.581778889899909</v>
      </c>
      <c r="S1098" s="113">
        <f t="shared" si="128"/>
        <v>0.41028858218318698</v>
      </c>
      <c r="T1098" s="113">
        <f t="shared" si="129"/>
        <v>0.89743589743589747</v>
      </c>
      <c r="U1098" s="113">
        <f t="shared" si="130"/>
        <v>0.62983445650633119</v>
      </c>
    </row>
    <row r="1099" spans="1:21" x14ac:dyDescent="0.45">
      <c r="A1099" s="95">
        <v>45659</v>
      </c>
      <c r="B1099" s="96">
        <v>8792</v>
      </c>
      <c r="C1099" s="7">
        <v>4915</v>
      </c>
      <c r="D1099" s="7">
        <f t="shared" si="125"/>
        <v>3877</v>
      </c>
      <c r="E1099" s="97">
        <v>3985</v>
      </c>
      <c r="F1099" s="7">
        <v>1635</v>
      </c>
      <c r="G1099" s="7">
        <f t="shared" si="126"/>
        <v>2350</v>
      </c>
      <c r="H1099" s="98">
        <f t="shared" si="124"/>
        <v>3900</v>
      </c>
      <c r="I1099" s="7">
        <v>3500</v>
      </c>
      <c r="J1099" s="7">
        <v>400</v>
      </c>
      <c r="K1099" s="99">
        <f t="shared" si="131"/>
        <v>16677</v>
      </c>
      <c r="L1099" s="7">
        <v>1500</v>
      </c>
      <c r="M1099" s="7">
        <v>6000</v>
      </c>
      <c r="N1099" s="7">
        <v>2800</v>
      </c>
      <c r="O1099" s="7">
        <v>6220</v>
      </c>
      <c r="P1099" s="7">
        <v>9318.0752997804011</v>
      </c>
      <c r="Q1099" s="7">
        <v>762.33585402959864</v>
      </c>
      <c r="R1099" s="113">
        <f t="shared" si="127"/>
        <v>0.55903093721565056</v>
      </c>
      <c r="S1099" s="113">
        <f t="shared" si="128"/>
        <v>0.41028858218318698</v>
      </c>
      <c r="T1099" s="113">
        <f t="shared" si="129"/>
        <v>0.89743589743589747</v>
      </c>
      <c r="U1099" s="113">
        <f t="shared" si="130"/>
        <v>0.62225180561157833</v>
      </c>
    </row>
    <row r="1100" spans="1:21" x14ac:dyDescent="0.45">
      <c r="A1100" s="95">
        <v>45660</v>
      </c>
      <c r="B1100" s="96">
        <v>8792</v>
      </c>
      <c r="C1100" s="7">
        <v>4915</v>
      </c>
      <c r="D1100" s="7">
        <f t="shared" si="125"/>
        <v>3877</v>
      </c>
      <c r="E1100" s="97">
        <v>3985</v>
      </c>
      <c r="F1100" s="7">
        <v>1635</v>
      </c>
      <c r="G1100" s="7">
        <f t="shared" si="126"/>
        <v>2350</v>
      </c>
      <c r="H1100" s="98">
        <f t="shared" si="124"/>
        <v>3900</v>
      </c>
      <c r="I1100" s="7">
        <v>3500</v>
      </c>
      <c r="J1100" s="7">
        <v>400</v>
      </c>
      <c r="K1100" s="99">
        <f t="shared" si="131"/>
        <v>16677</v>
      </c>
      <c r="L1100" s="7">
        <v>1500</v>
      </c>
      <c r="M1100" s="7">
        <v>6000</v>
      </c>
      <c r="N1100" s="7">
        <v>4090.223</v>
      </c>
      <c r="O1100" s="7">
        <v>6420</v>
      </c>
      <c r="P1100" s="7">
        <v>9318.0752997804011</v>
      </c>
      <c r="Q1100" s="7">
        <v>-958.91419978040165</v>
      </c>
      <c r="R1100" s="113">
        <f t="shared" si="127"/>
        <v>0.55903093721565056</v>
      </c>
      <c r="S1100" s="113">
        <f t="shared" si="128"/>
        <v>0.41028858218318698</v>
      </c>
      <c r="T1100" s="113">
        <f t="shared" si="129"/>
        <v>0.89743589743589747</v>
      </c>
      <c r="U1100" s="113">
        <f t="shared" si="130"/>
        <v>0.62225180561157833</v>
      </c>
    </row>
    <row r="1101" spans="1:21" x14ac:dyDescent="0.45">
      <c r="A1101" s="95">
        <v>45661</v>
      </c>
      <c r="B1101" s="96">
        <v>8792</v>
      </c>
      <c r="C1101" s="7">
        <v>4915</v>
      </c>
      <c r="D1101" s="7">
        <f t="shared" si="125"/>
        <v>3877</v>
      </c>
      <c r="E1101" s="97">
        <v>3985</v>
      </c>
      <c r="F1101" s="7">
        <v>1635</v>
      </c>
      <c r="G1101" s="7">
        <f t="shared" si="126"/>
        <v>2350</v>
      </c>
      <c r="H1101" s="98">
        <f t="shared" si="124"/>
        <v>3900</v>
      </c>
      <c r="I1101" s="7">
        <v>3500</v>
      </c>
      <c r="J1101" s="7">
        <v>400</v>
      </c>
      <c r="K1101" s="99">
        <f t="shared" si="131"/>
        <v>16677</v>
      </c>
      <c r="L1101" s="7">
        <v>1500</v>
      </c>
      <c r="M1101" s="7">
        <v>6000</v>
      </c>
      <c r="N1101" s="7">
        <v>4090.223</v>
      </c>
      <c r="O1101" s="7">
        <v>6420</v>
      </c>
      <c r="P1101" s="7">
        <v>9318.0752997804011</v>
      </c>
      <c r="Q1101" s="7">
        <v>-958.91419978040165</v>
      </c>
      <c r="R1101" s="113">
        <f t="shared" si="127"/>
        <v>0.55903093721565056</v>
      </c>
      <c r="S1101" s="113">
        <f t="shared" si="128"/>
        <v>0.41028858218318698</v>
      </c>
      <c r="T1101" s="113">
        <f t="shared" si="129"/>
        <v>0.89743589743589747</v>
      </c>
      <c r="U1101" s="113">
        <f t="shared" si="130"/>
        <v>0.62225180561157833</v>
      </c>
    </row>
    <row r="1102" spans="1:21" x14ac:dyDescent="0.45">
      <c r="A1102" s="95">
        <v>45662</v>
      </c>
      <c r="B1102" s="96">
        <v>8792</v>
      </c>
      <c r="C1102" s="7">
        <v>4915</v>
      </c>
      <c r="D1102" s="7">
        <f t="shared" si="125"/>
        <v>3877</v>
      </c>
      <c r="E1102" s="97">
        <v>3985</v>
      </c>
      <c r="F1102" s="7">
        <v>1635</v>
      </c>
      <c r="G1102" s="7">
        <f t="shared" si="126"/>
        <v>2350</v>
      </c>
      <c r="H1102" s="98">
        <f t="shared" si="124"/>
        <v>3900</v>
      </c>
      <c r="I1102" s="7">
        <v>3500</v>
      </c>
      <c r="J1102" s="7">
        <v>400</v>
      </c>
      <c r="K1102" s="99">
        <f t="shared" si="131"/>
        <v>16677</v>
      </c>
      <c r="L1102" s="7">
        <v>1500</v>
      </c>
      <c r="M1102" s="7">
        <v>6000</v>
      </c>
      <c r="N1102" s="7">
        <v>4090.223</v>
      </c>
      <c r="O1102" s="7">
        <v>6420</v>
      </c>
      <c r="P1102" s="7">
        <v>9318.0752997804011</v>
      </c>
      <c r="Q1102" s="7">
        <v>-958.91419978040165</v>
      </c>
      <c r="R1102" s="113">
        <f t="shared" si="127"/>
        <v>0.55903093721565056</v>
      </c>
      <c r="S1102" s="113">
        <f t="shared" si="128"/>
        <v>0.41028858218318698</v>
      </c>
      <c r="T1102" s="113">
        <f t="shared" si="129"/>
        <v>0.89743589743589747</v>
      </c>
      <c r="U1102" s="113">
        <f t="shared" si="130"/>
        <v>0.62225180561157833</v>
      </c>
    </row>
    <row r="1103" spans="1:21" x14ac:dyDescent="0.45">
      <c r="A1103" s="95">
        <v>45663</v>
      </c>
      <c r="B1103" s="96">
        <v>8792</v>
      </c>
      <c r="C1103" s="7">
        <v>4915</v>
      </c>
      <c r="D1103" s="7">
        <f t="shared" si="125"/>
        <v>3877</v>
      </c>
      <c r="E1103" s="97">
        <v>3985</v>
      </c>
      <c r="F1103" s="7">
        <v>1635</v>
      </c>
      <c r="G1103" s="7">
        <f t="shared" si="126"/>
        <v>2350</v>
      </c>
      <c r="H1103" s="98">
        <f t="shared" si="124"/>
        <v>3900</v>
      </c>
      <c r="I1103" s="7">
        <v>3500</v>
      </c>
      <c r="J1103" s="7">
        <v>400</v>
      </c>
      <c r="K1103" s="99">
        <f t="shared" si="131"/>
        <v>16677</v>
      </c>
      <c r="L1103" s="7">
        <v>1500</v>
      </c>
      <c r="M1103" s="7">
        <v>6000</v>
      </c>
      <c r="N1103" s="7">
        <v>4215.24</v>
      </c>
      <c r="O1103" s="7">
        <v>6260</v>
      </c>
      <c r="P1103" s="7">
        <v>9318.0752997804011</v>
      </c>
      <c r="Q1103" s="7">
        <v>-1686.3952997804017</v>
      </c>
      <c r="R1103" s="113">
        <f t="shared" si="127"/>
        <v>0.55903093721565056</v>
      </c>
      <c r="S1103" s="113">
        <f t="shared" si="128"/>
        <v>0.41028858218318698</v>
      </c>
      <c r="T1103" s="113">
        <f t="shared" si="129"/>
        <v>0.89743589743589747</v>
      </c>
      <c r="U1103" s="113">
        <f t="shared" si="130"/>
        <v>0.62225180561157833</v>
      </c>
    </row>
    <row r="1104" spans="1:21" x14ac:dyDescent="0.45">
      <c r="A1104" s="95">
        <v>45664</v>
      </c>
      <c r="B1104" s="96">
        <v>8792</v>
      </c>
      <c r="C1104" s="7">
        <v>4915</v>
      </c>
      <c r="D1104" s="7">
        <f t="shared" si="125"/>
        <v>3877</v>
      </c>
      <c r="E1104" s="97">
        <v>3985</v>
      </c>
      <c r="F1104" s="7">
        <v>1635</v>
      </c>
      <c r="G1104" s="7">
        <f t="shared" si="126"/>
        <v>2350</v>
      </c>
      <c r="H1104" s="98">
        <f t="shared" si="124"/>
        <v>3900</v>
      </c>
      <c r="I1104" s="7">
        <v>3500</v>
      </c>
      <c r="J1104" s="7">
        <v>400</v>
      </c>
      <c r="K1104" s="99">
        <f t="shared" si="131"/>
        <v>16677</v>
      </c>
      <c r="L1104" s="7">
        <v>1500</v>
      </c>
      <c r="M1104" s="7">
        <v>6000</v>
      </c>
      <c r="N1104" s="7">
        <v>4291.88</v>
      </c>
      <c r="O1104" s="7">
        <v>6140</v>
      </c>
      <c r="P1104" s="7">
        <v>9318.0752997804011</v>
      </c>
      <c r="Q1104" s="7">
        <v>-1423.1215494204016</v>
      </c>
      <c r="R1104" s="113">
        <f t="shared" si="127"/>
        <v>0.55903093721565056</v>
      </c>
      <c r="S1104" s="113">
        <f t="shared" si="128"/>
        <v>0.41028858218318698</v>
      </c>
      <c r="T1104" s="113">
        <f t="shared" si="129"/>
        <v>0.89743589743589747</v>
      </c>
      <c r="U1104" s="113">
        <f t="shared" si="130"/>
        <v>0.62225180561157833</v>
      </c>
    </row>
    <row r="1105" spans="1:21" x14ac:dyDescent="0.45">
      <c r="A1105" s="95">
        <v>45665</v>
      </c>
      <c r="B1105" s="96">
        <v>8792</v>
      </c>
      <c r="C1105" s="7">
        <v>4915</v>
      </c>
      <c r="D1105" s="7">
        <f t="shared" si="125"/>
        <v>3877</v>
      </c>
      <c r="E1105" s="97">
        <v>3985</v>
      </c>
      <c r="F1105" s="7">
        <v>1635</v>
      </c>
      <c r="G1105" s="7">
        <f t="shared" si="126"/>
        <v>2350</v>
      </c>
      <c r="H1105" s="98">
        <f t="shared" si="124"/>
        <v>3900</v>
      </c>
      <c r="I1105" s="7">
        <v>3500</v>
      </c>
      <c r="J1105" s="7">
        <v>400</v>
      </c>
      <c r="K1105" s="99">
        <f t="shared" si="131"/>
        <v>16677</v>
      </c>
      <c r="L1105" s="7">
        <v>1500</v>
      </c>
      <c r="M1105" s="7">
        <v>6000</v>
      </c>
      <c r="N1105" s="7">
        <v>4161.165</v>
      </c>
      <c r="O1105" s="7">
        <v>6160</v>
      </c>
      <c r="P1105" s="7">
        <v>9318.0752997804011</v>
      </c>
      <c r="Q1105" s="7">
        <v>-1427.4205240804013</v>
      </c>
      <c r="R1105" s="113">
        <f t="shared" si="127"/>
        <v>0.55903093721565056</v>
      </c>
      <c r="S1105" s="113">
        <f t="shared" si="128"/>
        <v>0.41028858218318698</v>
      </c>
      <c r="T1105" s="113">
        <f t="shared" si="129"/>
        <v>0.89743589743589747</v>
      </c>
      <c r="U1105" s="113">
        <f t="shared" si="130"/>
        <v>0.62225180561157833</v>
      </c>
    </row>
    <row r="1106" spans="1:21" x14ac:dyDescent="0.45">
      <c r="A1106" s="95">
        <v>45666</v>
      </c>
      <c r="B1106" s="96">
        <v>8792</v>
      </c>
      <c r="C1106" s="7">
        <v>5215</v>
      </c>
      <c r="D1106" s="7">
        <f t="shared" si="125"/>
        <v>3577</v>
      </c>
      <c r="E1106" s="97">
        <v>3985</v>
      </c>
      <c r="F1106" s="7">
        <v>1635</v>
      </c>
      <c r="G1106" s="7">
        <f t="shared" si="126"/>
        <v>2350</v>
      </c>
      <c r="H1106" s="98">
        <f t="shared" si="124"/>
        <v>3900</v>
      </c>
      <c r="I1106" s="7">
        <v>3500</v>
      </c>
      <c r="J1106" s="7">
        <v>400</v>
      </c>
      <c r="K1106" s="99">
        <f t="shared" si="131"/>
        <v>16677</v>
      </c>
      <c r="L1106" s="7">
        <v>1000.02439025</v>
      </c>
      <c r="M1106" s="7">
        <v>3500</v>
      </c>
      <c r="N1106" s="7">
        <v>4519.8280000000004</v>
      </c>
      <c r="O1106" s="7">
        <v>300</v>
      </c>
      <c r="P1106" s="7">
        <v>9318.0752997804011</v>
      </c>
      <c r="Q1106" s="7">
        <v>7294.8016943895982</v>
      </c>
      <c r="R1106" s="113">
        <f t="shared" si="127"/>
        <v>0.59315286624203822</v>
      </c>
      <c r="S1106" s="113">
        <f t="shared" si="128"/>
        <v>0.41028858218318698</v>
      </c>
      <c r="T1106" s="113">
        <f t="shared" si="129"/>
        <v>0.89743589743589747</v>
      </c>
      <c r="U1106" s="113">
        <f t="shared" si="130"/>
        <v>0.63362578195370756</v>
      </c>
    </row>
    <row r="1107" spans="1:21" x14ac:dyDescent="0.45">
      <c r="A1107" s="95">
        <v>45667</v>
      </c>
      <c r="B1107" s="96">
        <v>8792</v>
      </c>
      <c r="C1107" s="7">
        <v>5215</v>
      </c>
      <c r="D1107" s="7">
        <f t="shared" si="125"/>
        <v>3577</v>
      </c>
      <c r="E1107" s="97">
        <v>3985</v>
      </c>
      <c r="F1107" s="7">
        <v>1635</v>
      </c>
      <c r="G1107" s="7">
        <f t="shared" si="126"/>
        <v>2350</v>
      </c>
      <c r="H1107" s="98">
        <f t="shared" si="124"/>
        <v>3900</v>
      </c>
      <c r="I1107" s="7">
        <v>3500</v>
      </c>
      <c r="J1107" s="7">
        <v>400</v>
      </c>
      <c r="K1107" s="99">
        <f t="shared" si="131"/>
        <v>16677</v>
      </c>
      <c r="L1107" s="7">
        <v>1000.02439025</v>
      </c>
      <c r="M1107" s="7">
        <v>3500</v>
      </c>
      <c r="N1107" s="7">
        <v>5343.47</v>
      </c>
      <c r="O1107" s="7">
        <v>8800</v>
      </c>
      <c r="P1107" s="7">
        <v>9318.0752997804011</v>
      </c>
      <c r="Q1107" s="7">
        <v>-1866.5346789304015</v>
      </c>
      <c r="R1107" s="113">
        <f t="shared" si="127"/>
        <v>0.59315286624203822</v>
      </c>
      <c r="S1107" s="113">
        <f t="shared" si="128"/>
        <v>0.41028858218318698</v>
      </c>
      <c r="T1107" s="113">
        <f t="shared" si="129"/>
        <v>0.89743589743589747</v>
      </c>
      <c r="U1107" s="113">
        <f t="shared" si="130"/>
        <v>0.63362578195370756</v>
      </c>
    </row>
    <row r="1108" spans="1:21" x14ac:dyDescent="0.45">
      <c r="A1108" s="95">
        <v>45668</v>
      </c>
      <c r="B1108" s="96">
        <v>8792</v>
      </c>
      <c r="C1108" s="7">
        <v>5215</v>
      </c>
      <c r="D1108" s="7">
        <f t="shared" si="125"/>
        <v>3577</v>
      </c>
      <c r="E1108" s="97">
        <v>3985</v>
      </c>
      <c r="F1108" s="7">
        <v>1635</v>
      </c>
      <c r="G1108" s="7">
        <f t="shared" si="126"/>
        <v>2350</v>
      </c>
      <c r="H1108" s="98">
        <f t="shared" si="124"/>
        <v>3900</v>
      </c>
      <c r="I1108" s="7">
        <v>3500</v>
      </c>
      <c r="J1108" s="7">
        <v>400</v>
      </c>
      <c r="K1108" s="99">
        <f t="shared" si="131"/>
        <v>16677</v>
      </c>
      <c r="L1108" s="7">
        <v>1000.02439025</v>
      </c>
      <c r="M1108" s="7">
        <v>3500</v>
      </c>
      <c r="N1108" s="7">
        <v>5343.47</v>
      </c>
      <c r="O1108" s="7">
        <v>8800</v>
      </c>
      <c r="P1108" s="7">
        <v>9318.0752997804011</v>
      </c>
      <c r="Q1108" s="7">
        <v>-1866.5346789304015</v>
      </c>
      <c r="R1108" s="113">
        <f t="shared" si="127"/>
        <v>0.59315286624203822</v>
      </c>
      <c r="S1108" s="113">
        <f t="shared" si="128"/>
        <v>0.41028858218318698</v>
      </c>
      <c r="T1108" s="113">
        <f t="shared" si="129"/>
        <v>0.89743589743589747</v>
      </c>
      <c r="U1108" s="113">
        <f t="shared" si="130"/>
        <v>0.63362578195370756</v>
      </c>
    </row>
    <row r="1109" spans="1:21" x14ac:dyDescent="0.45">
      <c r="A1109" s="95">
        <v>45669</v>
      </c>
      <c r="B1109" s="96">
        <v>8792</v>
      </c>
      <c r="C1109" s="7">
        <v>5215</v>
      </c>
      <c r="D1109" s="7">
        <f t="shared" si="125"/>
        <v>3577</v>
      </c>
      <c r="E1109" s="97">
        <v>3985</v>
      </c>
      <c r="F1109" s="7">
        <v>1635</v>
      </c>
      <c r="G1109" s="7">
        <f t="shared" si="126"/>
        <v>2350</v>
      </c>
      <c r="H1109" s="98">
        <f t="shared" si="124"/>
        <v>3900</v>
      </c>
      <c r="I1109" s="7">
        <v>3500</v>
      </c>
      <c r="J1109" s="7">
        <v>400</v>
      </c>
      <c r="K1109" s="99">
        <f t="shared" si="131"/>
        <v>16677</v>
      </c>
      <c r="L1109" s="7">
        <v>1000.02439025</v>
      </c>
      <c r="M1109" s="7">
        <v>3500</v>
      </c>
      <c r="N1109" s="7">
        <v>5343.47</v>
      </c>
      <c r="O1109" s="7">
        <v>8800</v>
      </c>
      <c r="P1109" s="7">
        <v>9318.0752997804011</v>
      </c>
      <c r="Q1109" s="7">
        <v>-1866.5346789304015</v>
      </c>
      <c r="R1109" s="113">
        <f t="shared" si="127"/>
        <v>0.59315286624203822</v>
      </c>
      <c r="S1109" s="113">
        <f t="shared" si="128"/>
        <v>0.41028858218318698</v>
      </c>
      <c r="T1109" s="113">
        <f t="shared" si="129"/>
        <v>0.89743589743589747</v>
      </c>
      <c r="U1109" s="113">
        <f t="shared" si="130"/>
        <v>0.63362578195370756</v>
      </c>
    </row>
    <row r="1110" spans="1:21" x14ac:dyDescent="0.45">
      <c r="A1110" s="95">
        <v>45670</v>
      </c>
      <c r="B1110" s="96">
        <v>8792</v>
      </c>
      <c r="C1110" s="7">
        <v>5215</v>
      </c>
      <c r="D1110" s="7">
        <f t="shared" si="125"/>
        <v>3577</v>
      </c>
      <c r="E1110" s="97">
        <v>3985</v>
      </c>
      <c r="F1110" s="7">
        <v>1635</v>
      </c>
      <c r="G1110" s="7">
        <f t="shared" si="126"/>
        <v>2350</v>
      </c>
      <c r="H1110" s="98">
        <f t="shared" si="124"/>
        <v>3900</v>
      </c>
      <c r="I1110" s="7">
        <v>3500</v>
      </c>
      <c r="J1110" s="7">
        <v>400</v>
      </c>
      <c r="K1110" s="99">
        <f t="shared" si="131"/>
        <v>16677</v>
      </c>
      <c r="L1110" s="7">
        <v>1000.02439025</v>
      </c>
      <c r="M1110" s="7">
        <v>3500</v>
      </c>
      <c r="N1110" s="7">
        <v>4521.1180000000004</v>
      </c>
      <c r="O1110" s="7">
        <v>8650</v>
      </c>
      <c r="P1110" s="7">
        <v>9318.0752997804011</v>
      </c>
      <c r="Q1110" s="7">
        <v>-910.3251157904017</v>
      </c>
      <c r="R1110" s="113">
        <f t="shared" si="127"/>
        <v>0.59315286624203822</v>
      </c>
      <c r="S1110" s="113">
        <f t="shared" si="128"/>
        <v>0.41028858218318698</v>
      </c>
      <c r="T1110" s="113">
        <f t="shared" si="129"/>
        <v>0.89743589743589747</v>
      </c>
      <c r="U1110" s="113">
        <f t="shared" si="130"/>
        <v>0.63362578195370756</v>
      </c>
    </row>
    <row r="1111" spans="1:21" x14ac:dyDescent="0.45">
      <c r="A1111" s="95">
        <v>45671</v>
      </c>
      <c r="B1111" s="96">
        <v>8792</v>
      </c>
      <c r="C1111" s="7">
        <v>5215</v>
      </c>
      <c r="D1111" s="7">
        <f t="shared" si="125"/>
        <v>3577</v>
      </c>
      <c r="E1111" s="97">
        <v>3985</v>
      </c>
      <c r="F1111" s="7">
        <v>1635</v>
      </c>
      <c r="G1111" s="7">
        <f t="shared" si="126"/>
        <v>2350</v>
      </c>
      <c r="H1111" s="98">
        <f t="shared" si="124"/>
        <v>3900</v>
      </c>
      <c r="I1111" s="7">
        <v>3500</v>
      </c>
      <c r="J1111" s="7">
        <v>400</v>
      </c>
      <c r="K1111" s="99">
        <f t="shared" si="131"/>
        <v>16677</v>
      </c>
      <c r="L1111" s="7">
        <v>1000.02439025</v>
      </c>
      <c r="M1111" s="7">
        <v>3500</v>
      </c>
      <c r="N1111" s="7">
        <v>4963.17</v>
      </c>
      <c r="O1111" s="7">
        <v>8700</v>
      </c>
      <c r="P1111" s="7">
        <v>9318.0752997804011</v>
      </c>
      <c r="Q1111" s="7">
        <v>-1435.5526427404016</v>
      </c>
      <c r="R1111" s="113">
        <f t="shared" si="127"/>
        <v>0.59315286624203822</v>
      </c>
      <c r="S1111" s="113">
        <f t="shared" si="128"/>
        <v>0.41028858218318698</v>
      </c>
      <c r="T1111" s="113">
        <f t="shared" si="129"/>
        <v>0.89743589743589747</v>
      </c>
      <c r="U1111" s="113">
        <f t="shared" si="130"/>
        <v>0.63362578195370756</v>
      </c>
    </row>
    <row r="1112" spans="1:21" x14ac:dyDescent="0.45">
      <c r="A1112" s="95">
        <v>45672</v>
      </c>
      <c r="B1112" s="96">
        <v>8792</v>
      </c>
      <c r="C1112" s="7">
        <v>5215</v>
      </c>
      <c r="D1112" s="7">
        <f t="shared" si="125"/>
        <v>3577</v>
      </c>
      <c r="E1112" s="97">
        <v>3985</v>
      </c>
      <c r="F1112" s="7">
        <v>1635</v>
      </c>
      <c r="G1112" s="7">
        <f t="shared" si="126"/>
        <v>2350</v>
      </c>
      <c r="H1112" s="98">
        <f t="shared" si="124"/>
        <v>3900</v>
      </c>
      <c r="I1112" s="7">
        <v>3500</v>
      </c>
      <c r="J1112" s="7">
        <v>400</v>
      </c>
      <c r="K1112" s="99">
        <f t="shared" si="131"/>
        <v>16677</v>
      </c>
      <c r="L1112" s="7">
        <v>1000.02439025</v>
      </c>
      <c r="M1112" s="7">
        <v>3500</v>
      </c>
      <c r="N1112" s="7">
        <v>5096.6000000000004</v>
      </c>
      <c r="O1112" s="7">
        <v>8650</v>
      </c>
      <c r="P1112" s="7">
        <v>9318.0752997804011</v>
      </c>
      <c r="Q1112" s="7">
        <v>-2253.6079005004012</v>
      </c>
      <c r="R1112" s="113">
        <f t="shared" si="127"/>
        <v>0.59315286624203822</v>
      </c>
      <c r="S1112" s="113">
        <f t="shared" si="128"/>
        <v>0.41028858218318698</v>
      </c>
      <c r="T1112" s="113">
        <f t="shared" si="129"/>
        <v>0.89743589743589747</v>
      </c>
      <c r="U1112" s="113">
        <f t="shared" si="130"/>
        <v>0.63362578195370756</v>
      </c>
    </row>
    <row r="1113" spans="1:21" x14ac:dyDescent="0.45">
      <c r="A1113" s="95">
        <v>45673</v>
      </c>
      <c r="B1113" s="96">
        <v>8792</v>
      </c>
      <c r="C1113" s="7">
        <v>5215</v>
      </c>
      <c r="D1113" s="7">
        <f t="shared" si="125"/>
        <v>3577</v>
      </c>
      <c r="E1113" s="97">
        <v>3985</v>
      </c>
      <c r="F1113" s="7">
        <v>1635</v>
      </c>
      <c r="G1113" s="7">
        <f t="shared" si="126"/>
        <v>2350</v>
      </c>
      <c r="H1113" s="98">
        <f t="shared" si="124"/>
        <v>3900</v>
      </c>
      <c r="I1113" s="7">
        <v>3500</v>
      </c>
      <c r="J1113" s="7">
        <v>400</v>
      </c>
      <c r="K1113" s="99">
        <f t="shared" si="131"/>
        <v>16677</v>
      </c>
      <c r="L1113" s="7">
        <v>499.92173914</v>
      </c>
      <c r="M1113" s="7">
        <v>2000</v>
      </c>
      <c r="N1113" s="7">
        <v>6100</v>
      </c>
      <c r="O1113" s="7">
        <v>8900</v>
      </c>
      <c r="P1113" s="7">
        <v>9318.0752997804011</v>
      </c>
      <c r="Q1113" s="7">
        <v>-709.64240432040117</v>
      </c>
      <c r="R1113" s="113">
        <f t="shared" si="127"/>
        <v>0.59315286624203822</v>
      </c>
      <c r="S1113" s="113">
        <f t="shared" si="128"/>
        <v>0.41028858218318698</v>
      </c>
      <c r="T1113" s="113">
        <f t="shared" si="129"/>
        <v>0.89743589743589747</v>
      </c>
      <c r="U1113" s="113">
        <f t="shared" si="130"/>
        <v>0.63362578195370756</v>
      </c>
    </row>
    <row r="1114" spans="1:21" x14ac:dyDescent="0.45">
      <c r="A1114" s="95">
        <v>45674</v>
      </c>
      <c r="B1114" s="96">
        <v>8792</v>
      </c>
      <c r="C1114" s="7">
        <v>5215</v>
      </c>
      <c r="D1114" s="7">
        <f t="shared" si="125"/>
        <v>3577</v>
      </c>
      <c r="E1114" s="97">
        <v>3985</v>
      </c>
      <c r="F1114" s="7">
        <v>1635</v>
      </c>
      <c r="G1114" s="7">
        <f t="shared" si="126"/>
        <v>2350</v>
      </c>
      <c r="H1114" s="98">
        <f t="shared" si="124"/>
        <v>3900</v>
      </c>
      <c r="I1114" s="7">
        <v>3500</v>
      </c>
      <c r="J1114" s="7">
        <v>400</v>
      </c>
      <c r="K1114" s="99">
        <f t="shared" si="131"/>
        <v>16677</v>
      </c>
      <c r="L1114" s="7">
        <v>499.92173914</v>
      </c>
      <c r="M1114" s="7">
        <v>2000</v>
      </c>
      <c r="N1114" s="7">
        <v>6222</v>
      </c>
      <c r="O1114" s="7">
        <v>9050</v>
      </c>
      <c r="P1114" s="7">
        <v>9318.0752997804011</v>
      </c>
      <c r="Q1114" s="7">
        <v>-1597.6141285604012</v>
      </c>
      <c r="R1114" s="113">
        <f t="shared" si="127"/>
        <v>0.59315286624203822</v>
      </c>
      <c r="S1114" s="113">
        <f t="shared" si="128"/>
        <v>0.41028858218318698</v>
      </c>
      <c r="T1114" s="113">
        <f t="shared" si="129"/>
        <v>0.89743589743589747</v>
      </c>
      <c r="U1114" s="113">
        <f t="shared" si="130"/>
        <v>0.63362578195370756</v>
      </c>
    </row>
    <row r="1115" spans="1:21" x14ac:dyDescent="0.45">
      <c r="A1115" s="95">
        <v>45675</v>
      </c>
      <c r="B1115" s="96">
        <v>8792</v>
      </c>
      <c r="C1115" s="7">
        <v>5215</v>
      </c>
      <c r="D1115" s="7">
        <f t="shared" si="125"/>
        <v>3577</v>
      </c>
      <c r="E1115" s="97">
        <v>3985</v>
      </c>
      <c r="F1115" s="7">
        <v>1635</v>
      </c>
      <c r="G1115" s="7">
        <f t="shared" si="126"/>
        <v>2350</v>
      </c>
      <c r="H1115" s="98">
        <f t="shared" si="124"/>
        <v>3900</v>
      </c>
      <c r="I1115" s="7">
        <v>3500</v>
      </c>
      <c r="J1115" s="7">
        <v>400</v>
      </c>
      <c r="K1115" s="99">
        <f t="shared" si="131"/>
        <v>16677</v>
      </c>
      <c r="L1115" s="7">
        <v>499.92173914</v>
      </c>
      <c r="M1115" s="7">
        <v>2000</v>
      </c>
      <c r="N1115" s="7">
        <v>6222</v>
      </c>
      <c r="O1115" s="7">
        <v>9050</v>
      </c>
      <c r="P1115" s="7">
        <v>9318.0752997804011</v>
      </c>
      <c r="Q1115" s="7">
        <v>-1597.6141285604012</v>
      </c>
      <c r="R1115" s="113">
        <f t="shared" si="127"/>
        <v>0.59315286624203822</v>
      </c>
      <c r="S1115" s="113">
        <f t="shared" si="128"/>
        <v>0.41028858218318698</v>
      </c>
      <c r="T1115" s="113">
        <f t="shared" si="129"/>
        <v>0.89743589743589747</v>
      </c>
      <c r="U1115" s="113">
        <f t="shared" si="130"/>
        <v>0.63362578195370756</v>
      </c>
    </row>
    <row r="1116" spans="1:21" x14ac:dyDescent="0.45">
      <c r="A1116" s="95">
        <v>45676</v>
      </c>
      <c r="B1116" s="96">
        <v>8792</v>
      </c>
      <c r="C1116" s="7">
        <v>5215</v>
      </c>
      <c r="D1116" s="7">
        <f t="shared" si="125"/>
        <v>3577</v>
      </c>
      <c r="E1116" s="97">
        <v>3985</v>
      </c>
      <c r="F1116" s="7">
        <v>1635</v>
      </c>
      <c r="G1116" s="7">
        <f t="shared" si="126"/>
        <v>2350</v>
      </c>
      <c r="H1116" s="98">
        <f t="shared" si="124"/>
        <v>3900</v>
      </c>
      <c r="I1116" s="7">
        <v>3500</v>
      </c>
      <c r="J1116" s="7">
        <v>400</v>
      </c>
      <c r="K1116" s="99">
        <f t="shared" si="131"/>
        <v>16677</v>
      </c>
      <c r="L1116" s="7">
        <v>499.92173914</v>
      </c>
      <c r="M1116" s="7">
        <v>2000</v>
      </c>
      <c r="N1116" s="7">
        <v>6222</v>
      </c>
      <c r="O1116" s="7">
        <v>9050</v>
      </c>
      <c r="P1116" s="7">
        <v>9318.0752997804011</v>
      </c>
      <c r="Q1116" s="7">
        <v>-1597.6141285604012</v>
      </c>
      <c r="R1116" s="113">
        <f t="shared" si="127"/>
        <v>0.59315286624203822</v>
      </c>
      <c r="S1116" s="113">
        <f t="shared" si="128"/>
        <v>0.41028858218318698</v>
      </c>
      <c r="T1116" s="113">
        <f t="shared" si="129"/>
        <v>0.89743589743589747</v>
      </c>
      <c r="U1116" s="113">
        <f t="shared" si="130"/>
        <v>0.63362578195370756</v>
      </c>
    </row>
    <row r="1117" spans="1:21" x14ac:dyDescent="0.45">
      <c r="A1117" s="95">
        <v>45677</v>
      </c>
      <c r="B1117" s="96">
        <v>8792</v>
      </c>
      <c r="C1117" s="7">
        <v>5215</v>
      </c>
      <c r="D1117" s="7">
        <f t="shared" si="125"/>
        <v>3577</v>
      </c>
      <c r="E1117" s="97">
        <v>3985</v>
      </c>
      <c r="F1117" s="7">
        <v>1635</v>
      </c>
      <c r="G1117" s="7">
        <f t="shared" si="126"/>
        <v>2350</v>
      </c>
      <c r="H1117" s="98">
        <f t="shared" si="124"/>
        <v>3900</v>
      </c>
      <c r="I1117" s="7">
        <v>3500</v>
      </c>
      <c r="J1117" s="7">
        <v>400</v>
      </c>
      <c r="K1117" s="99">
        <f t="shared" si="131"/>
        <v>16677</v>
      </c>
      <c r="L1117" s="7">
        <v>499.92173914</v>
      </c>
      <c r="M1117" s="7">
        <v>2000</v>
      </c>
      <c r="N1117" s="7">
        <v>4520</v>
      </c>
      <c r="O1117" s="7">
        <v>8650</v>
      </c>
      <c r="P1117" s="7">
        <v>9001.7613486315931</v>
      </c>
      <c r="Q1117" s="7">
        <v>700.40465136840839</v>
      </c>
      <c r="R1117" s="113">
        <f t="shared" si="127"/>
        <v>0.59315286624203822</v>
      </c>
      <c r="S1117" s="113">
        <f t="shared" si="128"/>
        <v>0.41028858218318698</v>
      </c>
      <c r="T1117" s="113">
        <f t="shared" si="129"/>
        <v>0.89743589743589747</v>
      </c>
      <c r="U1117" s="113">
        <f t="shared" si="130"/>
        <v>0.63362578195370756</v>
      </c>
    </row>
    <row r="1118" spans="1:21" x14ac:dyDescent="0.45">
      <c r="A1118" s="95">
        <v>45678</v>
      </c>
      <c r="B1118" s="96">
        <v>8792</v>
      </c>
      <c r="C1118" s="7">
        <v>5215</v>
      </c>
      <c r="D1118" s="7">
        <f t="shared" si="125"/>
        <v>3577</v>
      </c>
      <c r="E1118" s="97">
        <v>3985</v>
      </c>
      <c r="F1118" s="7">
        <v>1635</v>
      </c>
      <c r="G1118" s="7">
        <f t="shared" si="126"/>
        <v>2350</v>
      </c>
      <c r="H1118" s="98">
        <f t="shared" si="124"/>
        <v>3900</v>
      </c>
      <c r="I1118" s="7">
        <v>3500</v>
      </c>
      <c r="J1118" s="7">
        <v>400</v>
      </c>
      <c r="K1118" s="99">
        <f t="shared" si="131"/>
        <v>16677</v>
      </c>
      <c r="L1118" s="7">
        <v>499.92173914</v>
      </c>
      <c r="M1118" s="7">
        <v>2000</v>
      </c>
      <c r="N1118" s="7">
        <v>5110</v>
      </c>
      <c r="O1118" s="7">
        <v>5170</v>
      </c>
      <c r="P1118" s="7">
        <v>9001.7613486315931</v>
      </c>
      <c r="Q1118" s="7">
        <v>3583.1505307184079</v>
      </c>
      <c r="R1118" s="113">
        <f t="shared" si="127"/>
        <v>0.59315286624203822</v>
      </c>
      <c r="S1118" s="113">
        <f t="shared" si="128"/>
        <v>0.41028858218318698</v>
      </c>
      <c r="T1118" s="113">
        <f t="shared" si="129"/>
        <v>0.89743589743589747</v>
      </c>
      <c r="U1118" s="113">
        <f t="shared" si="130"/>
        <v>0.63362578195370756</v>
      </c>
    </row>
    <row r="1119" spans="1:21" x14ac:dyDescent="0.45">
      <c r="A1119" s="95">
        <v>45679</v>
      </c>
      <c r="B1119" s="96">
        <v>8792</v>
      </c>
      <c r="C1119" s="7">
        <v>5215</v>
      </c>
      <c r="D1119" s="7">
        <f t="shared" si="125"/>
        <v>3577</v>
      </c>
      <c r="E1119" s="97">
        <v>3985</v>
      </c>
      <c r="F1119" s="7">
        <v>1635</v>
      </c>
      <c r="G1119" s="7">
        <f t="shared" si="126"/>
        <v>2350</v>
      </c>
      <c r="H1119" s="98">
        <f t="shared" si="124"/>
        <v>3900</v>
      </c>
      <c r="I1119" s="7">
        <v>3500</v>
      </c>
      <c r="J1119" s="7">
        <v>400</v>
      </c>
      <c r="K1119" s="99">
        <f t="shared" si="131"/>
        <v>16677</v>
      </c>
      <c r="L1119" s="7">
        <v>499.92173914</v>
      </c>
      <c r="M1119" s="7">
        <v>2000</v>
      </c>
      <c r="N1119" s="7">
        <v>5380</v>
      </c>
      <c r="O1119" s="7">
        <v>7800</v>
      </c>
      <c r="P1119" s="7">
        <v>9001.7613486315931</v>
      </c>
      <c r="Q1119" s="7">
        <v>567.125438048408</v>
      </c>
      <c r="R1119" s="113">
        <f t="shared" si="127"/>
        <v>0.59315286624203822</v>
      </c>
      <c r="S1119" s="113">
        <f t="shared" si="128"/>
        <v>0.41028858218318698</v>
      </c>
      <c r="T1119" s="113">
        <f t="shared" si="129"/>
        <v>0.89743589743589747</v>
      </c>
      <c r="U1119" s="113">
        <f t="shared" si="130"/>
        <v>0.63362578195370756</v>
      </c>
    </row>
    <row r="1120" spans="1:21" x14ac:dyDescent="0.45">
      <c r="A1120" s="95">
        <v>45680</v>
      </c>
      <c r="B1120" s="96">
        <v>8792</v>
      </c>
      <c r="C1120" s="7">
        <v>5245</v>
      </c>
      <c r="D1120" s="7">
        <f t="shared" si="125"/>
        <v>3547</v>
      </c>
      <c r="E1120" s="97">
        <v>3985</v>
      </c>
      <c r="F1120" s="7">
        <v>1635</v>
      </c>
      <c r="G1120" s="7">
        <f t="shared" si="126"/>
        <v>2350</v>
      </c>
      <c r="H1120" s="98">
        <f t="shared" si="124"/>
        <v>3900</v>
      </c>
      <c r="I1120" s="7">
        <v>3500</v>
      </c>
      <c r="J1120" s="7">
        <v>400</v>
      </c>
      <c r="K1120" s="99">
        <f t="shared" si="131"/>
        <v>16677</v>
      </c>
      <c r="L1120" s="7">
        <v>500</v>
      </c>
      <c r="M1120" s="7">
        <v>1499.98571429</v>
      </c>
      <c r="N1120" s="7">
        <v>4900</v>
      </c>
      <c r="O1120" s="7">
        <v>9415</v>
      </c>
      <c r="P1120" s="7">
        <v>9001.7613486315931</v>
      </c>
      <c r="Q1120" s="7">
        <v>-683.5924722815912</v>
      </c>
      <c r="R1120" s="113">
        <f t="shared" si="127"/>
        <v>0.59656505914467695</v>
      </c>
      <c r="S1120" s="113">
        <f t="shared" si="128"/>
        <v>0.41028858218318698</v>
      </c>
      <c r="T1120" s="113">
        <f t="shared" si="129"/>
        <v>0.89743589743589747</v>
      </c>
      <c r="U1120" s="113">
        <f t="shared" si="130"/>
        <v>0.6347631795879205</v>
      </c>
    </row>
    <row r="1121" spans="1:21" x14ac:dyDescent="0.45">
      <c r="A1121" s="95">
        <v>45681</v>
      </c>
      <c r="B1121" s="96">
        <v>8792</v>
      </c>
      <c r="C1121" s="7">
        <v>5245</v>
      </c>
      <c r="D1121" s="7">
        <f t="shared" si="125"/>
        <v>3547</v>
      </c>
      <c r="E1121" s="97">
        <v>3985</v>
      </c>
      <c r="F1121" s="7">
        <v>1635</v>
      </c>
      <c r="G1121" s="7">
        <f t="shared" si="126"/>
        <v>2350</v>
      </c>
      <c r="H1121" s="98">
        <f t="shared" si="124"/>
        <v>3900</v>
      </c>
      <c r="I1121" s="7">
        <v>3500</v>
      </c>
      <c r="J1121" s="7">
        <v>400</v>
      </c>
      <c r="K1121" s="99">
        <f t="shared" si="131"/>
        <v>16677</v>
      </c>
      <c r="L1121" s="7">
        <v>500</v>
      </c>
      <c r="M1121" s="7">
        <v>1499.98571429</v>
      </c>
      <c r="N1121" s="7">
        <v>3880</v>
      </c>
      <c r="O1121" s="7">
        <v>10515</v>
      </c>
      <c r="P1121" s="7">
        <v>9001.7613486315931</v>
      </c>
      <c r="Q1121" s="7">
        <v>-54.15534159159165</v>
      </c>
      <c r="R1121" s="113">
        <f t="shared" si="127"/>
        <v>0.59656505914467695</v>
      </c>
      <c r="S1121" s="113">
        <f t="shared" si="128"/>
        <v>0.41028858218318698</v>
      </c>
      <c r="T1121" s="113">
        <f t="shared" si="129"/>
        <v>0.89743589743589747</v>
      </c>
      <c r="U1121" s="113">
        <f t="shared" si="130"/>
        <v>0.6347631795879205</v>
      </c>
    </row>
    <row r="1122" spans="1:21" x14ac:dyDescent="0.45">
      <c r="A1122" s="95">
        <v>45682</v>
      </c>
      <c r="B1122" s="96">
        <v>8792</v>
      </c>
      <c r="C1122" s="7">
        <v>5245</v>
      </c>
      <c r="D1122" s="7">
        <f t="shared" si="125"/>
        <v>3547</v>
      </c>
      <c r="E1122" s="97">
        <v>3985</v>
      </c>
      <c r="F1122" s="7">
        <v>1635</v>
      </c>
      <c r="G1122" s="7">
        <f t="shared" si="126"/>
        <v>2350</v>
      </c>
      <c r="H1122" s="98">
        <f t="shared" si="124"/>
        <v>3900</v>
      </c>
      <c r="I1122" s="7">
        <v>3500</v>
      </c>
      <c r="J1122" s="7">
        <v>400</v>
      </c>
      <c r="K1122" s="99">
        <f t="shared" si="131"/>
        <v>16677</v>
      </c>
      <c r="L1122" s="7">
        <v>500</v>
      </c>
      <c r="M1122" s="7">
        <v>1499.98571429</v>
      </c>
      <c r="N1122" s="7">
        <v>3880</v>
      </c>
      <c r="O1122" s="7">
        <v>10515</v>
      </c>
      <c r="P1122" s="7">
        <v>9001.7613486315931</v>
      </c>
      <c r="Q1122" s="7">
        <v>-54.15534159159165</v>
      </c>
      <c r="R1122" s="113">
        <f t="shared" si="127"/>
        <v>0.59656505914467695</v>
      </c>
      <c r="S1122" s="113">
        <f t="shared" si="128"/>
        <v>0.41028858218318698</v>
      </c>
      <c r="T1122" s="113">
        <f t="shared" si="129"/>
        <v>0.89743589743589747</v>
      </c>
      <c r="U1122" s="113">
        <f t="shared" si="130"/>
        <v>0.6347631795879205</v>
      </c>
    </row>
    <row r="1123" spans="1:21" x14ac:dyDescent="0.45">
      <c r="A1123" s="95">
        <v>45683</v>
      </c>
      <c r="B1123" s="96">
        <v>8792</v>
      </c>
      <c r="C1123" s="7">
        <v>5245</v>
      </c>
      <c r="D1123" s="7">
        <f t="shared" si="125"/>
        <v>3547</v>
      </c>
      <c r="E1123" s="97">
        <v>3985</v>
      </c>
      <c r="F1123" s="7">
        <v>1635</v>
      </c>
      <c r="G1123" s="7">
        <f t="shared" si="126"/>
        <v>2350</v>
      </c>
      <c r="H1123" s="98">
        <f t="shared" si="124"/>
        <v>3900</v>
      </c>
      <c r="I1123" s="7">
        <v>3500</v>
      </c>
      <c r="J1123" s="7">
        <v>400</v>
      </c>
      <c r="K1123" s="99">
        <f t="shared" si="131"/>
        <v>16677</v>
      </c>
      <c r="L1123" s="7">
        <v>500</v>
      </c>
      <c r="M1123" s="7">
        <v>1499.98571429</v>
      </c>
      <c r="N1123" s="7">
        <v>3880</v>
      </c>
      <c r="O1123" s="7">
        <v>10515</v>
      </c>
      <c r="P1123" s="7">
        <v>9001.7613486315931</v>
      </c>
      <c r="Q1123" s="7">
        <v>-54.15534159159165</v>
      </c>
      <c r="R1123" s="113">
        <f t="shared" si="127"/>
        <v>0.59656505914467695</v>
      </c>
      <c r="S1123" s="113">
        <f t="shared" si="128"/>
        <v>0.41028858218318698</v>
      </c>
      <c r="T1123" s="113">
        <f t="shared" si="129"/>
        <v>0.89743589743589747</v>
      </c>
      <c r="U1123" s="113">
        <f t="shared" si="130"/>
        <v>0.6347631795879205</v>
      </c>
    </row>
    <row r="1124" spans="1:21" x14ac:dyDescent="0.45">
      <c r="A1124" s="95">
        <v>45684</v>
      </c>
      <c r="B1124" s="96">
        <v>8792</v>
      </c>
      <c r="C1124" s="7">
        <v>5245</v>
      </c>
      <c r="D1124" s="7">
        <f t="shared" si="125"/>
        <v>3547</v>
      </c>
      <c r="E1124" s="97">
        <v>3985</v>
      </c>
      <c r="F1124" s="7">
        <v>1635</v>
      </c>
      <c r="G1124" s="7">
        <f t="shared" si="126"/>
        <v>2350</v>
      </c>
      <c r="H1124" s="98">
        <f t="shared" si="124"/>
        <v>3900</v>
      </c>
      <c r="I1124" s="7">
        <v>3500</v>
      </c>
      <c r="J1124" s="7">
        <v>400</v>
      </c>
      <c r="K1124" s="99">
        <f t="shared" si="131"/>
        <v>16677</v>
      </c>
      <c r="L1124" s="7">
        <v>500</v>
      </c>
      <c r="M1124" s="7">
        <v>1499.98571429</v>
      </c>
      <c r="N1124" s="7">
        <v>5510</v>
      </c>
      <c r="O1124" s="7">
        <v>5950</v>
      </c>
      <c r="P1124" s="7">
        <v>9001.7613486315931</v>
      </c>
      <c r="Q1124" s="7">
        <v>4439.2635192584085</v>
      </c>
      <c r="R1124" s="113">
        <f t="shared" si="127"/>
        <v>0.59656505914467695</v>
      </c>
      <c r="S1124" s="113">
        <f t="shared" si="128"/>
        <v>0.41028858218318698</v>
      </c>
      <c r="T1124" s="113">
        <f t="shared" si="129"/>
        <v>0.89743589743589747</v>
      </c>
      <c r="U1124" s="113">
        <f t="shared" si="130"/>
        <v>0.6347631795879205</v>
      </c>
    </row>
    <row r="1125" spans="1:21" x14ac:dyDescent="0.45">
      <c r="A1125" s="95">
        <v>45685</v>
      </c>
      <c r="B1125" s="96">
        <v>8792</v>
      </c>
      <c r="C1125" s="7">
        <v>5245</v>
      </c>
      <c r="D1125" s="7">
        <f t="shared" si="125"/>
        <v>3547</v>
      </c>
      <c r="E1125" s="97">
        <v>3985</v>
      </c>
      <c r="F1125" s="7">
        <v>1635</v>
      </c>
      <c r="G1125" s="7">
        <f t="shared" si="126"/>
        <v>2350</v>
      </c>
      <c r="H1125" s="98">
        <f t="shared" si="124"/>
        <v>3900</v>
      </c>
      <c r="I1125" s="7">
        <v>3500</v>
      </c>
      <c r="J1125" s="7">
        <v>400</v>
      </c>
      <c r="K1125" s="99">
        <f t="shared" si="131"/>
        <v>16677</v>
      </c>
      <c r="L1125" s="7">
        <v>500</v>
      </c>
      <c r="M1125" s="7">
        <v>1499.98571429</v>
      </c>
      <c r="N1125" s="7">
        <v>6630</v>
      </c>
      <c r="O1125" s="7">
        <v>10080</v>
      </c>
      <c r="P1125" s="7">
        <v>9001.7613486315931</v>
      </c>
      <c r="Q1125" s="7">
        <v>-461.51241836159193</v>
      </c>
      <c r="R1125" s="113">
        <f t="shared" si="127"/>
        <v>0.59656505914467695</v>
      </c>
      <c r="S1125" s="113">
        <f t="shared" si="128"/>
        <v>0.41028858218318698</v>
      </c>
      <c r="T1125" s="113">
        <f t="shared" si="129"/>
        <v>0.89743589743589747</v>
      </c>
      <c r="U1125" s="113">
        <f t="shared" si="130"/>
        <v>0.6347631795879205</v>
      </c>
    </row>
    <row r="1126" spans="1:21" x14ac:dyDescent="0.45">
      <c r="A1126" s="95">
        <v>45686</v>
      </c>
      <c r="B1126" s="96">
        <v>8792</v>
      </c>
      <c r="C1126" s="7">
        <v>5245</v>
      </c>
      <c r="D1126" s="7">
        <f t="shared" si="125"/>
        <v>3547</v>
      </c>
      <c r="E1126" s="97">
        <v>3985</v>
      </c>
      <c r="F1126" s="7">
        <v>1635</v>
      </c>
      <c r="G1126" s="7">
        <f t="shared" si="126"/>
        <v>2350</v>
      </c>
      <c r="H1126" s="98">
        <f t="shared" si="124"/>
        <v>3900</v>
      </c>
      <c r="I1126" s="7">
        <v>3500</v>
      </c>
      <c r="J1126" s="7">
        <v>400</v>
      </c>
      <c r="K1126" s="99">
        <f t="shared" si="131"/>
        <v>16677</v>
      </c>
      <c r="L1126" s="7">
        <v>500</v>
      </c>
      <c r="M1126" s="7">
        <v>1499.98571429</v>
      </c>
      <c r="N1126" s="7">
        <v>6640</v>
      </c>
      <c r="O1126" s="7">
        <v>10580</v>
      </c>
      <c r="P1126" s="7">
        <v>9001.7613486315931</v>
      </c>
      <c r="Q1126" s="7">
        <v>-1217.0712595615919</v>
      </c>
      <c r="R1126" s="113">
        <f t="shared" si="127"/>
        <v>0.59656505914467695</v>
      </c>
      <c r="S1126" s="113">
        <f t="shared" si="128"/>
        <v>0.41028858218318698</v>
      </c>
      <c r="T1126" s="113">
        <f t="shared" si="129"/>
        <v>0.89743589743589747</v>
      </c>
      <c r="U1126" s="113">
        <f t="shared" si="130"/>
        <v>0.6347631795879205</v>
      </c>
    </row>
    <row r="1127" spans="1:21" x14ac:dyDescent="0.45">
      <c r="A1127" s="95">
        <v>45687</v>
      </c>
      <c r="B1127" s="96">
        <v>8746</v>
      </c>
      <c r="C1127" s="7">
        <v>5169</v>
      </c>
      <c r="D1127" s="7">
        <f t="shared" si="125"/>
        <v>3577</v>
      </c>
      <c r="E1127" s="97">
        <v>3985</v>
      </c>
      <c r="F1127" s="7">
        <v>1635</v>
      </c>
      <c r="G1127" s="7">
        <f t="shared" si="126"/>
        <v>2350</v>
      </c>
      <c r="H1127" s="98">
        <f t="shared" si="124"/>
        <v>3900</v>
      </c>
      <c r="I1127" s="7">
        <v>3500</v>
      </c>
      <c r="J1127" s="7">
        <v>400</v>
      </c>
      <c r="K1127" s="99">
        <f t="shared" si="131"/>
        <v>16631</v>
      </c>
      <c r="L1127" s="7">
        <v>500</v>
      </c>
      <c r="M1127" s="7">
        <v>1000</v>
      </c>
      <c r="N1127" s="7">
        <v>7322</v>
      </c>
      <c r="O1127" s="7">
        <v>9370</v>
      </c>
      <c r="P1127" s="7">
        <v>9001.7613486315931</v>
      </c>
      <c r="Q1127" s="7">
        <v>6.8727532884080915</v>
      </c>
      <c r="R1127" s="113">
        <f t="shared" si="127"/>
        <v>0.59101303453007092</v>
      </c>
      <c r="S1127" s="113">
        <f t="shared" si="128"/>
        <v>0.41028858218318698</v>
      </c>
      <c r="T1127" s="113">
        <f t="shared" si="129"/>
        <v>0.89743589743589747</v>
      </c>
      <c r="U1127" s="113">
        <f t="shared" si="130"/>
        <v>0.63291250471638516</v>
      </c>
    </row>
    <row r="1128" spans="1:21" x14ac:dyDescent="0.45">
      <c r="A1128" s="95">
        <v>45688</v>
      </c>
      <c r="B1128" s="96">
        <v>8746</v>
      </c>
      <c r="C1128" s="7">
        <v>5169</v>
      </c>
      <c r="D1128" s="7">
        <f t="shared" si="125"/>
        <v>3577</v>
      </c>
      <c r="E1128" s="97">
        <v>3985</v>
      </c>
      <c r="F1128" s="7">
        <v>1635</v>
      </c>
      <c r="G1128" s="7">
        <f t="shared" si="126"/>
        <v>2350</v>
      </c>
      <c r="H1128" s="98">
        <f t="shared" si="124"/>
        <v>3900</v>
      </c>
      <c r="I1128" s="7">
        <v>3500</v>
      </c>
      <c r="J1128" s="7">
        <v>400</v>
      </c>
      <c r="K1128" s="99">
        <f t="shared" si="131"/>
        <v>16631</v>
      </c>
      <c r="L1128" s="7">
        <v>500</v>
      </c>
      <c r="M1128" s="7">
        <v>1000</v>
      </c>
      <c r="N1128" s="7">
        <v>7470</v>
      </c>
      <c r="O1128" s="7">
        <v>10450</v>
      </c>
      <c r="P1128" s="7">
        <v>9001.7613486315931</v>
      </c>
      <c r="Q1128" s="7">
        <v>-1459.9392626415915</v>
      </c>
      <c r="R1128" s="113">
        <f t="shared" si="127"/>
        <v>0.59101303453007092</v>
      </c>
      <c r="S1128" s="113">
        <f t="shared" si="128"/>
        <v>0.41028858218318698</v>
      </c>
      <c r="T1128" s="113">
        <f t="shared" si="129"/>
        <v>0.89743589743589747</v>
      </c>
      <c r="U1128" s="113">
        <f t="shared" si="130"/>
        <v>0.63291250471638516</v>
      </c>
    </row>
    <row r="1129" spans="1:21" x14ac:dyDescent="0.45">
      <c r="A1129" s="95">
        <v>45689</v>
      </c>
      <c r="B1129" s="96">
        <v>8746</v>
      </c>
      <c r="C1129" s="7">
        <v>5169</v>
      </c>
      <c r="D1129" s="7">
        <f t="shared" si="125"/>
        <v>3577</v>
      </c>
      <c r="E1129" s="97">
        <v>3985</v>
      </c>
      <c r="F1129" s="7">
        <v>1635</v>
      </c>
      <c r="G1129" s="7">
        <f t="shared" si="126"/>
        <v>2350</v>
      </c>
      <c r="H1129" s="98">
        <f t="shared" si="124"/>
        <v>3900</v>
      </c>
      <c r="I1129" s="7">
        <v>3500</v>
      </c>
      <c r="J1129" s="7">
        <v>400</v>
      </c>
      <c r="K1129" s="99">
        <f t="shared" si="131"/>
        <v>16631</v>
      </c>
      <c r="L1129" s="7">
        <v>500</v>
      </c>
      <c r="M1129" s="7">
        <v>1000</v>
      </c>
      <c r="N1129" s="7">
        <v>7470</v>
      </c>
      <c r="O1129" s="7">
        <v>10450</v>
      </c>
      <c r="P1129" s="7">
        <v>9001.7613486315931</v>
      </c>
      <c r="Q1129" s="7">
        <v>-1459.9392626415915</v>
      </c>
      <c r="R1129" s="113">
        <f t="shared" si="127"/>
        <v>0.59101303453007092</v>
      </c>
      <c r="S1129" s="113">
        <f t="shared" si="128"/>
        <v>0.41028858218318698</v>
      </c>
      <c r="T1129" s="113">
        <f t="shared" si="129"/>
        <v>0.89743589743589747</v>
      </c>
      <c r="U1129" s="113">
        <f t="shared" si="130"/>
        <v>0.63291250471638516</v>
      </c>
    </row>
    <row r="1130" spans="1:21" x14ac:dyDescent="0.45">
      <c r="A1130" s="95">
        <v>45690</v>
      </c>
      <c r="B1130" s="96">
        <v>8746</v>
      </c>
      <c r="C1130" s="7">
        <v>5169</v>
      </c>
      <c r="D1130" s="7">
        <f t="shared" si="125"/>
        <v>3577</v>
      </c>
      <c r="E1130" s="97">
        <v>3985</v>
      </c>
      <c r="F1130" s="7">
        <v>1635</v>
      </c>
      <c r="G1130" s="7">
        <f t="shared" si="126"/>
        <v>2350</v>
      </c>
      <c r="H1130" s="98">
        <f t="shared" si="124"/>
        <v>3900</v>
      </c>
      <c r="I1130" s="7">
        <v>3500</v>
      </c>
      <c r="J1130" s="7">
        <v>400</v>
      </c>
      <c r="K1130" s="99">
        <f t="shared" si="131"/>
        <v>16631</v>
      </c>
      <c r="L1130" s="7">
        <v>500</v>
      </c>
      <c r="M1130" s="7">
        <v>1000</v>
      </c>
      <c r="N1130" s="7">
        <v>7470</v>
      </c>
      <c r="O1130" s="7">
        <v>10450</v>
      </c>
      <c r="P1130" s="7">
        <v>9001.7613486315931</v>
      </c>
      <c r="Q1130" s="7">
        <v>-1459.9392626415915</v>
      </c>
      <c r="R1130" s="113">
        <f t="shared" si="127"/>
        <v>0.59101303453007092</v>
      </c>
      <c r="S1130" s="113">
        <f t="shared" si="128"/>
        <v>0.41028858218318698</v>
      </c>
      <c r="T1130" s="113">
        <f t="shared" si="129"/>
        <v>0.89743589743589747</v>
      </c>
      <c r="U1130" s="113">
        <f t="shared" si="130"/>
        <v>0.63291250471638516</v>
      </c>
    </row>
    <row r="1131" spans="1:21" x14ac:dyDescent="0.45">
      <c r="A1131" s="95">
        <v>45691</v>
      </c>
      <c r="B1131" s="96">
        <v>8746</v>
      </c>
      <c r="C1131" s="7">
        <v>5169</v>
      </c>
      <c r="D1131" s="7">
        <f t="shared" si="125"/>
        <v>3577</v>
      </c>
      <c r="E1131" s="97">
        <v>3985</v>
      </c>
      <c r="F1131" s="7">
        <v>1635</v>
      </c>
      <c r="G1131" s="7">
        <f t="shared" si="126"/>
        <v>2350</v>
      </c>
      <c r="H1131" s="98">
        <f t="shared" si="124"/>
        <v>3900</v>
      </c>
      <c r="I1131" s="7">
        <v>3500</v>
      </c>
      <c r="J1131" s="7">
        <v>400</v>
      </c>
      <c r="K1131" s="99">
        <f t="shared" si="131"/>
        <v>16631</v>
      </c>
      <c r="L1131" s="7">
        <v>500</v>
      </c>
      <c r="M1131" s="7">
        <v>1000</v>
      </c>
      <c r="N1131" s="7">
        <v>7220</v>
      </c>
      <c r="O1131" s="7">
        <v>6800</v>
      </c>
      <c r="P1131" s="7">
        <v>9001.7613486315931</v>
      </c>
      <c r="Q1131" s="7">
        <v>2548.4341624784074</v>
      </c>
      <c r="R1131" s="113">
        <f t="shared" si="127"/>
        <v>0.59101303453007092</v>
      </c>
      <c r="S1131" s="113">
        <f t="shared" si="128"/>
        <v>0.41028858218318698</v>
      </c>
      <c r="T1131" s="113">
        <f t="shared" si="129"/>
        <v>0.89743589743589747</v>
      </c>
      <c r="U1131" s="113">
        <f t="shared" si="130"/>
        <v>0.63291250471638516</v>
      </c>
    </row>
    <row r="1132" spans="1:21" x14ac:dyDescent="0.45">
      <c r="A1132" s="95">
        <v>45692</v>
      </c>
      <c r="B1132" s="96">
        <v>8746</v>
      </c>
      <c r="C1132" s="7">
        <v>5169</v>
      </c>
      <c r="D1132" s="7">
        <f t="shared" si="125"/>
        <v>3577</v>
      </c>
      <c r="E1132" s="97">
        <v>3985</v>
      </c>
      <c r="F1132" s="7">
        <v>1635</v>
      </c>
      <c r="G1132" s="7">
        <f t="shared" si="126"/>
        <v>2350</v>
      </c>
      <c r="H1132" s="98">
        <f t="shared" si="124"/>
        <v>3900</v>
      </c>
      <c r="I1132" s="7">
        <v>3500</v>
      </c>
      <c r="J1132" s="7">
        <v>400</v>
      </c>
      <c r="K1132" s="99">
        <f t="shared" si="131"/>
        <v>16631</v>
      </c>
      <c r="L1132" s="7">
        <v>500</v>
      </c>
      <c r="M1132" s="7">
        <v>1000</v>
      </c>
      <c r="N1132" s="7">
        <v>7192</v>
      </c>
      <c r="O1132" s="7">
        <v>10300</v>
      </c>
      <c r="P1132" s="7">
        <v>9001.7613486315931</v>
      </c>
      <c r="Q1132" s="7">
        <v>-1063.7653486315917</v>
      </c>
      <c r="R1132" s="113">
        <f t="shared" si="127"/>
        <v>0.59101303453007092</v>
      </c>
      <c r="S1132" s="113">
        <f t="shared" si="128"/>
        <v>0.41028858218318698</v>
      </c>
      <c r="T1132" s="113">
        <f t="shared" si="129"/>
        <v>0.89743589743589747</v>
      </c>
      <c r="U1132" s="113">
        <f t="shared" si="130"/>
        <v>0.63291250471638516</v>
      </c>
    </row>
    <row r="1133" spans="1:21" x14ac:dyDescent="0.45">
      <c r="A1133" s="95">
        <v>45693</v>
      </c>
      <c r="B1133" s="96">
        <v>8746</v>
      </c>
      <c r="C1133" s="7">
        <v>5169</v>
      </c>
      <c r="D1133" s="7">
        <f t="shared" si="125"/>
        <v>3577</v>
      </c>
      <c r="E1133" s="97">
        <v>3985</v>
      </c>
      <c r="F1133" s="7">
        <v>1635</v>
      </c>
      <c r="G1133" s="7">
        <f t="shared" si="126"/>
        <v>2350</v>
      </c>
      <c r="H1133" s="98">
        <f t="shared" si="124"/>
        <v>3900</v>
      </c>
      <c r="I1133" s="7">
        <v>3500</v>
      </c>
      <c r="J1133" s="7">
        <v>400</v>
      </c>
      <c r="K1133" s="99">
        <f t="shared" si="131"/>
        <v>16631</v>
      </c>
      <c r="L1133" s="7">
        <v>500</v>
      </c>
      <c r="M1133" s="7">
        <v>1000</v>
      </c>
      <c r="N1133" s="7">
        <v>6730</v>
      </c>
      <c r="O1133" s="7">
        <v>10300</v>
      </c>
      <c r="P1133" s="7">
        <v>9001.7613486315931</v>
      </c>
      <c r="Q1133" s="7">
        <v>-842.20270785159221</v>
      </c>
      <c r="R1133" s="113">
        <f t="shared" si="127"/>
        <v>0.59101303453007092</v>
      </c>
      <c r="S1133" s="113">
        <f t="shared" si="128"/>
        <v>0.41028858218318698</v>
      </c>
      <c r="T1133" s="113">
        <f t="shared" si="129"/>
        <v>0.89743589743589747</v>
      </c>
      <c r="U1133" s="113">
        <f t="shared" si="130"/>
        <v>0.63291250471638516</v>
      </c>
    </row>
    <row r="1134" spans="1:21" x14ac:dyDescent="0.45">
      <c r="A1134" s="95">
        <v>45694</v>
      </c>
      <c r="B1134" s="96">
        <v>8746</v>
      </c>
      <c r="C1134" s="7">
        <v>5589</v>
      </c>
      <c r="D1134" s="7">
        <f t="shared" si="125"/>
        <v>3157</v>
      </c>
      <c r="E1134" s="97">
        <v>3985</v>
      </c>
      <c r="F1134" s="7">
        <v>1635</v>
      </c>
      <c r="G1134" s="7">
        <f t="shared" si="126"/>
        <v>2350</v>
      </c>
      <c r="H1134" s="98">
        <f t="shared" si="124"/>
        <v>3900</v>
      </c>
      <c r="I1134" s="7">
        <v>3500</v>
      </c>
      <c r="J1134" s="7">
        <v>400</v>
      </c>
      <c r="K1134" s="99">
        <f t="shared" si="131"/>
        <v>16631</v>
      </c>
      <c r="L1134" s="7">
        <v>500</v>
      </c>
      <c r="M1134" s="7">
        <v>1000</v>
      </c>
      <c r="N1134" s="7">
        <v>7150</v>
      </c>
      <c r="O1134" s="7">
        <v>10800</v>
      </c>
      <c r="P1134" s="7">
        <v>9001.7613486315931</v>
      </c>
      <c r="Q1134" s="7">
        <v>-1154.6343486315918</v>
      </c>
      <c r="R1134" s="113">
        <f t="shared" si="127"/>
        <v>0.63903498742282183</v>
      </c>
      <c r="S1134" s="113">
        <f t="shared" si="128"/>
        <v>0.41028858218318698</v>
      </c>
      <c r="T1134" s="113">
        <f t="shared" si="129"/>
        <v>0.89743589743589747</v>
      </c>
      <c r="U1134" s="113">
        <f t="shared" si="130"/>
        <v>0.64891982234730206</v>
      </c>
    </row>
    <row r="1135" spans="1:21" x14ac:dyDescent="0.45">
      <c r="A1135" s="95">
        <v>45695</v>
      </c>
      <c r="B1135" s="96">
        <v>8746</v>
      </c>
      <c r="C1135" s="7">
        <v>5589</v>
      </c>
      <c r="D1135" s="7">
        <f t="shared" si="125"/>
        <v>3157</v>
      </c>
      <c r="E1135" s="97">
        <v>3985</v>
      </c>
      <c r="F1135" s="7">
        <v>1635</v>
      </c>
      <c r="G1135" s="7">
        <f t="shared" si="126"/>
        <v>2350</v>
      </c>
      <c r="H1135" s="98">
        <f t="shared" si="124"/>
        <v>3900</v>
      </c>
      <c r="I1135" s="7">
        <v>3500</v>
      </c>
      <c r="J1135" s="7">
        <v>400</v>
      </c>
      <c r="K1135" s="99">
        <f t="shared" si="131"/>
        <v>16631</v>
      </c>
      <c r="L1135" s="7">
        <v>500</v>
      </c>
      <c r="M1135" s="7">
        <v>1000</v>
      </c>
      <c r="N1135" s="7">
        <v>7440</v>
      </c>
      <c r="O1135" s="7">
        <v>10765</v>
      </c>
      <c r="P1135" s="7">
        <v>9001.7613486315931</v>
      </c>
      <c r="Q1135" s="7">
        <v>-1272.797414151592</v>
      </c>
      <c r="R1135" s="113">
        <f t="shared" si="127"/>
        <v>0.63903498742282183</v>
      </c>
      <c r="S1135" s="113">
        <f t="shared" si="128"/>
        <v>0.41028858218318698</v>
      </c>
      <c r="T1135" s="113">
        <f t="shared" si="129"/>
        <v>0.89743589743589747</v>
      </c>
      <c r="U1135" s="113">
        <f t="shared" si="130"/>
        <v>0.64891982234730206</v>
      </c>
    </row>
    <row r="1136" spans="1:21" x14ac:dyDescent="0.45">
      <c r="A1136" s="95">
        <v>45696</v>
      </c>
      <c r="B1136" s="96">
        <v>8746</v>
      </c>
      <c r="C1136" s="7">
        <v>5589</v>
      </c>
      <c r="D1136" s="7">
        <f t="shared" si="125"/>
        <v>3157</v>
      </c>
      <c r="E1136" s="97">
        <v>3985</v>
      </c>
      <c r="F1136" s="7">
        <v>1635</v>
      </c>
      <c r="G1136" s="7">
        <f t="shared" si="126"/>
        <v>2350</v>
      </c>
      <c r="H1136" s="98">
        <f t="shared" si="124"/>
        <v>3900</v>
      </c>
      <c r="I1136" s="7">
        <v>3500</v>
      </c>
      <c r="J1136" s="7">
        <v>400</v>
      </c>
      <c r="K1136" s="99">
        <f t="shared" si="131"/>
        <v>16631</v>
      </c>
      <c r="L1136" s="7">
        <v>500</v>
      </c>
      <c r="M1136" s="7">
        <v>1000</v>
      </c>
      <c r="N1136" s="7">
        <v>7440</v>
      </c>
      <c r="O1136" s="7">
        <v>10765</v>
      </c>
      <c r="P1136" s="7">
        <v>9001.7613486315931</v>
      </c>
      <c r="Q1136" s="7">
        <v>-1272.797414151592</v>
      </c>
      <c r="R1136" s="113">
        <f t="shared" si="127"/>
        <v>0.63903498742282183</v>
      </c>
      <c r="S1136" s="113">
        <f t="shared" si="128"/>
        <v>0.41028858218318698</v>
      </c>
      <c r="T1136" s="113">
        <f t="shared" si="129"/>
        <v>0.89743589743589747</v>
      </c>
      <c r="U1136" s="113">
        <f t="shared" si="130"/>
        <v>0.64891982234730206</v>
      </c>
    </row>
    <row r="1137" spans="1:21" x14ac:dyDescent="0.45">
      <c r="A1137" s="95">
        <v>45697</v>
      </c>
      <c r="B1137" s="96">
        <v>8746</v>
      </c>
      <c r="C1137" s="7">
        <v>5589</v>
      </c>
      <c r="D1137" s="7">
        <f t="shared" si="125"/>
        <v>3157</v>
      </c>
      <c r="E1137" s="97">
        <v>3985</v>
      </c>
      <c r="F1137" s="7">
        <v>1635</v>
      </c>
      <c r="G1137" s="7">
        <f t="shared" si="126"/>
        <v>2350</v>
      </c>
      <c r="H1137" s="98">
        <f t="shared" si="124"/>
        <v>3900</v>
      </c>
      <c r="I1137" s="7">
        <v>3500</v>
      </c>
      <c r="J1137" s="7">
        <v>400</v>
      </c>
      <c r="K1137" s="99">
        <f t="shared" si="131"/>
        <v>16631</v>
      </c>
      <c r="L1137" s="7">
        <v>500</v>
      </c>
      <c r="M1137" s="7">
        <v>1000</v>
      </c>
      <c r="N1137" s="7">
        <v>7440</v>
      </c>
      <c r="O1137" s="7">
        <v>10765</v>
      </c>
      <c r="P1137" s="7">
        <v>9001.7613486315931</v>
      </c>
      <c r="Q1137" s="7">
        <v>-1272.797414151592</v>
      </c>
      <c r="R1137" s="113">
        <f t="shared" si="127"/>
        <v>0.63903498742282183</v>
      </c>
      <c r="S1137" s="113">
        <f t="shared" si="128"/>
        <v>0.41028858218318698</v>
      </c>
      <c r="T1137" s="113">
        <f t="shared" si="129"/>
        <v>0.89743589743589747</v>
      </c>
      <c r="U1137" s="113">
        <f t="shared" si="130"/>
        <v>0.64891982234730206</v>
      </c>
    </row>
    <row r="1138" spans="1:21" x14ac:dyDescent="0.45">
      <c r="A1138" s="95">
        <v>45698</v>
      </c>
      <c r="B1138" s="96">
        <v>8746</v>
      </c>
      <c r="C1138" s="7">
        <v>5589</v>
      </c>
      <c r="D1138" s="7">
        <f t="shared" si="125"/>
        <v>3157</v>
      </c>
      <c r="E1138" s="97">
        <v>3985</v>
      </c>
      <c r="F1138" s="7">
        <v>1635</v>
      </c>
      <c r="G1138" s="7">
        <f t="shared" si="126"/>
        <v>2350</v>
      </c>
      <c r="H1138" s="98">
        <f t="shared" si="124"/>
        <v>3900</v>
      </c>
      <c r="I1138" s="7">
        <v>3500</v>
      </c>
      <c r="J1138" s="7">
        <v>400</v>
      </c>
      <c r="K1138" s="99">
        <f t="shared" si="131"/>
        <v>16631</v>
      </c>
      <c r="L1138" s="7">
        <v>500</v>
      </c>
      <c r="M1138" s="7">
        <v>1000</v>
      </c>
      <c r="N1138" s="7">
        <v>7860</v>
      </c>
      <c r="O1138" s="7">
        <v>10735</v>
      </c>
      <c r="P1138" s="7">
        <v>9001.7613486315931</v>
      </c>
      <c r="Q1138" s="7">
        <v>-1141.2553862115915</v>
      </c>
      <c r="R1138" s="113">
        <f t="shared" si="127"/>
        <v>0.63903498742282183</v>
      </c>
      <c r="S1138" s="113">
        <f t="shared" si="128"/>
        <v>0.41028858218318698</v>
      </c>
      <c r="T1138" s="113">
        <f t="shared" si="129"/>
        <v>0.89743589743589747</v>
      </c>
      <c r="U1138" s="113">
        <f t="shared" si="130"/>
        <v>0.64891982234730206</v>
      </c>
    </row>
    <row r="1139" spans="1:21" x14ac:dyDescent="0.45">
      <c r="A1139" s="95">
        <v>45699</v>
      </c>
      <c r="B1139" s="96">
        <v>8746</v>
      </c>
      <c r="C1139" s="7">
        <v>5589</v>
      </c>
      <c r="D1139" s="7">
        <f t="shared" si="125"/>
        <v>3157</v>
      </c>
      <c r="E1139" s="97">
        <v>3985</v>
      </c>
      <c r="F1139" s="7">
        <v>1635</v>
      </c>
      <c r="G1139" s="7">
        <f t="shared" si="126"/>
        <v>2350</v>
      </c>
      <c r="H1139" s="98">
        <f t="shared" si="124"/>
        <v>3900</v>
      </c>
      <c r="I1139" s="7">
        <v>3500</v>
      </c>
      <c r="J1139" s="7">
        <v>400</v>
      </c>
      <c r="K1139" s="99">
        <f t="shared" si="131"/>
        <v>16631</v>
      </c>
      <c r="L1139" s="7">
        <v>500</v>
      </c>
      <c r="M1139" s="7">
        <v>1000</v>
      </c>
      <c r="N1139" s="7">
        <v>5920</v>
      </c>
      <c r="O1139" s="7">
        <v>10765</v>
      </c>
      <c r="P1139" s="7">
        <v>9001.7613486315931</v>
      </c>
      <c r="Q1139" s="7">
        <v>1527.6165455284081</v>
      </c>
      <c r="R1139" s="113">
        <f t="shared" si="127"/>
        <v>0.63903498742282183</v>
      </c>
      <c r="S1139" s="113">
        <f t="shared" si="128"/>
        <v>0.41028858218318698</v>
      </c>
      <c r="T1139" s="113">
        <f t="shared" si="129"/>
        <v>0.89743589743589747</v>
      </c>
      <c r="U1139" s="113">
        <f t="shared" si="130"/>
        <v>0.64891982234730206</v>
      </c>
    </row>
    <row r="1140" spans="1:21" x14ac:dyDescent="0.45">
      <c r="A1140" s="95">
        <v>45700</v>
      </c>
      <c r="B1140" s="96">
        <v>8746</v>
      </c>
      <c r="C1140" s="7">
        <v>5589</v>
      </c>
      <c r="D1140" s="7">
        <f t="shared" si="125"/>
        <v>3157</v>
      </c>
      <c r="E1140" s="97">
        <v>3985</v>
      </c>
      <c r="F1140" s="7">
        <v>1635</v>
      </c>
      <c r="G1140" s="7">
        <f t="shared" si="126"/>
        <v>2350</v>
      </c>
      <c r="H1140" s="98">
        <f t="shared" si="124"/>
        <v>3900</v>
      </c>
      <c r="I1140" s="7">
        <v>3500</v>
      </c>
      <c r="J1140" s="7">
        <v>400</v>
      </c>
      <c r="K1140" s="99">
        <f t="shared" si="131"/>
        <v>16631</v>
      </c>
      <c r="L1140" s="7">
        <v>500</v>
      </c>
      <c r="M1140" s="7">
        <v>1000</v>
      </c>
      <c r="N1140" s="7">
        <v>6020</v>
      </c>
      <c r="O1140" s="7">
        <v>10600</v>
      </c>
      <c r="P1140" s="7">
        <v>9001.7613486315931</v>
      </c>
      <c r="Q1140" s="7">
        <v>1458.5887110384083</v>
      </c>
      <c r="R1140" s="113">
        <f t="shared" si="127"/>
        <v>0.63903498742282183</v>
      </c>
      <c r="S1140" s="113">
        <f t="shared" si="128"/>
        <v>0.41028858218318698</v>
      </c>
      <c r="T1140" s="113">
        <f t="shared" si="129"/>
        <v>0.89743589743589747</v>
      </c>
      <c r="U1140" s="113">
        <f t="shared" si="130"/>
        <v>0.64891982234730206</v>
      </c>
    </row>
    <row r="1141" spans="1:21" x14ac:dyDescent="0.45">
      <c r="A1141" s="95">
        <v>45701</v>
      </c>
      <c r="B1141" s="96">
        <v>9747</v>
      </c>
      <c r="C1141" s="7">
        <v>6529</v>
      </c>
      <c r="D1141" s="7">
        <f t="shared" si="125"/>
        <v>3218</v>
      </c>
      <c r="E1141" s="97">
        <v>3985</v>
      </c>
      <c r="F1141" s="7">
        <v>1635</v>
      </c>
      <c r="G1141" s="7">
        <f t="shared" si="126"/>
        <v>2350</v>
      </c>
      <c r="H1141" s="98">
        <f t="shared" si="124"/>
        <v>3900</v>
      </c>
      <c r="I1141" s="7">
        <v>3500</v>
      </c>
      <c r="J1141" s="7">
        <v>400</v>
      </c>
      <c r="K1141" s="99">
        <f t="shared" si="131"/>
        <v>17632</v>
      </c>
      <c r="L1141" s="7">
        <v>500</v>
      </c>
      <c r="M1141" s="7">
        <v>500</v>
      </c>
      <c r="N1141" s="7">
        <v>7390</v>
      </c>
      <c r="O1141" s="7">
        <v>10100</v>
      </c>
      <c r="P1141" s="7">
        <v>9001.7613486315931</v>
      </c>
      <c r="Q1141" s="7">
        <v>-1690.3829545915912</v>
      </c>
      <c r="R1141" s="113">
        <f t="shared" si="127"/>
        <v>0.66984713245101057</v>
      </c>
      <c r="S1141" s="113">
        <f t="shared" si="128"/>
        <v>0.41028858218318698</v>
      </c>
      <c r="T1141" s="113">
        <f t="shared" si="129"/>
        <v>0.89743589743589747</v>
      </c>
      <c r="U1141" s="113">
        <f t="shared" si="130"/>
        <v>0.6591905373566983</v>
      </c>
    </row>
    <row r="1142" spans="1:21" x14ac:dyDescent="0.45">
      <c r="A1142" s="95">
        <v>45702</v>
      </c>
      <c r="B1142" s="96">
        <v>9747</v>
      </c>
      <c r="C1142" s="7">
        <v>6529</v>
      </c>
      <c r="D1142" s="7">
        <f t="shared" si="125"/>
        <v>3218</v>
      </c>
      <c r="E1142" s="97">
        <v>3985</v>
      </c>
      <c r="F1142" s="7">
        <v>1635</v>
      </c>
      <c r="G1142" s="7">
        <f t="shared" si="126"/>
        <v>2350</v>
      </c>
      <c r="H1142" s="98">
        <f t="shared" si="124"/>
        <v>3900</v>
      </c>
      <c r="I1142" s="7">
        <v>3500</v>
      </c>
      <c r="J1142" s="7">
        <v>400</v>
      </c>
      <c r="K1142" s="99">
        <f t="shared" si="131"/>
        <v>17632</v>
      </c>
      <c r="L1142" s="7">
        <v>500</v>
      </c>
      <c r="M1142" s="7">
        <v>500</v>
      </c>
      <c r="N1142" s="7">
        <v>6880</v>
      </c>
      <c r="O1142" s="7">
        <v>6850</v>
      </c>
      <c r="P1142" s="7">
        <v>9001.7613486315931</v>
      </c>
      <c r="Q1142" s="7">
        <v>1876.717736388408</v>
      </c>
      <c r="R1142" s="113">
        <f t="shared" si="127"/>
        <v>0.66984713245101057</v>
      </c>
      <c r="S1142" s="113">
        <f t="shared" si="128"/>
        <v>0.41028858218318698</v>
      </c>
      <c r="T1142" s="113">
        <f t="shared" si="129"/>
        <v>0.89743589743589747</v>
      </c>
      <c r="U1142" s="113">
        <f t="shared" si="130"/>
        <v>0.6591905373566983</v>
      </c>
    </row>
    <row r="1143" spans="1:21" x14ac:dyDescent="0.45">
      <c r="A1143" s="95">
        <v>45703</v>
      </c>
      <c r="B1143" s="96">
        <v>9747</v>
      </c>
      <c r="C1143" s="7">
        <v>6529</v>
      </c>
      <c r="D1143" s="7">
        <f t="shared" si="125"/>
        <v>3218</v>
      </c>
      <c r="E1143" s="97">
        <v>3985</v>
      </c>
      <c r="F1143" s="7">
        <v>1635</v>
      </c>
      <c r="G1143" s="7">
        <f t="shared" si="126"/>
        <v>2350</v>
      </c>
      <c r="H1143" s="98">
        <f t="shared" si="124"/>
        <v>3900</v>
      </c>
      <c r="I1143" s="7">
        <v>3500</v>
      </c>
      <c r="J1143" s="7">
        <v>400</v>
      </c>
      <c r="K1143" s="99">
        <f t="shared" si="131"/>
        <v>17632</v>
      </c>
      <c r="L1143" s="7">
        <v>500</v>
      </c>
      <c r="M1143" s="7">
        <v>500</v>
      </c>
      <c r="N1143" s="7">
        <v>6880</v>
      </c>
      <c r="O1143" s="7">
        <v>6850</v>
      </c>
      <c r="P1143" s="7">
        <v>9001.7613486315931</v>
      </c>
      <c r="Q1143" s="7">
        <v>1876.717736388408</v>
      </c>
      <c r="R1143" s="113">
        <f t="shared" si="127"/>
        <v>0.66984713245101057</v>
      </c>
      <c r="S1143" s="113">
        <f t="shared" si="128"/>
        <v>0.41028858218318698</v>
      </c>
      <c r="T1143" s="113">
        <f t="shared" si="129"/>
        <v>0.89743589743589747</v>
      </c>
      <c r="U1143" s="113">
        <f t="shared" si="130"/>
        <v>0.6591905373566983</v>
      </c>
    </row>
    <row r="1144" spans="1:21" x14ac:dyDescent="0.45">
      <c r="A1144" s="95">
        <v>45704</v>
      </c>
      <c r="B1144" s="96">
        <v>9747</v>
      </c>
      <c r="C1144" s="7">
        <v>6529</v>
      </c>
      <c r="D1144" s="7">
        <f t="shared" si="125"/>
        <v>3218</v>
      </c>
      <c r="E1144" s="97">
        <v>3985</v>
      </c>
      <c r="F1144" s="7">
        <v>1635</v>
      </c>
      <c r="G1144" s="7">
        <f t="shared" si="126"/>
        <v>2350</v>
      </c>
      <c r="H1144" s="98">
        <f t="shared" si="124"/>
        <v>3900</v>
      </c>
      <c r="I1144" s="7">
        <v>3500</v>
      </c>
      <c r="J1144" s="7">
        <v>400</v>
      </c>
      <c r="K1144" s="99">
        <f t="shared" si="131"/>
        <v>17632</v>
      </c>
      <c r="L1144" s="7">
        <v>500</v>
      </c>
      <c r="M1144" s="7">
        <v>500</v>
      </c>
      <c r="N1144" s="7">
        <v>6880</v>
      </c>
      <c r="O1144" s="7">
        <v>6850</v>
      </c>
      <c r="P1144" s="7">
        <v>9001.7613486315931</v>
      </c>
      <c r="Q1144" s="7">
        <v>1876.717736388408</v>
      </c>
      <c r="R1144" s="113">
        <f t="shared" si="127"/>
        <v>0.66984713245101057</v>
      </c>
      <c r="S1144" s="113">
        <f t="shared" si="128"/>
        <v>0.41028858218318698</v>
      </c>
      <c r="T1144" s="113">
        <f t="shared" si="129"/>
        <v>0.89743589743589747</v>
      </c>
      <c r="U1144" s="113">
        <f t="shared" si="130"/>
        <v>0.6591905373566983</v>
      </c>
    </row>
    <row r="1145" spans="1:21" x14ac:dyDescent="0.45">
      <c r="A1145" s="95">
        <v>45705</v>
      </c>
      <c r="B1145" s="96">
        <v>9747</v>
      </c>
      <c r="C1145" s="7">
        <v>6529</v>
      </c>
      <c r="D1145" s="7">
        <f t="shared" si="125"/>
        <v>3218</v>
      </c>
      <c r="E1145" s="97">
        <v>3985</v>
      </c>
      <c r="F1145" s="7">
        <v>1635</v>
      </c>
      <c r="G1145" s="7">
        <f t="shared" si="126"/>
        <v>2350</v>
      </c>
      <c r="H1145" s="98">
        <f t="shared" si="124"/>
        <v>3900</v>
      </c>
      <c r="I1145" s="7">
        <v>3500</v>
      </c>
      <c r="J1145" s="7">
        <v>400</v>
      </c>
      <c r="K1145" s="99">
        <f t="shared" si="131"/>
        <v>17632</v>
      </c>
      <c r="L1145" s="7">
        <v>500</v>
      </c>
      <c r="M1145" s="7">
        <v>500</v>
      </c>
      <c r="N1145" s="7">
        <v>4990</v>
      </c>
      <c r="O1145" s="7">
        <v>10080</v>
      </c>
      <c r="P1145" s="7">
        <v>9028.4887802279591</v>
      </c>
      <c r="Q1145" s="7">
        <v>434.29479403203879</v>
      </c>
      <c r="R1145" s="113">
        <f t="shared" si="127"/>
        <v>0.66984713245101057</v>
      </c>
      <c r="S1145" s="113">
        <f t="shared" si="128"/>
        <v>0.41028858218318698</v>
      </c>
      <c r="T1145" s="113">
        <f t="shared" si="129"/>
        <v>0.89743589743589747</v>
      </c>
      <c r="U1145" s="113">
        <f t="shared" si="130"/>
        <v>0.6591905373566983</v>
      </c>
    </row>
    <row r="1146" spans="1:21" x14ac:dyDescent="0.45">
      <c r="A1146" s="95">
        <v>45706</v>
      </c>
      <c r="B1146" s="96">
        <v>9747</v>
      </c>
      <c r="C1146" s="7">
        <v>6529</v>
      </c>
      <c r="D1146" s="7">
        <f t="shared" si="125"/>
        <v>3218</v>
      </c>
      <c r="E1146" s="97">
        <v>3985</v>
      </c>
      <c r="F1146" s="7">
        <v>1635</v>
      </c>
      <c r="G1146" s="7">
        <f t="shared" si="126"/>
        <v>2350</v>
      </c>
      <c r="H1146" s="98">
        <f t="shared" si="124"/>
        <v>3900</v>
      </c>
      <c r="I1146" s="7">
        <v>3500</v>
      </c>
      <c r="J1146" s="7">
        <v>400</v>
      </c>
      <c r="K1146" s="99">
        <f t="shared" si="131"/>
        <v>17632</v>
      </c>
      <c r="L1146" s="7">
        <v>500</v>
      </c>
      <c r="M1146" s="7">
        <v>500</v>
      </c>
      <c r="N1146" s="7">
        <v>6430</v>
      </c>
      <c r="O1146" s="7">
        <v>10000</v>
      </c>
      <c r="P1146" s="7">
        <v>9028.4887802279591</v>
      </c>
      <c r="Q1146" s="7">
        <v>-660.01562237796077</v>
      </c>
      <c r="R1146" s="113">
        <f t="shared" si="127"/>
        <v>0.66984713245101057</v>
      </c>
      <c r="S1146" s="113">
        <f t="shared" si="128"/>
        <v>0.41028858218318698</v>
      </c>
      <c r="T1146" s="113">
        <f t="shared" si="129"/>
        <v>0.89743589743589747</v>
      </c>
      <c r="U1146" s="113">
        <f t="shared" si="130"/>
        <v>0.6591905373566983</v>
      </c>
    </row>
    <row r="1147" spans="1:21" x14ac:dyDescent="0.45">
      <c r="A1147" s="95">
        <v>45707</v>
      </c>
      <c r="B1147" s="96">
        <v>9747</v>
      </c>
      <c r="C1147" s="7">
        <v>6529</v>
      </c>
      <c r="D1147" s="7">
        <f t="shared" si="125"/>
        <v>3218</v>
      </c>
      <c r="E1147" s="97">
        <v>3985</v>
      </c>
      <c r="F1147" s="7">
        <v>1635</v>
      </c>
      <c r="G1147" s="7">
        <f t="shared" si="126"/>
        <v>2350</v>
      </c>
      <c r="H1147" s="98">
        <f t="shared" si="124"/>
        <v>3900</v>
      </c>
      <c r="I1147" s="7">
        <v>3500</v>
      </c>
      <c r="J1147" s="7">
        <v>400</v>
      </c>
      <c r="K1147" s="99">
        <f t="shared" si="131"/>
        <v>17632</v>
      </c>
      <c r="L1147" s="7">
        <v>500</v>
      </c>
      <c r="M1147" s="7">
        <v>500</v>
      </c>
      <c r="N1147" s="7">
        <v>5760</v>
      </c>
      <c r="O1147" s="7">
        <v>10080</v>
      </c>
      <c r="P1147" s="7">
        <v>9028.4887802279591</v>
      </c>
      <c r="Q1147" s="7">
        <v>-687.83903384796065</v>
      </c>
      <c r="R1147" s="113">
        <f t="shared" si="127"/>
        <v>0.66984713245101057</v>
      </c>
      <c r="S1147" s="113">
        <f t="shared" si="128"/>
        <v>0.41028858218318698</v>
      </c>
      <c r="T1147" s="113">
        <f t="shared" si="129"/>
        <v>0.89743589743589747</v>
      </c>
      <c r="U1147" s="113">
        <f t="shared" si="130"/>
        <v>0.6591905373566983</v>
      </c>
    </row>
    <row r="1148" spans="1:21" x14ac:dyDescent="0.45">
      <c r="A1148" s="95">
        <v>45708</v>
      </c>
      <c r="B1148" s="96">
        <v>9745</v>
      </c>
      <c r="C1148" s="7">
        <v>6540</v>
      </c>
      <c r="D1148" s="7">
        <f t="shared" si="125"/>
        <v>3205</v>
      </c>
      <c r="E1148" s="97">
        <v>3985</v>
      </c>
      <c r="F1148" s="7">
        <v>1635</v>
      </c>
      <c r="G1148" s="7">
        <f t="shared" si="126"/>
        <v>2350</v>
      </c>
      <c r="H1148" s="98">
        <f t="shared" si="124"/>
        <v>3900</v>
      </c>
      <c r="I1148" s="7">
        <v>3500</v>
      </c>
      <c r="J1148" s="7">
        <v>400</v>
      </c>
      <c r="K1148" s="99">
        <f t="shared" si="131"/>
        <v>17630</v>
      </c>
      <c r="L1148" s="7">
        <v>500</v>
      </c>
      <c r="M1148" s="7">
        <v>500</v>
      </c>
      <c r="N1148" s="7">
        <v>6254</v>
      </c>
      <c r="O1148" s="7">
        <v>10500</v>
      </c>
      <c r="P1148" s="7">
        <v>9028.4887802279591</v>
      </c>
      <c r="Q1148" s="7">
        <v>-1012.9227802279606</v>
      </c>
      <c r="R1148" s="113">
        <f t="shared" si="127"/>
        <v>0.67111339148281168</v>
      </c>
      <c r="S1148" s="113">
        <f t="shared" si="128"/>
        <v>0.41028858218318698</v>
      </c>
      <c r="T1148" s="113">
        <f t="shared" si="129"/>
        <v>0.89743589743589747</v>
      </c>
      <c r="U1148" s="113">
        <f t="shared" si="130"/>
        <v>0.65961262370063201</v>
      </c>
    </row>
    <row r="1149" spans="1:21" x14ac:dyDescent="0.45">
      <c r="A1149" s="95">
        <v>45709</v>
      </c>
      <c r="B1149" s="96">
        <v>9745</v>
      </c>
      <c r="C1149" s="7">
        <v>6540</v>
      </c>
      <c r="D1149" s="7">
        <f t="shared" si="125"/>
        <v>3205</v>
      </c>
      <c r="E1149" s="97">
        <v>3985</v>
      </c>
      <c r="F1149" s="7">
        <v>1635</v>
      </c>
      <c r="G1149" s="7">
        <f t="shared" si="126"/>
        <v>2350</v>
      </c>
      <c r="H1149" s="98">
        <f t="shared" si="124"/>
        <v>3900</v>
      </c>
      <c r="I1149" s="7">
        <v>3500</v>
      </c>
      <c r="J1149" s="7">
        <v>400</v>
      </c>
      <c r="K1149" s="99">
        <f t="shared" si="131"/>
        <v>17630</v>
      </c>
      <c r="L1149" s="7">
        <v>500</v>
      </c>
      <c r="M1149" s="7">
        <v>0</v>
      </c>
      <c r="N1149" s="7">
        <v>6490</v>
      </c>
      <c r="O1149" s="7">
        <v>10500</v>
      </c>
      <c r="P1149" s="7">
        <v>9028.4887802279591</v>
      </c>
      <c r="Q1149" s="7">
        <v>-715.63449814796081</v>
      </c>
      <c r="R1149" s="113">
        <f t="shared" si="127"/>
        <v>0.67111339148281168</v>
      </c>
      <c r="S1149" s="113">
        <f t="shared" si="128"/>
        <v>0.41028858218318698</v>
      </c>
      <c r="T1149" s="113">
        <f t="shared" si="129"/>
        <v>0.89743589743589747</v>
      </c>
      <c r="U1149" s="113">
        <f t="shared" si="130"/>
        <v>0.65961262370063201</v>
      </c>
    </row>
    <row r="1150" spans="1:21" x14ac:dyDescent="0.45">
      <c r="A1150" s="95">
        <v>45710</v>
      </c>
      <c r="B1150" s="96">
        <v>9745</v>
      </c>
      <c r="C1150" s="7">
        <v>6540</v>
      </c>
      <c r="D1150" s="7">
        <f t="shared" si="125"/>
        <v>3205</v>
      </c>
      <c r="E1150" s="97">
        <v>3985</v>
      </c>
      <c r="F1150" s="7">
        <v>1635</v>
      </c>
      <c r="G1150" s="7">
        <f t="shared" si="126"/>
        <v>2350</v>
      </c>
      <c r="H1150" s="98">
        <f t="shared" si="124"/>
        <v>3900</v>
      </c>
      <c r="I1150" s="7">
        <v>3500</v>
      </c>
      <c r="J1150" s="7">
        <v>400</v>
      </c>
      <c r="K1150" s="99">
        <f t="shared" si="131"/>
        <v>17630</v>
      </c>
      <c r="L1150" s="7">
        <v>0</v>
      </c>
      <c r="M1150" s="7">
        <v>0</v>
      </c>
      <c r="N1150" s="7">
        <v>6490</v>
      </c>
      <c r="O1150" s="7">
        <v>10500</v>
      </c>
      <c r="P1150" s="7">
        <v>9028.4887802279591</v>
      </c>
      <c r="Q1150" s="7">
        <v>-715.63449814796081</v>
      </c>
      <c r="R1150" s="113">
        <f t="shared" si="127"/>
        <v>0.67111339148281168</v>
      </c>
      <c r="S1150" s="113">
        <f t="shared" si="128"/>
        <v>0.41028858218318698</v>
      </c>
      <c r="T1150" s="113">
        <f t="shared" si="129"/>
        <v>0.89743589743589747</v>
      </c>
      <c r="U1150" s="113">
        <f t="shared" si="130"/>
        <v>0.65961262370063201</v>
      </c>
    </row>
    <row r="1151" spans="1:21" x14ac:dyDescent="0.45">
      <c r="A1151" s="95">
        <v>45711</v>
      </c>
      <c r="B1151" s="96">
        <v>9745</v>
      </c>
      <c r="C1151" s="7">
        <v>6540</v>
      </c>
      <c r="D1151" s="7">
        <f t="shared" si="125"/>
        <v>3205</v>
      </c>
      <c r="E1151" s="97">
        <v>3985</v>
      </c>
      <c r="F1151" s="7">
        <v>1635</v>
      </c>
      <c r="G1151" s="7">
        <f t="shared" si="126"/>
        <v>2350</v>
      </c>
      <c r="H1151" s="98">
        <f t="shared" ref="H1151:H1214" si="132">I1151+J1151</f>
        <v>3900</v>
      </c>
      <c r="I1151" s="7">
        <v>3500</v>
      </c>
      <c r="J1151" s="7">
        <v>400</v>
      </c>
      <c r="K1151" s="99">
        <f t="shared" si="131"/>
        <v>17630</v>
      </c>
      <c r="L1151" s="7">
        <v>0</v>
      </c>
      <c r="M1151" s="7">
        <v>0</v>
      </c>
      <c r="N1151" s="7">
        <v>6490</v>
      </c>
      <c r="O1151" s="7">
        <v>10500</v>
      </c>
      <c r="P1151" s="7">
        <v>9028.4887802279591</v>
      </c>
      <c r="Q1151" s="7">
        <v>-715.63449814796081</v>
      </c>
      <c r="R1151" s="113">
        <f t="shared" si="127"/>
        <v>0.67111339148281168</v>
      </c>
      <c r="S1151" s="113">
        <f t="shared" si="128"/>
        <v>0.41028858218318698</v>
      </c>
      <c r="T1151" s="113">
        <f t="shared" si="129"/>
        <v>0.89743589743589747</v>
      </c>
      <c r="U1151" s="113">
        <f t="shared" si="130"/>
        <v>0.65961262370063201</v>
      </c>
    </row>
    <row r="1152" spans="1:21" x14ac:dyDescent="0.45">
      <c r="A1152" s="95">
        <v>45712</v>
      </c>
      <c r="B1152" s="96">
        <v>9745</v>
      </c>
      <c r="C1152" s="7">
        <v>6540</v>
      </c>
      <c r="D1152" s="7">
        <f t="shared" si="125"/>
        <v>3205</v>
      </c>
      <c r="E1152" s="97">
        <v>3985</v>
      </c>
      <c r="F1152" s="7">
        <v>1635</v>
      </c>
      <c r="G1152" s="7">
        <f t="shared" si="126"/>
        <v>2350</v>
      </c>
      <c r="H1152" s="98">
        <f t="shared" si="132"/>
        <v>3900</v>
      </c>
      <c r="I1152" s="7">
        <v>3500</v>
      </c>
      <c r="J1152" s="7">
        <v>400</v>
      </c>
      <c r="K1152" s="99">
        <f t="shared" si="131"/>
        <v>17630</v>
      </c>
      <c r="L1152" s="7">
        <v>0</v>
      </c>
      <c r="M1152" s="7">
        <v>0</v>
      </c>
      <c r="N1152" s="7">
        <v>6880</v>
      </c>
      <c r="O1152" s="7">
        <v>10500</v>
      </c>
      <c r="P1152" s="7">
        <v>9028.4887802279591</v>
      </c>
      <c r="Q1152" s="7">
        <v>109.62921977203911</v>
      </c>
      <c r="R1152" s="113">
        <f t="shared" si="127"/>
        <v>0.67111339148281168</v>
      </c>
      <c r="S1152" s="113">
        <f t="shared" si="128"/>
        <v>0.41028858218318698</v>
      </c>
      <c r="T1152" s="113">
        <f t="shared" si="129"/>
        <v>0.89743589743589747</v>
      </c>
      <c r="U1152" s="113">
        <f t="shared" si="130"/>
        <v>0.65961262370063201</v>
      </c>
    </row>
    <row r="1153" spans="1:21" x14ac:dyDescent="0.45">
      <c r="A1153" s="95">
        <v>45713</v>
      </c>
      <c r="B1153" s="96">
        <v>9745</v>
      </c>
      <c r="C1153" s="7">
        <v>6540</v>
      </c>
      <c r="D1153" s="7">
        <f t="shared" si="125"/>
        <v>3205</v>
      </c>
      <c r="E1153" s="97">
        <v>3985</v>
      </c>
      <c r="F1153" s="7">
        <v>1635</v>
      </c>
      <c r="G1153" s="7">
        <f t="shared" si="126"/>
        <v>2350</v>
      </c>
      <c r="H1153" s="98">
        <f t="shared" si="132"/>
        <v>3900</v>
      </c>
      <c r="I1153" s="7">
        <v>3500</v>
      </c>
      <c r="J1153" s="7">
        <v>400</v>
      </c>
      <c r="K1153" s="99">
        <f t="shared" si="131"/>
        <v>17630</v>
      </c>
      <c r="L1153" s="7">
        <v>0</v>
      </c>
      <c r="M1153" s="7">
        <v>0</v>
      </c>
      <c r="N1153" s="7">
        <v>7775</v>
      </c>
      <c r="O1153" s="7">
        <v>10620</v>
      </c>
      <c r="P1153" s="7">
        <v>9028.4887802279591</v>
      </c>
      <c r="Q1153" s="7">
        <v>-443.37180747796072</v>
      </c>
      <c r="R1153" s="113">
        <f t="shared" si="127"/>
        <v>0.67111339148281168</v>
      </c>
      <c r="S1153" s="113">
        <f t="shared" si="128"/>
        <v>0.41028858218318698</v>
      </c>
      <c r="T1153" s="113">
        <f t="shared" si="129"/>
        <v>0.89743589743589747</v>
      </c>
      <c r="U1153" s="113">
        <f t="shared" si="130"/>
        <v>0.65961262370063201</v>
      </c>
    </row>
    <row r="1154" spans="1:21" x14ac:dyDescent="0.45">
      <c r="A1154" s="95">
        <v>45714</v>
      </c>
      <c r="B1154" s="96">
        <v>9745</v>
      </c>
      <c r="C1154" s="7">
        <v>6540</v>
      </c>
      <c r="D1154" s="7">
        <f t="shared" ref="D1154:D1187" si="133">B1154-C1154</f>
        <v>3205</v>
      </c>
      <c r="E1154" s="97">
        <v>3985</v>
      </c>
      <c r="F1154" s="7">
        <v>1635</v>
      </c>
      <c r="G1154" s="7">
        <f t="shared" ref="G1154:G1217" si="134">E1154-F1154</f>
        <v>2350</v>
      </c>
      <c r="H1154" s="98">
        <f t="shared" si="132"/>
        <v>3900</v>
      </c>
      <c r="I1154" s="7">
        <v>3500</v>
      </c>
      <c r="J1154" s="7">
        <v>400</v>
      </c>
      <c r="K1154" s="99">
        <f t="shared" si="131"/>
        <v>17630</v>
      </c>
      <c r="L1154" s="7">
        <v>0</v>
      </c>
      <c r="M1154" s="7">
        <v>0</v>
      </c>
      <c r="N1154" s="7">
        <v>8060</v>
      </c>
      <c r="O1154" s="7">
        <v>10950</v>
      </c>
      <c r="P1154" s="7">
        <v>9028.4887802279591</v>
      </c>
      <c r="Q1154" s="7">
        <v>-751.08321788796093</v>
      </c>
      <c r="R1154" s="113">
        <f t="shared" si="127"/>
        <v>0.67111339148281168</v>
      </c>
      <c r="S1154" s="113">
        <f t="shared" si="128"/>
        <v>0.41028858218318698</v>
      </c>
      <c r="T1154" s="113">
        <f t="shared" si="129"/>
        <v>0.89743589743589747</v>
      </c>
      <c r="U1154" s="113">
        <f t="shared" si="130"/>
        <v>0.65961262370063201</v>
      </c>
    </row>
    <row r="1155" spans="1:21" x14ac:dyDescent="0.45">
      <c r="A1155" s="95">
        <v>45715</v>
      </c>
      <c r="B1155" s="96">
        <v>10781</v>
      </c>
      <c r="C1155" s="7">
        <v>7576</v>
      </c>
      <c r="D1155" s="7">
        <f t="shared" si="133"/>
        <v>3205</v>
      </c>
      <c r="E1155" s="97">
        <v>4085</v>
      </c>
      <c r="F1155" s="7">
        <v>1523</v>
      </c>
      <c r="G1155" s="7">
        <f t="shared" si="134"/>
        <v>2562</v>
      </c>
      <c r="H1155" s="98">
        <f t="shared" si="132"/>
        <v>3900</v>
      </c>
      <c r="I1155" s="7">
        <v>3500</v>
      </c>
      <c r="J1155" s="7">
        <v>400</v>
      </c>
      <c r="K1155" s="99">
        <f t="shared" si="131"/>
        <v>18766</v>
      </c>
      <c r="L1155" s="7">
        <v>0</v>
      </c>
      <c r="M1155" s="7">
        <v>0</v>
      </c>
      <c r="N1155" s="7">
        <v>7615</v>
      </c>
      <c r="O1155" s="7">
        <v>10850</v>
      </c>
      <c r="P1155" s="7">
        <v>9028.4887802279591</v>
      </c>
      <c r="Q1155" s="7">
        <v>-1234.3707802279607</v>
      </c>
      <c r="R1155" s="113">
        <f t="shared" ref="R1155:R1218" si="135">C1155/B1155</f>
        <v>0.70271774417957522</v>
      </c>
      <c r="S1155" s="113">
        <f t="shared" ref="S1155:S1218" si="136">F1155/E1155</f>
        <v>0.37282741738066094</v>
      </c>
      <c r="T1155" s="113">
        <f t="shared" ref="T1155:T1218" si="137">IF(H1155=0,0,I1155/H1155)</f>
        <v>0.89743589743589747</v>
      </c>
      <c r="U1155" s="113">
        <f t="shared" ref="U1155:U1218" si="138">AVERAGE(R1155:T1155)</f>
        <v>0.65766035299871117</v>
      </c>
    </row>
    <row r="1156" spans="1:21" x14ac:dyDescent="0.45">
      <c r="A1156" s="95">
        <v>45716</v>
      </c>
      <c r="B1156" s="96">
        <v>10781</v>
      </c>
      <c r="C1156" s="7">
        <v>7576</v>
      </c>
      <c r="D1156" s="7">
        <f t="shared" si="133"/>
        <v>3205</v>
      </c>
      <c r="E1156" s="97">
        <v>4085</v>
      </c>
      <c r="F1156" s="7">
        <v>1423</v>
      </c>
      <c r="G1156" s="7">
        <f t="shared" si="134"/>
        <v>2662</v>
      </c>
      <c r="H1156" s="98">
        <f t="shared" si="132"/>
        <v>3900</v>
      </c>
      <c r="I1156" s="7">
        <v>3500</v>
      </c>
      <c r="J1156" s="7">
        <v>400</v>
      </c>
      <c r="K1156" s="99">
        <f t="shared" ref="K1156:K1219" si="139">B1156+E1156+H1156</f>
        <v>18766</v>
      </c>
      <c r="L1156" s="7">
        <v>0</v>
      </c>
      <c r="M1156" s="7">
        <v>0</v>
      </c>
      <c r="N1156" s="7">
        <v>7340</v>
      </c>
      <c r="O1156" s="7">
        <v>10950</v>
      </c>
      <c r="P1156" s="7">
        <v>9028.4887802279591</v>
      </c>
      <c r="Q1156" s="7">
        <v>-764.90055755796106</v>
      </c>
      <c r="R1156" s="113">
        <f t="shared" si="135"/>
        <v>0.70271774417957522</v>
      </c>
      <c r="S1156" s="113">
        <f t="shared" si="136"/>
        <v>0.34834761321909424</v>
      </c>
      <c r="T1156" s="113">
        <f t="shared" si="137"/>
        <v>0.89743589743589747</v>
      </c>
      <c r="U1156" s="113">
        <f t="shared" si="138"/>
        <v>0.64950041827818905</v>
      </c>
    </row>
    <row r="1157" spans="1:21" x14ac:dyDescent="0.45">
      <c r="A1157" s="95">
        <v>45717</v>
      </c>
      <c r="B1157" s="96">
        <v>10781</v>
      </c>
      <c r="C1157" s="7">
        <v>7576</v>
      </c>
      <c r="D1157" s="7">
        <f t="shared" si="133"/>
        <v>3205</v>
      </c>
      <c r="E1157" s="97">
        <v>4085</v>
      </c>
      <c r="F1157" s="7">
        <v>1423</v>
      </c>
      <c r="G1157" s="7">
        <f t="shared" si="134"/>
        <v>2662</v>
      </c>
      <c r="H1157" s="98">
        <f t="shared" si="132"/>
        <v>3900</v>
      </c>
      <c r="I1157" s="7">
        <v>3500</v>
      </c>
      <c r="J1157" s="7">
        <v>400</v>
      </c>
      <c r="K1157" s="99">
        <f t="shared" si="139"/>
        <v>18766</v>
      </c>
      <c r="L1157" s="7">
        <v>0</v>
      </c>
      <c r="M1157" s="7">
        <v>0</v>
      </c>
      <c r="N1157" s="7">
        <v>7340</v>
      </c>
      <c r="O1157" s="7">
        <v>10950</v>
      </c>
      <c r="P1157" s="7">
        <v>9028.4887802279591</v>
      </c>
      <c r="Q1157" s="7">
        <v>-764.90055755796106</v>
      </c>
      <c r="R1157" s="113">
        <f t="shared" si="135"/>
        <v>0.70271774417957522</v>
      </c>
      <c r="S1157" s="113">
        <f t="shared" si="136"/>
        <v>0.34834761321909424</v>
      </c>
      <c r="T1157" s="113">
        <f t="shared" si="137"/>
        <v>0.89743589743589747</v>
      </c>
      <c r="U1157" s="113">
        <f t="shared" si="138"/>
        <v>0.64950041827818905</v>
      </c>
    </row>
    <row r="1158" spans="1:21" x14ac:dyDescent="0.45">
      <c r="A1158" s="95">
        <v>45718</v>
      </c>
      <c r="B1158" s="96">
        <v>10781</v>
      </c>
      <c r="C1158" s="7">
        <v>7576</v>
      </c>
      <c r="D1158" s="7">
        <f t="shared" si="133"/>
        <v>3205</v>
      </c>
      <c r="E1158" s="97">
        <v>4085</v>
      </c>
      <c r="F1158" s="7">
        <v>1423</v>
      </c>
      <c r="G1158" s="7">
        <f t="shared" si="134"/>
        <v>2662</v>
      </c>
      <c r="H1158" s="98">
        <f t="shared" si="132"/>
        <v>3900</v>
      </c>
      <c r="I1158" s="7">
        <v>3500</v>
      </c>
      <c r="J1158" s="7">
        <v>400</v>
      </c>
      <c r="K1158" s="99">
        <f t="shared" si="139"/>
        <v>18766</v>
      </c>
      <c r="L1158" s="7">
        <v>0</v>
      </c>
      <c r="M1158" s="7">
        <v>0</v>
      </c>
      <c r="N1158" s="7">
        <v>7340</v>
      </c>
      <c r="O1158" s="7">
        <v>10950</v>
      </c>
      <c r="P1158" s="7">
        <v>9028.4887802279591</v>
      </c>
      <c r="Q1158" s="7">
        <v>-764.90055755796106</v>
      </c>
      <c r="R1158" s="113">
        <f t="shared" si="135"/>
        <v>0.70271774417957522</v>
      </c>
      <c r="S1158" s="113">
        <f t="shared" si="136"/>
        <v>0.34834761321909424</v>
      </c>
      <c r="T1158" s="113">
        <f t="shared" si="137"/>
        <v>0.89743589743589747</v>
      </c>
      <c r="U1158" s="113">
        <f t="shared" si="138"/>
        <v>0.64950041827818905</v>
      </c>
    </row>
    <row r="1159" spans="1:21" x14ac:dyDescent="0.45">
      <c r="A1159" s="95">
        <v>45719</v>
      </c>
      <c r="B1159" s="96">
        <v>10781</v>
      </c>
      <c r="C1159" s="7">
        <v>7576</v>
      </c>
      <c r="D1159" s="7">
        <f t="shared" si="133"/>
        <v>3205</v>
      </c>
      <c r="E1159" s="97">
        <v>4085</v>
      </c>
      <c r="F1159" s="7">
        <v>1423</v>
      </c>
      <c r="G1159" s="7">
        <f t="shared" si="134"/>
        <v>2662</v>
      </c>
      <c r="H1159" s="98">
        <f t="shared" si="132"/>
        <v>3900</v>
      </c>
      <c r="I1159" s="7">
        <v>3500</v>
      </c>
      <c r="J1159" s="7">
        <v>400</v>
      </c>
      <c r="K1159" s="99">
        <f t="shared" si="139"/>
        <v>18766</v>
      </c>
      <c r="L1159" s="7">
        <v>0</v>
      </c>
      <c r="M1159" s="7">
        <v>0</v>
      </c>
      <c r="N1159" s="7">
        <v>7716</v>
      </c>
      <c r="O1159" s="7">
        <v>10950</v>
      </c>
      <c r="P1159" s="7">
        <v>9028.4887802279591</v>
      </c>
      <c r="Q1159" s="7">
        <v>-1274.6746514479614</v>
      </c>
      <c r="R1159" s="113">
        <f t="shared" si="135"/>
        <v>0.70271774417957522</v>
      </c>
      <c r="S1159" s="113">
        <f t="shared" si="136"/>
        <v>0.34834761321909424</v>
      </c>
      <c r="T1159" s="113">
        <f t="shared" si="137"/>
        <v>0.89743589743589747</v>
      </c>
      <c r="U1159" s="113">
        <f t="shared" si="138"/>
        <v>0.64950041827818905</v>
      </c>
    </row>
    <row r="1160" spans="1:21" x14ac:dyDescent="0.45">
      <c r="A1160" s="95">
        <v>45720</v>
      </c>
      <c r="B1160" s="96">
        <v>10781</v>
      </c>
      <c r="C1160" s="7">
        <v>7576</v>
      </c>
      <c r="D1160" s="7">
        <f t="shared" si="133"/>
        <v>3205</v>
      </c>
      <c r="E1160" s="97">
        <v>4085</v>
      </c>
      <c r="F1160" s="7">
        <v>1423</v>
      </c>
      <c r="G1160" s="7">
        <f t="shared" si="134"/>
        <v>2662</v>
      </c>
      <c r="H1160" s="98">
        <f t="shared" si="132"/>
        <v>3900</v>
      </c>
      <c r="I1160" s="7">
        <v>3500</v>
      </c>
      <c r="J1160" s="7">
        <v>400</v>
      </c>
      <c r="K1160" s="99">
        <f t="shared" si="139"/>
        <v>18766</v>
      </c>
      <c r="L1160" s="7">
        <v>0</v>
      </c>
      <c r="M1160" s="7">
        <v>0</v>
      </c>
      <c r="N1160" s="7">
        <v>7920</v>
      </c>
      <c r="O1160" s="7">
        <v>10950</v>
      </c>
      <c r="P1160" s="7">
        <v>9028.4887802279591</v>
      </c>
      <c r="Q1160" s="7">
        <v>-1531.5897802279608</v>
      </c>
      <c r="R1160" s="113">
        <f t="shared" si="135"/>
        <v>0.70271774417957522</v>
      </c>
      <c r="S1160" s="113">
        <f t="shared" si="136"/>
        <v>0.34834761321909424</v>
      </c>
      <c r="T1160" s="113">
        <f t="shared" si="137"/>
        <v>0.89743589743589747</v>
      </c>
      <c r="U1160" s="113">
        <f t="shared" si="138"/>
        <v>0.64950041827818905</v>
      </c>
    </row>
    <row r="1161" spans="1:21" x14ac:dyDescent="0.45">
      <c r="A1161" s="95">
        <v>45721</v>
      </c>
      <c r="B1161" s="96">
        <v>10781</v>
      </c>
      <c r="C1161" s="7">
        <v>7576</v>
      </c>
      <c r="D1161" s="7">
        <f t="shared" si="133"/>
        <v>3205</v>
      </c>
      <c r="E1161" s="97">
        <v>4085</v>
      </c>
      <c r="F1161" s="7">
        <v>1423</v>
      </c>
      <c r="G1161" s="7">
        <f t="shared" si="134"/>
        <v>2662</v>
      </c>
      <c r="H1161" s="98">
        <f t="shared" si="132"/>
        <v>3900</v>
      </c>
      <c r="I1161" s="7">
        <v>3500</v>
      </c>
      <c r="J1161" s="7">
        <v>400</v>
      </c>
      <c r="K1161" s="99">
        <f t="shared" si="139"/>
        <v>18766</v>
      </c>
      <c r="L1161" s="7">
        <v>0</v>
      </c>
      <c r="M1161" s="7">
        <v>0</v>
      </c>
      <c r="N1161" s="7">
        <v>7890</v>
      </c>
      <c r="O1161" s="7">
        <v>10950</v>
      </c>
      <c r="P1161" s="7">
        <v>9028.4887802279591</v>
      </c>
      <c r="Q1161" s="7">
        <v>-1902.3485959279612</v>
      </c>
      <c r="R1161" s="113">
        <f t="shared" si="135"/>
        <v>0.70271774417957522</v>
      </c>
      <c r="S1161" s="113">
        <f t="shared" si="136"/>
        <v>0.34834761321909424</v>
      </c>
      <c r="T1161" s="113">
        <f t="shared" si="137"/>
        <v>0.89743589743589747</v>
      </c>
      <c r="U1161" s="113">
        <f t="shared" si="138"/>
        <v>0.64950041827818905</v>
      </c>
    </row>
    <row r="1162" spans="1:21" x14ac:dyDescent="0.45">
      <c r="A1162" s="95">
        <v>45722</v>
      </c>
      <c r="B1162" s="96">
        <v>10781</v>
      </c>
      <c r="C1162" s="7">
        <v>7576</v>
      </c>
      <c r="D1162" s="7">
        <f t="shared" si="133"/>
        <v>3205</v>
      </c>
      <c r="E1162" s="97">
        <v>4085</v>
      </c>
      <c r="F1162" s="7">
        <v>1423</v>
      </c>
      <c r="G1162" s="7">
        <f t="shared" si="134"/>
        <v>2662</v>
      </c>
      <c r="H1162" s="98">
        <f t="shared" si="132"/>
        <v>3900</v>
      </c>
      <c r="I1162" s="7">
        <v>3500</v>
      </c>
      <c r="J1162" s="7">
        <v>400</v>
      </c>
      <c r="K1162" s="99">
        <f t="shared" si="139"/>
        <v>18766</v>
      </c>
      <c r="L1162" s="7">
        <v>0</v>
      </c>
      <c r="M1162" s="7">
        <v>0</v>
      </c>
      <c r="N1162" s="7">
        <v>7730</v>
      </c>
      <c r="O1162" s="7">
        <v>10800</v>
      </c>
      <c r="P1162" s="7">
        <v>9028.4887802279591</v>
      </c>
      <c r="Q1162" s="7">
        <v>-1807.0585105179607</v>
      </c>
      <c r="R1162" s="113">
        <f t="shared" si="135"/>
        <v>0.70271774417957522</v>
      </c>
      <c r="S1162" s="113">
        <f t="shared" si="136"/>
        <v>0.34834761321909424</v>
      </c>
      <c r="T1162" s="113">
        <f t="shared" si="137"/>
        <v>0.89743589743589747</v>
      </c>
      <c r="U1162" s="113">
        <f t="shared" si="138"/>
        <v>0.64950041827818905</v>
      </c>
    </row>
    <row r="1163" spans="1:21" x14ac:dyDescent="0.45">
      <c r="A1163" s="95">
        <v>45723</v>
      </c>
      <c r="B1163" s="96">
        <v>10781</v>
      </c>
      <c r="C1163" s="7">
        <v>7576</v>
      </c>
      <c r="D1163" s="7">
        <f t="shared" si="133"/>
        <v>3205</v>
      </c>
      <c r="E1163" s="97">
        <v>4085</v>
      </c>
      <c r="F1163" s="7">
        <v>1423</v>
      </c>
      <c r="G1163" s="7">
        <f t="shared" si="134"/>
        <v>2662</v>
      </c>
      <c r="H1163" s="98">
        <f t="shared" si="132"/>
        <v>3900</v>
      </c>
      <c r="I1163" s="7">
        <v>3500</v>
      </c>
      <c r="J1163" s="7">
        <v>400</v>
      </c>
      <c r="K1163" s="99">
        <f t="shared" si="139"/>
        <v>18766</v>
      </c>
      <c r="L1163" s="7">
        <v>0</v>
      </c>
      <c r="M1163" s="7">
        <v>0</v>
      </c>
      <c r="N1163" s="7">
        <v>7830</v>
      </c>
      <c r="O1163" s="7">
        <v>10900</v>
      </c>
      <c r="P1163" s="7">
        <v>9028.4887802279591</v>
      </c>
      <c r="Q1163" s="7">
        <v>-2141.9520650579607</v>
      </c>
      <c r="R1163" s="113">
        <f t="shared" si="135"/>
        <v>0.70271774417957522</v>
      </c>
      <c r="S1163" s="113">
        <f t="shared" si="136"/>
        <v>0.34834761321909424</v>
      </c>
      <c r="T1163" s="113">
        <f t="shared" si="137"/>
        <v>0.89743589743589747</v>
      </c>
      <c r="U1163" s="113">
        <f t="shared" si="138"/>
        <v>0.64950041827818905</v>
      </c>
    </row>
    <row r="1164" spans="1:21" x14ac:dyDescent="0.45">
      <c r="A1164" s="95">
        <v>45724</v>
      </c>
      <c r="B1164" s="96">
        <v>10781</v>
      </c>
      <c r="C1164" s="7">
        <v>7576</v>
      </c>
      <c r="D1164" s="7">
        <f t="shared" si="133"/>
        <v>3205</v>
      </c>
      <c r="E1164" s="97">
        <v>4085</v>
      </c>
      <c r="F1164" s="7">
        <v>1423</v>
      </c>
      <c r="G1164" s="7">
        <f t="shared" si="134"/>
        <v>2662</v>
      </c>
      <c r="H1164" s="98">
        <f t="shared" si="132"/>
        <v>3900</v>
      </c>
      <c r="I1164" s="7">
        <v>3500</v>
      </c>
      <c r="J1164" s="7">
        <v>400</v>
      </c>
      <c r="K1164" s="99">
        <f t="shared" si="139"/>
        <v>18766</v>
      </c>
      <c r="L1164" s="7">
        <v>0</v>
      </c>
      <c r="M1164" s="7">
        <v>0</v>
      </c>
      <c r="N1164" s="7">
        <v>7830</v>
      </c>
      <c r="O1164" s="7">
        <v>10900</v>
      </c>
      <c r="P1164" s="7">
        <v>9028.4887802279591</v>
      </c>
      <c r="Q1164" s="7">
        <v>-2141.9520650579607</v>
      </c>
      <c r="R1164" s="113">
        <f t="shared" si="135"/>
        <v>0.70271774417957522</v>
      </c>
      <c r="S1164" s="113">
        <f t="shared" si="136"/>
        <v>0.34834761321909424</v>
      </c>
      <c r="T1164" s="113">
        <f t="shared" si="137"/>
        <v>0.89743589743589747</v>
      </c>
      <c r="U1164" s="113">
        <f t="shared" si="138"/>
        <v>0.64950041827818905</v>
      </c>
    </row>
    <row r="1165" spans="1:21" x14ac:dyDescent="0.45">
      <c r="A1165" s="95">
        <v>45725</v>
      </c>
      <c r="B1165" s="96">
        <v>10781</v>
      </c>
      <c r="C1165" s="7">
        <v>7576</v>
      </c>
      <c r="D1165" s="7">
        <f t="shared" si="133"/>
        <v>3205</v>
      </c>
      <c r="E1165" s="97">
        <v>4085</v>
      </c>
      <c r="F1165" s="7">
        <v>1423</v>
      </c>
      <c r="G1165" s="7">
        <f t="shared" si="134"/>
        <v>2662</v>
      </c>
      <c r="H1165" s="98">
        <f t="shared" si="132"/>
        <v>3900</v>
      </c>
      <c r="I1165" s="7">
        <v>3500</v>
      </c>
      <c r="J1165" s="7">
        <v>400</v>
      </c>
      <c r="K1165" s="99">
        <f t="shared" si="139"/>
        <v>18766</v>
      </c>
      <c r="L1165" s="7">
        <v>0</v>
      </c>
      <c r="M1165" s="7">
        <v>0</v>
      </c>
      <c r="N1165" s="7">
        <v>7830</v>
      </c>
      <c r="O1165" s="7">
        <v>10900</v>
      </c>
      <c r="P1165" s="7">
        <v>9028.4887802279591</v>
      </c>
      <c r="Q1165" s="7">
        <v>-2141.9520650579607</v>
      </c>
      <c r="R1165" s="113">
        <f t="shared" si="135"/>
        <v>0.70271774417957522</v>
      </c>
      <c r="S1165" s="113">
        <f t="shared" si="136"/>
        <v>0.34834761321909424</v>
      </c>
      <c r="T1165" s="113">
        <f t="shared" si="137"/>
        <v>0.89743589743589747</v>
      </c>
      <c r="U1165" s="113">
        <f t="shared" si="138"/>
        <v>0.64950041827818905</v>
      </c>
    </row>
    <row r="1166" spans="1:21" x14ac:dyDescent="0.45">
      <c r="A1166" s="95">
        <v>45726</v>
      </c>
      <c r="B1166" s="96">
        <v>10781</v>
      </c>
      <c r="C1166" s="7">
        <v>7576</v>
      </c>
      <c r="D1166" s="7">
        <f t="shared" si="133"/>
        <v>3205</v>
      </c>
      <c r="E1166" s="97">
        <v>4085</v>
      </c>
      <c r="F1166" s="7">
        <v>1423</v>
      </c>
      <c r="G1166" s="7">
        <f t="shared" si="134"/>
        <v>2662</v>
      </c>
      <c r="H1166" s="98">
        <f t="shared" si="132"/>
        <v>3900</v>
      </c>
      <c r="I1166" s="7">
        <v>3500</v>
      </c>
      <c r="J1166" s="7">
        <v>400</v>
      </c>
      <c r="K1166" s="99">
        <f t="shared" si="139"/>
        <v>18766</v>
      </c>
      <c r="L1166" s="7">
        <v>0</v>
      </c>
      <c r="M1166" s="7">
        <v>0</v>
      </c>
      <c r="N1166" s="7">
        <v>8170</v>
      </c>
      <c r="O1166" s="7">
        <v>10750</v>
      </c>
      <c r="P1166" s="7">
        <v>9028.4887802279591</v>
      </c>
      <c r="Q1166" s="7">
        <v>-1674.8027802279607</v>
      </c>
      <c r="R1166" s="113">
        <f t="shared" si="135"/>
        <v>0.70271774417957522</v>
      </c>
      <c r="S1166" s="113">
        <f t="shared" si="136"/>
        <v>0.34834761321909424</v>
      </c>
      <c r="T1166" s="113">
        <f t="shared" si="137"/>
        <v>0.89743589743589747</v>
      </c>
      <c r="U1166" s="113">
        <f t="shared" si="138"/>
        <v>0.64950041827818905</v>
      </c>
    </row>
    <row r="1167" spans="1:21" x14ac:dyDescent="0.45">
      <c r="A1167" s="95">
        <v>45727</v>
      </c>
      <c r="B1167" s="96">
        <v>10781</v>
      </c>
      <c r="C1167" s="7">
        <v>7576</v>
      </c>
      <c r="D1167" s="7">
        <f t="shared" si="133"/>
        <v>3205</v>
      </c>
      <c r="E1167" s="97">
        <v>4085</v>
      </c>
      <c r="F1167" s="7">
        <v>1423</v>
      </c>
      <c r="G1167" s="7">
        <f t="shared" si="134"/>
        <v>2662</v>
      </c>
      <c r="H1167" s="98">
        <f t="shared" si="132"/>
        <v>3900</v>
      </c>
      <c r="I1167" s="7">
        <v>3500</v>
      </c>
      <c r="J1167" s="7">
        <v>400</v>
      </c>
      <c r="K1167" s="99">
        <f t="shared" si="139"/>
        <v>18766</v>
      </c>
      <c r="L1167" s="7">
        <v>0</v>
      </c>
      <c r="M1167" s="7">
        <v>0</v>
      </c>
      <c r="N1167" s="7">
        <v>8320</v>
      </c>
      <c r="O1167" s="7">
        <v>10750</v>
      </c>
      <c r="P1167" s="7">
        <v>9028.4887802279591</v>
      </c>
      <c r="Q1167" s="7">
        <v>-1696.3266696379605</v>
      </c>
      <c r="R1167" s="113">
        <f t="shared" si="135"/>
        <v>0.70271774417957522</v>
      </c>
      <c r="S1167" s="113">
        <f t="shared" si="136"/>
        <v>0.34834761321909424</v>
      </c>
      <c r="T1167" s="113">
        <f t="shared" si="137"/>
        <v>0.89743589743589747</v>
      </c>
      <c r="U1167" s="113">
        <f t="shared" si="138"/>
        <v>0.64950041827818905</v>
      </c>
    </row>
    <row r="1168" spans="1:21" x14ac:dyDescent="0.45">
      <c r="A1168" s="95">
        <v>45728</v>
      </c>
      <c r="B1168" s="96">
        <v>10781</v>
      </c>
      <c r="C1168" s="7">
        <v>7576</v>
      </c>
      <c r="D1168" s="7">
        <f t="shared" si="133"/>
        <v>3205</v>
      </c>
      <c r="E1168" s="97">
        <v>4085</v>
      </c>
      <c r="F1168" s="7">
        <v>1423</v>
      </c>
      <c r="G1168" s="7">
        <f t="shared" si="134"/>
        <v>2662</v>
      </c>
      <c r="H1168" s="98">
        <f t="shared" si="132"/>
        <v>3900</v>
      </c>
      <c r="I1168" s="7">
        <v>3500</v>
      </c>
      <c r="J1168" s="7">
        <v>400</v>
      </c>
      <c r="K1168" s="99">
        <f t="shared" si="139"/>
        <v>18766</v>
      </c>
      <c r="L1168" s="7">
        <v>0</v>
      </c>
      <c r="M1168" s="7">
        <v>0</v>
      </c>
      <c r="N1168" s="7">
        <v>7990</v>
      </c>
      <c r="O1168" s="7">
        <v>9650</v>
      </c>
      <c r="P1168" s="7">
        <v>9028.4887802279591</v>
      </c>
      <c r="Q1168" s="7">
        <v>-756.77878022796074</v>
      </c>
      <c r="R1168" s="113">
        <f t="shared" si="135"/>
        <v>0.70271774417957522</v>
      </c>
      <c r="S1168" s="113">
        <f t="shared" si="136"/>
        <v>0.34834761321909424</v>
      </c>
      <c r="T1168" s="113">
        <f t="shared" si="137"/>
        <v>0.89743589743589747</v>
      </c>
      <c r="U1168" s="113">
        <f t="shared" si="138"/>
        <v>0.64950041827818905</v>
      </c>
    </row>
    <row r="1169" spans="1:21" x14ac:dyDescent="0.45">
      <c r="A1169" s="95">
        <v>45729</v>
      </c>
      <c r="B1169" s="96">
        <v>10781</v>
      </c>
      <c r="C1169" s="7">
        <v>7876</v>
      </c>
      <c r="D1169" s="7">
        <f t="shared" si="133"/>
        <v>2905</v>
      </c>
      <c r="E1169" s="97">
        <v>4085</v>
      </c>
      <c r="F1169" s="7">
        <v>1423</v>
      </c>
      <c r="G1169" s="7">
        <f t="shared" si="134"/>
        <v>2662</v>
      </c>
      <c r="H1169" s="98">
        <f t="shared" si="132"/>
        <v>5560</v>
      </c>
      <c r="I1169" s="7">
        <v>4260</v>
      </c>
      <c r="J1169" s="7">
        <v>1300</v>
      </c>
      <c r="K1169" s="99">
        <f t="shared" si="139"/>
        <v>20426</v>
      </c>
      <c r="L1169" s="7">
        <v>0</v>
      </c>
      <c r="M1169" s="7">
        <v>0</v>
      </c>
      <c r="N1169" s="7">
        <v>7267</v>
      </c>
      <c r="O1169" s="7">
        <v>9700</v>
      </c>
      <c r="P1169" s="7">
        <v>9028.4887802279591</v>
      </c>
      <c r="Q1169" s="7">
        <v>-952.92878022796117</v>
      </c>
      <c r="R1169" s="113">
        <f t="shared" si="135"/>
        <v>0.7305444763936555</v>
      </c>
      <c r="S1169" s="113">
        <f t="shared" si="136"/>
        <v>0.34834761321909424</v>
      </c>
      <c r="T1169" s="113">
        <f t="shared" si="137"/>
        <v>0.76618705035971224</v>
      </c>
      <c r="U1169" s="113">
        <f t="shared" si="138"/>
        <v>0.61502637999082077</v>
      </c>
    </row>
    <row r="1170" spans="1:21" x14ac:dyDescent="0.45">
      <c r="A1170" s="95">
        <v>45730</v>
      </c>
      <c r="B1170" s="96">
        <v>10781</v>
      </c>
      <c r="C1170" s="7">
        <v>7876</v>
      </c>
      <c r="D1170" s="7">
        <f t="shared" si="133"/>
        <v>2905</v>
      </c>
      <c r="E1170" s="97">
        <v>4085</v>
      </c>
      <c r="F1170" s="7">
        <v>1423</v>
      </c>
      <c r="G1170" s="7">
        <f t="shared" si="134"/>
        <v>2662</v>
      </c>
      <c r="H1170" s="98">
        <f t="shared" si="132"/>
        <v>5560</v>
      </c>
      <c r="I1170" s="7">
        <v>4260</v>
      </c>
      <c r="J1170" s="7">
        <v>1300</v>
      </c>
      <c r="K1170" s="99">
        <f t="shared" si="139"/>
        <v>20426</v>
      </c>
      <c r="L1170" s="7">
        <v>0</v>
      </c>
      <c r="M1170" s="7">
        <v>0</v>
      </c>
      <c r="N1170" s="7">
        <v>6870</v>
      </c>
      <c r="O1170" s="7">
        <v>2270</v>
      </c>
      <c r="P1170" s="7">
        <v>9028.4887802279591</v>
      </c>
      <c r="Q1170" s="7">
        <v>7408.0212197720384</v>
      </c>
      <c r="R1170" s="113">
        <f t="shared" si="135"/>
        <v>0.7305444763936555</v>
      </c>
      <c r="S1170" s="113">
        <f t="shared" si="136"/>
        <v>0.34834761321909424</v>
      </c>
      <c r="T1170" s="113">
        <f t="shared" si="137"/>
        <v>0.76618705035971224</v>
      </c>
      <c r="U1170" s="113">
        <f t="shared" si="138"/>
        <v>0.61502637999082077</v>
      </c>
    </row>
    <row r="1171" spans="1:21" x14ac:dyDescent="0.45">
      <c r="A1171" s="95">
        <v>45731</v>
      </c>
      <c r="B1171" s="96">
        <v>10781</v>
      </c>
      <c r="C1171" s="7">
        <v>7876</v>
      </c>
      <c r="D1171" s="7">
        <f t="shared" si="133"/>
        <v>2905</v>
      </c>
      <c r="E1171" s="97">
        <v>4085</v>
      </c>
      <c r="F1171" s="7">
        <v>1423</v>
      </c>
      <c r="G1171" s="7">
        <f t="shared" si="134"/>
        <v>2662</v>
      </c>
      <c r="H1171" s="98">
        <f t="shared" si="132"/>
        <v>5560</v>
      </c>
      <c r="I1171" s="7">
        <v>4260</v>
      </c>
      <c r="J1171" s="7">
        <v>1300</v>
      </c>
      <c r="K1171" s="99">
        <f t="shared" si="139"/>
        <v>20426</v>
      </c>
      <c r="L1171" s="7">
        <v>0</v>
      </c>
      <c r="M1171" s="7">
        <v>0</v>
      </c>
      <c r="N1171" s="7">
        <v>6870</v>
      </c>
      <c r="O1171" s="7">
        <v>2270</v>
      </c>
      <c r="P1171" s="7">
        <v>9028.4887802279591</v>
      </c>
      <c r="Q1171" s="7">
        <v>7408.0212197720384</v>
      </c>
      <c r="R1171" s="113">
        <f t="shared" si="135"/>
        <v>0.7305444763936555</v>
      </c>
      <c r="S1171" s="113">
        <f t="shared" si="136"/>
        <v>0.34834761321909424</v>
      </c>
      <c r="T1171" s="113">
        <f t="shared" si="137"/>
        <v>0.76618705035971224</v>
      </c>
      <c r="U1171" s="113">
        <f t="shared" si="138"/>
        <v>0.61502637999082077</v>
      </c>
    </row>
    <row r="1172" spans="1:21" x14ac:dyDescent="0.45">
      <c r="A1172" s="95">
        <v>45732</v>
      </c>
      <c r="B1172" s="96">
        <v>10781</v>
      </c>
      <c r="C1172" s="7">
        <v>7876</v>
      </c>
      <c r="D1172" s="7">
        <f t="shared" si="133"/>
        <v>2905</v>
      </c>
      <c r="E1172" s="97">
        <v>4085</v>
      </c>
      <c r="F1172" s="7">
        <v>1423</v>
      </c>
      <c r="G1172" s="7">
        <f t="shared" si="134"/>
        <v>2662</v>
      </c>
      <c r="H1172" s="98">
        <f t="shared" si="132"/>
        <v>5560</v>
      </c>
      <c r="I1172" s="7">
        <v>4260</v>
      </c>
      <c r="J1172" s="7">
        <v>1300</v>
      </c>
      <c r="K1172" s="99">
        <f t="shared" si="139"/>
        <v>20426</v>
      </c>
      <c r="L1172" s="7">
        <v>0</v>
      </c>
      <c r="M1172" s="7">
        <v>0</v>
      </c>
      <c r="N1172" s="7">
        <v>6870</v>
      </c>
      <c r="O1172" s="7">
        <v>2270</v>
      </c>
      <c r="P1172" s="7">
        <v>9028.4887802279591</v>
      </c>
      <c r="Q1172" s="7">
        <v>7408.0212197720384</v>
      </c>
      <c r="R1172" s="113">
        <f t="shared" si="135"/>
        <v>0.7305444763936555</v>
      </c>
      <c r="S1172" s="113">
        <f t="shared" si="136"/>
        <v>0.34834761321909424</v>
      </c>
      <c r="T1172" s="113">
        <f t="shared" si="137"/>
        <v>0.76618705035971224</v>
      </c>
      <c r="U1172" s="113">
        <f t="shared" si="138"/>
        <v>0.61502637999082077</v>
      </c>
    </row>
    <row r="1173" spans="1:21" x14ac:dyDescent="0.45">
      <c r="A1173" s="95">
        <v>45733</v>
      </c>
      <c r="B1173" s="96">
        <v>10781</v>
      </c>
      <c r="C1173" s="7">
        <v>7876</v>
      </c>
      <c r="D1173" s="7">
        <f t="shared" si="133"/>
        <v>2905</v>
      </c>
      <c r="E1173" s="97">
        <v>4085</v>
      </c>
      <c r="F1173" s="7">
        <v>1423</v>
      </c>
      <c r="G1173" s="7">
        <f t="shared" si="134"/>
        <v>2662</v>
      </c>
      <c r="H1173" s="98">
        <f t="shared" si="132"/>
        <v>5560</v>
      </c>
      <c r="I1173" s="7">
        <v>4260</v>
      </c>
      <c r="J1173" s="7">
        <v>1300</v>
      </c>
      <c r="K1173" s="99">
        <f t="shared" si="139"/>
        <v>20426</v>
      </c>
      <c r="L1173" s="7">
        <v>0</v>
      </c>
      <c r="M1173" s="7">
        <v>0</v>
      </c>
      <c r="N1173" s="7">
        <v>6810</v>
      </c>
      <c r="O1173" s="7">
        <v>10770</v>
      </c>
      <c r="P1173" s="7">
        <v>9175.9400000000023</v>
      </c>
      <c r="Q1173" s="7">
        <v>-1385.7299999999996</v>
      </c>
      <c r="R1173" s="113">
        <f t="shared" si="135"/>
        <v>0.7305444763936555</v>
      </c>
      <c r="S1173" s="113">
        <f t="shared" si="136"/>
        <v>0.34834761321909424</v>
      </c>
      <c r="T1173" s="113">
        <f t="shared" si="137"/>
        <v>0.76618705035971224</v>
      </c>
      <c r="U1173" s="113">
        <f t="shared" si="138"/>
        <v>0.61502637999082077</v>
      </c>
    </row>
    <row r="1174" spans="1:21" x14ac:dyDescent="0.45">
      <c r="A1174" s="95">
        <v>45734</v>
      </c>
      <c r="B1174" s="96">
        <v>10781</v>
      </c>
      <c r="C1174" s="7">
        <v>7876</v>
      </c>
      <c r="D1174" s="7">
        <f t="shared" si="133"/>
        <v>2905</v>
      </c>
      <c r="E1174" s="97">
        <v>4085</v>
      </c>
      <c r="F1174" s="7">
        <v>1423</v>
      </c>
      <c r="G1174" s="7">
        <f t="shared" si="134"/>
        <v>2662</v>
      </c>
      <c r="H1174" s="98">
        <f t="shared" si="132"/>
        <v>5560</v>
      </c>
      <c r="I1174" s="7">
        <v>4260</v>
      </c>
      <c r="J1174" s="7">
        <v>1300</v>
      </c>
      <c r="K1174" s="99">
        <f t="shared" si="139"/>
        <v>20426</v>
      </c>
      <c r="L1174" s="7">
        <v>0</v>
      </c>
      <c r="M1174" s="7">
        <v>0</v>
      </c>
      <c r="N1174" s="7">
        <v>6680</v>
      </c>
      <c r="O1174" s="7">
        <v>10770</v>
      </c>
      <c r="P1174" s="7">
        <v>9175.9400000000023</v>
      </c>
      <c r="Q1174" s="7">
        <v>-706.37999999999977</v>
      </c>
      <c r="R1174" s="113">
        <f t="shared" si="135"/>
        <v>0.7305444763936555</v>
      </c>
      <c r="S1174" s="113">
        <f t="shared" si="136"/>
        <v>0.34834761321909424</v>
      </c>
      <c r="T1174" s="113">
        <f t="shared" si="137"/>
        <v>0.76618705035971224</v>
      </c>
      <c r="U1174" s="113">
        <f t="shared" si="138"/>
        <v>0.61502637999082077</v>
      </c>
    </row>
    <row r="1175" spans="1:21" x14ac:dyDescent="0.45">
      <c r="A1175" s="95">
        <v>45735</v>
      </c>
      <c r="B1175" s="96">
        <v>10781</v>
      </c>
      <c r="C1175" s="7">
        <v>7876</v>
      </c>
      <c r="D1175" s="7">
        <f t="shared" si="133"/>
        <v>2905</v>
      </c>
      <c r="E1175" s="97">
        <v>4085</v>
      </c>
      <c r="F1175" s="7">
        <v>1423</v>
      </c>
      <c r="G1175" s="7">
        <f t="shared" si="134"/>
        <v>2662</v>
      </c>
      <c r="H1175" s="98">
        <f t="shared" si="132"/>
        <v>5560</v>
      </c>
      <c r="I1175" s="7">
        <v>4260</v>
      </c>
      <c r="J1175" s="7">
        <v>1300</v>
      </c>
      <c r="K1175" s="99">
        <f t="shared" si="139"/>
        <v>20426</v>
      </c>
      <c r="L1175" s="7">
        <v>0</v>
      </c>
      <c r="M1175" s="7">
        <v>0</v>
      </c>
      <c r="N1175" s="7">
        <v>6670</v>
      </c>
      <c r="O1175" s="7">
        <v>10770</v>
      </c>
      <c r="P1175" s="7">
        <v>9175.9400000000023</v>
      </c>
      <c r="Q1175" s="7">
        <v>-1357.4799999999998</v>
      </c>
      <c r="R1175" s="113">
        <f t="shared" si="135"/>
        <v>0.7305444763936555</v>
      </c>
      <c r="S1175" s="113">
        <f t="shared" si="136"/>
        <v>0.34834761321909424</v>
      </c>
      <c r="T1175" s="113">
        <f t="shared" si="137"/>
        <v>0.76618705035971224</v>
      </c>
      <c r="U1175" s="113">
        <f t="shared" si="138"/>
        <v>0.61502637999082077</v>
      </c>
    </row>
    <row r="1176" spans="1:21" x14ac:dyDescent="0.45">
      <c r="A1176" s="95">
        <v>45736</v>
      </c>
      <c r="B1176" s="96">
        <v>10781</v>
      </c>
      <c r="C1176" s="7">
        <v>7796</v>
      </c>
      <c r="D1176" s="7">
        <f t="shared" si="133"/>
        <v>2985</v>
      </c>
      <c r="E1176" s="97">
        <v>4085</v>
      </c>
      <c r="F1176" s="7">
        <v>1423</v>
      </c>
      <c r="G1176" s="7">
        <f t="shared" si="134"/>
        <v>2662</v>
      </c>
      <c r="H1176" s="98">
        <f t="shared" si="132"/>
        <v>5660</v>
      </c>
      <c r="I1176" s="7">
        <v>4360</v>
      </c>
      <c r="J1176" s="7">
        <v>1300</v>
      </c>
      <c r="K1176" s="99">
        <f t="shared" si="139"/>
        <v>20526</v>
      </c>
      <c r="L1176" s="7">
        <v>0</v>
      </c>
      <c r="M1176" s="7">
        <v>0</v>
      </c>
      <c r="N1176" s="7">
        <v>7340</v>
      </c>
      <c r="O1176" s="7">
        <v>9770</v>
      </c>
      <c r="P1176" s="7">
        <v>9175.9400000000023</v>
      </c>
      <c r="Q1176" s="7">
        <v>-595.38</v>
      </c>
      <c r="R1176" s="113">
        <f t="shared" si="135"/>
        <v>0.72312401446990071</v>
      </c>
      <c r="S1176" s="113">
        <f t="shared" si="136"/>
        <v>0.34834761321909424</v>
      </c>
      <c r="T1176" s="113">
        <f t="shared" si="137"/>
        <v>0.77031802120141346</v>
      </c>
      <c r="U1176" s="113">
        <f t="shared" si="138"/>
        <v>0.61392988296346951</v>
      </c>
    </row>
    <row r="1177" spans="1:21" x14ac:dyDescent="0.45">
      <c r="A1177" s="95">
        <v>45737</v>
      </c>
      <c r="B1177" s="96">
        <v>10781</v>
      </c>
      <c r="C1177" s="7">
        <v>7796</v>
      </c>
      <c r="D1177" s="7">
        <f t="shared" si="133"/>
        <v>2985</v>
      </c>
      <c r="E1177" s="97">
        <v>4085</v>
      </c>
      <c r="F1177" s="7">
        <v>1423</v>
      </c>
      <c r="G1177" s="7">
        <f t="shared" si="134"/>
        <v>2662</v>
      </c>
      <c r="H1177" s="98">
        <f t="shared" si="132"/>
        <v>5660</v>
      </c>
      <c r="I1177" s="7">
        <v>4360</v>
      </c>
      <c r="J1177" s="7">
        <v>1300</v>
      </c>
      <c r="K1177" s="99">
        <f t="shared" si="139"/>
        <v>20526</v>
      </c>
      <c r="L1177" s="7">
        <v>0</v>
      </c>
      <c r="M1177" s="7">
        <v>0</v>
      </c>
      <c r="N1177" s="7">
        <v>6960</v>
      </c>
      <c r="O1177" s="7">
        <v>9770</v>
      </c>
      <c r="P1177" s="7">
        <v>9175.9400000000023</v>
      </c>
      <c r="Q1177" s="7">
        <v>306.98000000000013</v>
      </c>
      <c r="R1177" s="113">
        <f t="shared" si="135"/>
        <v>0.72312401446990071</v>
      </c>
      <c r="S1177" s="113">
        <f t="shared" si="136"/>
        <v>0.34834761321909424</v>
      </c>
      <c r="T1177" s="113">
        <f t="shared" si="137"/>
        <v>0.77031802120141346</v>
      </c>
      <c r="U1177" s="113">
        <f t="shared" si="138"/>
        <v>0.61392988296346951</v>
      </c>
    </row>
    <row r="1178" spans="1:21" x14ac:dyDescent="0.45">
      <c r="A1178" s="95">
        <v>45738</v>
      </c>
      <c r="B1178" s="96">
        <v>10781</v>
      </c>
      <c r="C1178" s="7">
        <v>7796</v>
      </c>
      <c r="D1178" s="7">
        <f t="shared" si="133"/>
        <v>2985</v>
      </c>
      <c r="E1178" s="97">
        <v>4085</v>
      </c>
      <c r="F1178" s="7">
        <v>1423</v>
      </c>
      <c r="G1178" s="7">
        <f t="shared" si="134"/>
        <v>2662</v>
      </c>
      <c r="H1178" s="98">
        <f t="shared" si="132"/>
        <v>5660</v>
      </c>
      <c r="I1178" s="7">
        <v>4360</v>
      </c>
      <c r="J1178" s="7">
        <v>1300</v>
      </c>
      <c r="K1178" s="99">
        <f t="shared" si="139"/>
        <v>20526</v>
      </c>
      <c r="L1178" s="7">
        <v>0</v>
      </c>
      <c r="M1178" s="7">
        <v>0</v>
      </c>
      <c r="N1178" s="7">
        <v>6960</v>
      </c>
      <c r="O1178" s="7">
        <v>9770</v>
      </c>
      <c r="P1178" s="7">
        <v>9175.9400000000023</v>
      </c>
      <c r="Q1178" s="7">
        <v>306.98000000000013</v>
      </c>
      <c r="R1178" s="113">
        <f t="shared" si="135"/>
        <v>0.72312401446990071</v>
      </c>
      <c r="S1178" s="113">
        <f t="shared" si="136"/>
        <v>0.34834761321909424</v>
      </c>
      <c r="T1178" s="113">
        <f t="shared" si="137"/>
        <v>0.77031802120141346</v>
      </c>
      <c r="U1178" s="113">
        <f t="shared" si="138"/>
        <v>0.61392988296346951</v>
      </c>
    </row>
    <row r="1179" spans="1:21" x14ac:dyDescent="0.45">
      <c r="A1179" s="95">
        <v>45739</v>
      </c>
      <c r="B1179" s="96">
        <v>10781</v>
      </c>
      <c r="C1179" s="7">
        <v>7796</v>
      </c>
      <c r="D1179" s="7">
        <f t="shared" si="133"/>
        <v>2985</v>
      </c>
      <c r="E1179" s="97">
        <v>4085</v>
      </c>
      <c r="F1179" s="7">
        <v>1423</v>
      </c>
      <c r="G1179" s="7">
        <f t="shared" si="134"/>
        <v>2662</v>
      </c>
      <c r="H1179" s="98">
        <f t="shared" si="132"/>
        <v>5660</v>
      </c>
      <c r="I1179" s="7">
        <v>4360</v>
      </c>
      <c r="J1179" s="7">
        <v>1300</v>
      </c>
      <c r="K1179" s="99">
        <f t="shared" si="139"/>
        <v>20526</v>
      </c>
      <c r="L1179" s="7">
        <v>0</v>
      </c>
      <c r="M1179" s="7">
        <v>0</v>
      </c>
      <c r="N1179" s="7">
        <v>6960</v>
      </c>
      <c r="O1179" s="7">
        <v>9770</v>
      </c>
      <c r="P1179" s="7">
        <v>9175.9400000000023</v>
      </c>
      <c r="Q1179" s="7">
        <v>306.98000000000013</v>
      </c>
      <c r="R1179" s="113">
        <f t="shared" si="135"/>
        <v>0.72312401446990071</v>
      </c>
      <c r="S1179" s="113">
        <f t="shared" si="136"/>
        <v>0.34834761321909424</v>
      </c>
      <c r="T1179" s="113">
        <f t="shared" si="137"/>
        <v>0.77031802120141346</v>
      </c>
      <c r="U1179" s="113">
        <f t="shared" si="138"/>
        <v>0.61392988296346951</v>
      </c>
    </row>
    <row r="1180" spans="1:21" x14ac:dyDescent="0.45">
      <c r="A1180" s="95">
        <v>45740</v>
      </c>
      <c r="B1180" s="96">
        <v>10781</v>
      </c>
      <c r="C1180" s="7">
        <v>7796</v>
      </c>
      <c r="D1180" s="7">
        <f t="shared" si="133"/>
        <v>2985</v>
      </c>
      <c r="E1180" s="97">
        <v>4085</v>
      </c>
      <c r="F1180" s="7">
        <v>1423</v>
      </c>
      <c r="G1180" s="7">
        <f t="shared" si="134"/>
        <v>2662</v>
      </c>
      <c r="H1180" s="98">
        <f t="shared" si="132"/>
        <v>5660</v>
      </c>
      <c r="I1180" s="7">
        <v>4360</v>
      </c>
      <c r="J1180" s="7">
        <v>1300</v>
      </c>
      <c r="K1180" s="99">
        <f t="shared" si="139"/>
        <v>20526</v>
      </c>
      <c r="L1180" s="7">
        <v>0</v>
      </c>
      <c r="M1180" s="7">
        <v>0</v>
      </c>
      <c r="N1180" s="7">
        <v>7320</v>
      </c>
      <c r="O1180" s="7">
        <v>9800</v>
      </c>
      <c r="P1180" s="7">
        <v>9175.9400000000023</v>
      </c>
      <c r="Q1180" s="7">
        <v>245.93000000000052</v>
      </c>
      <c r="R1180" s="113">
        <f t="shared" si="135"/>
        <v>0.72312401446990071</v>
      </c>
      <c r="S1180" s="113">
        <f t="shared" si="136"/>
        <v>0.34834761321909424</v>
      </c>
      <c r="T1180" s="113">
        <f t="shared" si="137"/>
        <v>0.77031802120141346</v>
      </c>
      <c r="U1180" s="113">
        <f t="shared" si="138"/>
        <v>0.61392988296346951</v>
      </c>
    </row>
    <row r="1181" spans="1:21" x14ac:dyDescent="0.45">
      <c r="A1181" s="95">
        <v>45741</v>
      </c>
      <c r="B1181" s="96">
        <v>10781</v>
      </c>
      <c r="C1181" s="7">
        <v>7796</v>
      </c>
      <c r="D1181" s="7">
        <f t="shared" si="133"/>
        <v>2985</v>
      </c>
      <c r="E1181" s="97">
        <v>4085</v>
      </c>
      <c r="F1181" s="7">
        <v>1423</v>
      </c>
      <c r="G1181" s="7">
        <f t="shared" si="134"/>
        <v>2662</v>
      </c>
      <c r="H1181" s="98">
        <f t="shared" si="132"/>
        <v>5660</v>
      </c>
      <c r="I1181" s="7">
        <v>4360</v>
      </c>
      <c r="J1181" s="7">
        <v>1300</v>
      </c>
      <c r="K1181" s="99">
        <f t="shared" si="139"/>
        <v>20526</v>
      </c>
      <c r="L1181" s="7">
        <v>0</v>
      </c>
      <c r="M1181" s="7">
        <v>0</v>
      </c>
      <c r="N1181" s="7">
        <v>7022</v>
      </c>
      <c r="O1181" s="7">
        <v>9780</v>
      </c>
      <c r="P1181" s="7">
        <v>9175.9400000000023</v>
      </c>
      <c r="Q1181" s="7">
        <v>1381.1000000000004</v>
      </c>
      <c r="R1181" s="113">
        <f t="shared" si="135"/>
        <v>0.72312401446990071</v>
      </c>
      <c r="S1181" s="113">
        <f t="shared" si="136"/>
        <v>0.34834761321909424</v>
      </c>
      <c r="T1181" s="113">
        <f t="shared" si="137"/>
        <v>0.77031802120141346</v>
      </c>
      <c r="U1181" s="113">
        <f t="shared" si="138"/>
        <v>0.61392988296346951</v>
      </c>
    </row>
    <row r="1182" spans="1:21" x14ac:dyDescent="0.45">
      <c r="A1182" s="95">
        <v>45742</v>
      </c>
      <c r="B1182" s="96">
        <v>10781</v>
      </c>
      <c r="C1182" s="7">
        <v>7796</v>
      </c>
      <c r="D1182" s="7">
        <f t="shared" si="133"/>
        <v>2985</v>
      </c>
      <c r="E1182" s="97">
        <v>4085</v>
      </c>
      <c r="F1182" s="7">
        <v>1423</v>
      </c>
      <c r="G1182" s="7">
        <f t="shared" si="134"/>
        <v>2662</v>
      </c>
      <c r="H1182" s="98">
        <f t="shared" si="132"/>
        <v>5660</v>
      </c>
      <c r="I1182" s="7">
        <v>4360</v>
      </c>
      <c r="J1182" s="7">
        <v>1300</v>
      </c>
      <c r="K1182" s="99">
        <f t="shared" si="139"/>
        <v>20526</v>
      </c>
      <c r="L1182" s="7">
        <v>0</v>
      </c>
      <c r="M1182" s="7">
        <v>0</v>
      </c>
      <c r="N1182" s="7">
        <v>7620</v>
      </c>
      <c r="O1182" s="7">
        <v>10000</v>
      </c>
      <c r="P1182" s="7">
        <v>9175.9400000000023</v>
      </c>
      <c r="Q1182" s="7">
        <v>-68.169999999999931</v>
      </c>
      <c r="R1182" s="113">
        <f t="shared" si="135"/>
        <v>0.72312401446990071</v>
      </c>
      <c r="S1182" s="113">
        <f t="shared" si="136"/>
        <v>0.34834761321909424</v>
      </c>
      <c r="T1182" s="113">
        <f t="shared" si="137"/>
        <v>0.77031802120141346</v>
      </c>
      <c r="U1182" s="113">
        <f t="shared" si="138"/>
        <v>0.61392988296346951</v>
      </c>
    </row>
    <row r="1183" spans="1:21" x14ac:dyDescent="0.45">
      <c r="A1183" s="95">
        <v>45743</v>
      </c>
      <c r="B1183" s="96">
        <v>10681</v>
      </c>
      <c r="C1183" s="7">
        <v>7596</v>
      </c>
      <c r="D1183" s="7">
        <f t="shared" si="133"/>
        <v>3085</v>
      </c>
      <c r="E1183" s="97">
        <v>4085</v>
      </c>
      <c r="F1183" s="7">
        <v>1483</v>
      </c>
      <c r="G1183" s="7">
        <f t="shared" si="134"/>
        <v>2602</v>
      </c>
      <c r="H1183" s="98">
        <f t="shared" si="132"/>
        <v>5660</v>
      </c>
      <c r="I1183" s="7">
        <v>4360</v>
      </c>
      <c r="J1183" s="7">
        <v>1300</v>
      </c>
      <c r="K1183" s="99">
        <f t="shared" si="139"/>
        <v>20426</v>
      </c>
      <c r="L1183" s="7">
        <v>0</v>
      </c>
      <c r="M1183" s="7">
        <v>0</v>
      </c>
      <c r="N1183" s="7">
        <v>8312</v>
      </c>
      <c r="O1183" s="7">
        <v>9820</v>
      </c>
      <c r="P1183" s="7">
        <v>9175.9400000000023</v>
      </c>
      <c r="Q1183" s="7">
        <v>-1436.7204221799998</v>
      </c>
      <c r="R1183" s="113">
        <f t="shared" si="135"/>
        <v>0.71116936616421689</v>
      </c>
      <c r="S1183" s="113">
        <f t="shared" si="136"/>
        <v>0.36303549571603427</v>
      </c>
      <c r="T1183" s="113">
        <f t="shared" si="137"/>
        <v>0.77031802120141346</v>
      </c>
      <c r="U1183" s="113">
        <f t="shared" si="138"/>
        <v>0.61484096102722152</v>
      </c>
    </row>
    <row r="1184" spans="1:21" x14ac:dyDescent="0.45">
      <c r="A1184" s="95">
        <v>45744</v>
      </c>
      <c r="B1184" s="96">
        <v>10681</v>
      </c>
      <c r="C1184" s="7">
        <v>7596</v>
      </c>
      <c r="D1184" s="7">
        <f t="shared" si="133"/>
        <v>3085</v>
      </c>
      <c r="E1184" s="97">
        <v>4085</v>
      </c>
      <c r="F1184" s="7">
        <v>1483</v>
      </c>
      <c r="G1184" s="7">
        <f t="shared" si="134"/>
        <v>2602</v>
      </c>
      <c r="H1184" s="98">
        <f t="shared" si="132"/>
        <v>5660</v>
      </c>
      <c r="I1184" s="7">
        <v>4360</v>
      </c>
      <c r="J1184" s="7">
        <v>1300</v>
      </c>
      <c r="K1184" s="99">
        <f t="shared" si="139"/>
        <v>20426</v>
      </c>
      <c r="L1184" s="7">
        <v>0</v>
      </c>
      <c r="M1184" s="7">
        <v>0</v>
      </c>
      <c r="N1184" s="7">
        <v>7665</v>
      </c>
      <c r="O1184" s="7">
        <v>10900</v>
      </c>
      <c r="P1184" s="7">
        <v>9175.9400000000023</v>
      </c>
      <c r="Q1184" s="7">
        <v>-2453.0929999999998</v>
      </c>
      <c r="R1184" s="113">
        <f t="shared" si="135"/>
        <v>0.71116936616421689</v>
      </c>
      <c r="S1184" s="113">
        <f t="shared" si="136"/>
        <v>0.36303549571603427</v>
      </c>
      <c r="T1184" s="113">
        <f t="shared" si="137"/>
        <v>0.77031802120141346</v>
      </c>
      <c r="U1184" s="113">
        <f t="shared" si="138"/>
        <v>0.61484096102722152</v>
      </c>
    </row>
    <row r="1185" spans="1:21" x14ac:dyDescent="0.45">
      <c r="A1185" s="95">
        <v>45745</v>
      </c>
      <c r="B1185" s="96">
        <v>10681</v>
      </c>
      <c r="C1185" s="7">
        <v>7596</v>
      </c>
      <c r="D1185" s="7">
        <f t="shared" si="133"/>
        <v>3085</v>
      </c>
      <c r="E1185" s="97">
        <v>4085</v>
      </c>
      <c r="F1185" s="7">
        <v>1483</v>
      </c>
      <c r="G1185" s="7">
        <f t="shared" si="134"/>
        <v>2602</v>
      </c>
      <c r="H1185" s="98">
        <f t="shared" si="132"/>
        <v>5660</v>
      </c>
      <c r="I1185" s="7">
        <v>4360</v>
      </c>
      <c r="J1185" s="7">
        <v>1300</v>
      </c>
      <c r="K1185" s="99">
        <f t="shared" si="139"/>
        <v>20426</v>
      </c>
      <c r="L1185" s="7">
        <v>0</v>
      </c>
      <c r="M1185" s="7">
        <v>0</v>
      </c>
      <c r="N1185" s="7">
        <v>7665</v>
      </c>
      <c r="O1185" s="7">
        <v>10900</v>
      </c>
      <c r="P1185" s="7">
        <v>9175.9400000000023</v>
      </c>
      <c r="Q1185" s="7">
        <v>-2453.0929999999998</v>
      </c>
      <c r="R1185" s="113">
        <f t="shared" si="135"/>
        <v>0.71116936616421689</v>
      </c>
      <c r="S1185" s="113">
        <f t="shared" si="136"/>
        <v>0.36303549571603427</v>
      </c>
      <c r="T1185" s="113">
        <f t="shared" si="137"/>
        <v>0.77031802120141346</v>
      </c>
      <c r="U1185" s="113">
        <f t="shared" si="138"/>
        <v>0.61484096102722152</v>
      </c>
    </row>
    <row r="1186" spans="1:21" x14ac:dyDescent="0.45">
      <c r="A1186" s="95">
        <v>45746</v>
      </c>
      <c r="B1186" s="96">
        <v>10681</v>
      </c>
      <c r="C1186" s="7">
        <v>7596</v>
      </c>
      <c r="D1186" s="7">
        <f t="shared" si="133"/>
        <v>3085</v>
      </c>
      <c r="E1186" s="97">
        <v>4085</v>
      </c>
      <c r="F1186" s="7">
        <v>1483</v>
      </c>
      <c r="G1186" s="7">
        <f t="shared" si="134"/>
        <v>2602</v>
      </c>
      <c r="H1186" s="98">
        <f t="shared" si="132"/>
        <v>5660</v>
      </c>
      <c r="I1186" s="7">
        <v>4360</v>
      </c>
      <c r="J1186" s="7">
        <v>1300</v>
      </c>
      <c r="K1186" s="99">
        <f t="shared" si="139"/>
        <v>20426</v>
      </c>
      <c r="L1186" s="7">
        <v>0</v>
      </c>
      <c r="M1186" s="7">
        <v>0</v>
      </c>
      <c r="N1186" s="7">
        <v>7665</v>
      </c>
      <c r="O1186" s="7">
        <v>10900</v>
      </c>
      <c r="P1186" s="7">
        <v>9175.9400000000023</v>
      </c>
      <c r="Q1186" s="7">
        <v>-2453.0929999999998</v>
      </c>
      <c r="R1186" s="113">
        <f t="shared" si="135"/>
        <v>0.71116936616421689</v>
      </c>
      <c r="S1186" s="113">
        <f t="shared" si="136"/>
        <v>0.36303549571603427</v>
      </c>
      <c r="T1186" s="113">
        <f t="shared" si="137"/>
        <v>0.77031802120141346</v>
      </c>
      <c r="U1186" s="113">
        <f t="shared" si="138"/>
        <v>0.61484096102722152</v>
      </c>
    </row>
    <row r="1187" spans="1:21" x14ac:dyDescent="0.45">
      <c r="A1187" s="95">
        <v>45747</v>
      </c>
      <c r="B1187" s="96">
        <v>10681</v>
      </c>
      <c r="C1187" s="7">
        <v>7596</v>
      </c>
      <c r="D1187" s="7">
        <f t="shared" si="133"/>
        <v>3085</v>
      </c>
      <c r="E1187" s="97">
        <v>4085</v>
      </c>
      <c r="F1187" s="7">
        <v>1483</v>
      </c>
      <c r="G1187" s="7">
        <f t="shared" si="134"/>
        <v>2602</v>
      </c>
      <c r="H1187" s="98">
        <f t="shared" si="132"/>
        <v>5660</v>
      </c>
      <c r="I1187" s="7">
        <v>4360</v>
      </c>
      <c r="J1187" s="7">
        <v>1300</v>
      </c>
      <c r="K1187" s="99">
        <f t="shared" si="139"/>
        <v>20426</v>
      </c>
      <c r="L1187" s="7">
        <v>0</v>
      </c>
      <c r="M1187" s="7">
        <v>0</v>
      </c>
      <c r="N1187" s="7">
        <v>7665</v>
      </c>
      <c r="O1187" s="7">
        <v>10900</v>
      </c>
      <c r="P1187" s="7">
        <v>9175.9400000000023</v>
      </c>
      <c r="Q1187" s="7">
        <v>-2453.0929999999998</v>
      </c>
      <c r="R1187" s="113">
        <f t="shared" si="135"/>
        <v>0.71116936616421689</v>
      </c>
      <c r="S1187" s="113">
        <f t="shared" si="136"/>
        <v>0.36303549571603427</v>
      </c>
      <c r="T1187" s="113">
        <f t="shared" si="137"/>
        <v>0.77031802120141346</v>
      </c>
      <c r="U1187" s="113">
        <f t="shared" si="138"/>
        <v>0.61484096102722152</v>
      </c>
    </row>
    <row r="1188" spans="1:21" x14ac:dyDescent="0.45">
      <c r="A1188" s="95">
        <v>45748</v>
      </c>
      <c r="B1188" s="96">
        <v>10681</v>
      </c>
      <c r="C1188" s="7">
        <v>7796</v>
      </c>
      <c r="D1188" s="7">
        <v>2885</v>
      </c>
      <c r="E1188" s="97">
        <v>4085</v>
      </c>
      <c r="F1188" s="7">
        <v>1482.5</v>
      </c>
      <c r="G1188" s="7">
        <f t="shared" si="134"/>
        <v>2602.5</v>
      </c>
      <c r="H1188" s="98">
        <f t="shared" si="132"/>
        <v>5660</v>
      </c>
      <c r="I1188" s="7">
        <v>4360</v>
      </c>
      <c r="J1188" s="7">
        <v>1300</v>
      </c>
      <c r="K1188" s="99">
        <f t="shared" si="139"/>
        <v>20426</v>
      </c>
      <c r="L1188" s="7">
        <v>0</v>
      </c>
      <c r="M1188" s="7">
        <v>0</v>
      </c>
      <c r="N1188" s="7">
        <v>6850</v>
      </c>
      <c r="O1188" s="7">
        <v>8750</v>
      </c>
      <c r="P1188" s="7">
        <v>9175.9400000000023</v>
      </c>
      <c r="Q1188" s="7">
        <v>578.95074687000056</v>
      </c>
      <c r="R1188" s="113">
        <f t="shared" si="135"/>
        <v>0.72989420466248478</v>
      </c>
      <c r="S1188" s="113">
        <f t="shared" si="136"/>
        <v>0.36291309669522642</v>
      </c>
      <c r="T1188" s="113">
        <f t="shared" si="137"/>
        <v>0.77031802120141346</v>
      </c>
      <c r="U1188" s="113">
        <f t="shared" si="138"/>
        <v>0.62104177418637496</v>
      </c>
    </row>
    <row r="1189" spans="1:21" x14ac:dyDescent="0.45">
      <c r="A1189" s="95">
        <v>45749</v>
      </c>
      <c r="B1189" s="96">
        <v>10681</v>
      </c>
      <c r="C1189" s="7">
        <v>7796</v>
      </c>
      <c r="D1189" s="7">
        <v>2885</v>
      </c>
      <c r="E1189" s="97">
        <v>4085</v>
      </c>
      <c r="F1189" s="7">
        <v>1482.5</v>
      </c>
      <c r="G1189" s="7">
        <f t="shared" si="134"/>
        <v>2602.5</v>
      </c>
      <c r="H1189" s="98">
        <f t="shared" si="132"/>
        <v>5660</v>
      </c>
      <c r="I1189" s="7">
        <v>4360</v>
      </c>
      <c r="J1189" s="7">
        <v>1300</v>
      </c>
      <c r="K1189" s="99">
        <f t="shared" si="139"/>
        <v>20426</v>
      </c>
      <c r="L1189" s="7">
        <v>0</v>
      </c>
      <c r="M1189" s="7">
        <v>0</v>
      </c>
      <c r="N1189" s="7">
        <v>7280</v>
      </c>
      <c r="O1189" s="7">
        <v>8750</v>
      </c>
      <c r="P1189" s="7">
        <v>9175.9400000000023</v>
      </c>
      <c r="Q1189" s="7">
        <v>595.09838076000028</v>
      </c>
      <c r="R1189" s="113">
        <f t="shared" si="135"/>
        <v>0.72989420466248478</v>
      </c>
      <c r="S1189" s="113">
        <f t="shared" si="136"/>
        <v>0.36291309669522642</v>
      </c>
      <c r="T1189" s="113">
        <f t="shared" si="137"/>
        <v>0.77031802120141346</v>
      </c>
      <c r="U1189" s="113">
        <f t="shared" si="138"/>
        <v>0.62104177418637496</v>
      </c>
    </row>
    <row r="1190" spans="1:21" x14ac:dyDescent="0.45">
      <c r="A1190" s="95">
        <v>45750</v>
      </c>
      <c r="B1190" s="96">
        <v>10681</v>
      </c>
      <c r="C1190" s="7">
        <v>7796</v>
      </c>
      <c r="D1190" s="7">
        <v>2885</v>
      </c>
      <c r="E1190" s="97">
        <v>4085</v>
      </c>
      <c r="F1190" s="7">
        <v>1482.5</v>
      </c>
      <c r="G1190" s="7">
        <f t="shared" si="134"/>
        <v>2602.5</v>
      </c>
      <c r="H1190" s="98">
        <f t="shared" si="132"/>
        <v>5660</v>
      </c>
      <c r="I1190" s="7">
        <v>4360</v>
      </c>
      <c r="J1190" s="7">
        <v>1300</v>
      </c>
      <c r="K1190" s="99">
        <f t="shared" si="139"/>
        <v>20426</v>
      </c>
      <c r="L1190" s="7">
        <v>0</v>
      </c>
      <c r="M1190" s="7">
        <v>0</v>
      </c>
      <c r="N1190" s="7">
        <v>6710</v>
      </c>
      <c r="O1190" s="7">
        <v>8650</v>
      </c>
      <c r="P1190" s="7">
        <v>9175.9400000000023</v>
      </c>
      <c r="Q1190" s="7">
        <v>40.909000000000049</v>
      </c>
      <c r="R1190" s="113">
        <f t="shared" si="135"/>
        <v>0.72989420466248478</v>
      </c>
      <c r="S1190" s="113">
        <f t="shared" si="136"/>
        <v>0.36291309669522642</v>
      </c>
      <c r="T1190" s="113">
        <f t="shared" si="137"/>
        <v>0.77031802120141346</v>
      </c>
      <c r="U1190" s="113">
        <f t="shared" si="138"/>
        <v>0.62104177418637496</v>
      </c>
    </row>
    <row r="1191" spans="1:21" x14ac:dyDescent="0.45">
      <c r="A1191" s="95">
        <v>45751</v>
      </c>
      <c r="B1191" s="96">
        <v>10681</v>
      </c>
      <c r="C1191" s="7">
        <v>7796</v>
      </c>
      <c r="D1191" s="7">
        <v>2885</v>
      </c>
      <c r="E1191" s="97">
        <v>4085</v>
      </c>
      <c r="F1191" s="7">
        <v>1482.5</v>
      </c>
      <c r="G1191" s="7">
        <f t="shared" si="134"/>
        <v>2602.5</v>
      </c>
      <c r="H1191" s="98">
        <f t="shared" si="132"/>
        <v>5660</v>
      </c>
      <c r="I1191" s="7">
        <v>4360</v>
      </c>
      <c r="J1191" s="7">
        <v>1300</v>
      </c>
      <c r="K1191" s="99">
        <f t="shared" si="139"/>
        <v>20426</v>
      </c>
      <c r="L1191" s="7">
        <v>0</v>
      </c>
      <c r="M1191" s="7">
        <v>0</v>
      </c>
      <c r="N1191" s="7">
        <v>7220</v>
      </c>
      <c r="O1191" s="7">
        <v>8650</v>
      </c>
      <c r="P1191" s="7">
        <v>9175.9400000000023</v>
      </c>
      <c r="Q1191" s="7">
        <v>-261.67799999999988</v>
      </c>
      <c r="R1191" s="113">
        <f t="shared" si="135"/>
        <v>0.72989420466248478</v>
      </c>
      <c r="S1191" s="113">
        <f t="shared" si="136"/>
        <v>0.36291309669522642</v>
      </c>
      <c r="T1191" s="113">
        <f t="shared" si="137"/>
        <v>0.77031802120141346</v>
      </c>
      <c r="U1191" s="113">
        <f t="shared" si="138"/>
        <v>0.62104177418637496</v>
      </c>
    </row>
    <row r="1192" spans="1:21" x14ac:dyDescent="0.45">
      <c r="A1192" s="95">
        <v>45752</v>
      </c>
      <c r="B1192" s="96">
        <v>10681</v>
      </c>
      <c r="C1192" s="7">
        <v>7796</v>
      </c>
      <c r="D1192" s="7">
        <v>2885</v>
      </c>
      <c r="E1192" s="97">
        <v>4085</v>
      </c>
      <c r="F1192" s="7">
        <v>1482.5</v>
      </c>
      <c r="G1192" s="7">
        <f t="shared" si="134"/>
        <v>2602.5</v>
      </c>
      <c r="H1192" s="98">
        <f t="shared" si="132"/>
        <v>5660</v>
      </c>
      <c r="I1192" s="7">
        <v>4360</v>
      </c>
      <c r="J1192" s="7">
        <v>1300</v>
      </c>
      <c r="K1192" s="99">
        <f t="shared" si="139"/>
        <v>20426</v>
      </c>
      <c r="L1192" s="7">
        <v>0</v>
      </c>
      <c r="M1192" s="7">
        <v>0</v>
      </c>
      <c r="N1192" s="7">
        <v>7220</v>
      </c>
      <c r="O1192" s="7">
        <v>8650</v>
      </c>
      <c r="P1192" s="7">
        <v>9175.9400000000023</v>
      </c>
      <c r="Q1192" s="7">
        <v>-261.67799999999988</v>
      </c>
      <c r="R1192" s="113">
        <f t="shared" si="135"/>
        <v>0.72989420466248478</v>
      </c>
      <c r="S1192" s="113">
        <f t="shared" si="136"/>
        <v>0.36291309669522642</v>
      </c>
      <c r="T1192" s="113">
        <f t="shared" si="137"/>
        <v>0.77031802120141346</v>
      </c>
      <c r="U1192" s="113">
        <f t="shared" si="138"/>
        <v>0.62104177418637496</v>
      </c>
    </row>
    <row r="1193" spans="1:21" x14ac:dyDescent="0.45">
      <c r="A1193" s="95">
        <v>45753</v>
      </c>
      <c r="B1193" s="96">
        <v>10681</v>
      </c>
      <c r="C1193" s="7">
        <v>7796</v>
      </c>
      <c r="D1193" s="7">
        <v>2885</v>
      </c>
      <c r="E1193" s="97">
        <v>4085</v>
      </c>
      <c r="F1193" s="7">
        <v>1482.5</v>
      </c>
      <c r="G1193" s="7">
        <f t="shared" si="134"/>
        <v>2602.5</v>
      </c>
      <c r="H1193" s="98">
        <f t="shared" si="132"/>
        <v>5660</v>
      </c>
      <c r="I1193" s="7">
        <v>4360</v>
      </c>
      <c r="J1193" s="7">
        <v>1300</v>
      </c>
      <c r="K1193" s="99">
        <f t="shared" si="139"/>
        <v>20426</v>
      </c>
      <c r="L1193" s="7">
        <v>0</v>
      </c>
      <c r="M1193" s="7">
        <v>0</v>
      </c>
      <c r="N1193" s="7">
        <v>7220</v>
      </c>
      <c r="O1193" s="7">
        <v>8650</v>
      </c>
      <c r="P1193" s="7">
        <v>9175.9400000000023</v>
      </c>
      <c r="Q1193" s="7">
        <v>-261.67799999999988</v>
      </c>
      <c r="R1193" s="113">
        <f t="shared" si="135"/>
        <v>0.72989420466248478</v>
      </c>
      <c r="S1193" s="113">
        <f t="shared" si="136"/>
        <v>0.36291309669522642</v>
      </c>
      <c r="T1193" s="113">
        <f t="shared" si="137"/>
        <v>0.77031802120141346</v>
      </c>
      <c r="U1193" s="113">
        <f t="shared" si="138"/>
        <v>0.62104177418637496</v>
      </c>
    </row>
    <row r="1194" spans="1:21" x14ac:dyDescent="0.45">
      <c r="A1194" s="95">
        <v>45754</v>
      </c>
      <c r="B1194" s="96">
        <v>10681</v>
      </c>
      <c r="C1194" s="7">
        <v>7796</v>
      </c>
      <c r="D1194" s="7">
        <v>2885</v>
      </c>
      <c r="E1194" s="97">
        <v>4085</v>
      </c>
      <c r="F1194" s="7">
        <v>1482.5</v>
      </c>
      <c r="G1194" s="7">
        <f t="shared" si="134"/>
        <v>2602.5</v>
      </c>
      <c r="H1194" s="98">
        <f t="shared" si="132"/>
        <v>5660</v>
      </c>
      <c r="I1194" s="7">
        <v>4360</v>
      </c>
      <c r="J1194" s="7">
        <v>1300</v>
      </c>
      <c r="K1194" s="99">
        <f t="shared" si="139"/>
        <v>20426</v>
      </c>
      <c r="L1194" s="7">
        <v>0</v>
      </c>
      <c r="M1194" s="7">
        <v>0</v>
      </c>
      <c r="N1194" s="7">
        <v>6350</v>
      </c>
      <c r="O1194" s="7">
        <v>8650</v>
      </c>
      <c r="P1194" s="7">
        <v>9175.9400000000023</v>
      </c>
      <c r="Q1194" s="7">
        <v>577.90000000000032</v>
      </c>
      <c r="R1194" s="113">
        <f t="shared" si="135"/>
        <v>0.72989420466248478</v>
      </c>
      <c r="S1194" s="113">
        <f t="shared" si="136"/>
        <v>0.36291309669522642</v>
      </c>
      <c r="T1194" s="113">
        <f t="shared" si="137"/>
        <v>0.77031802120141346</v>
      </c>
      <c r="U1194" s="113">
        <f t="shared" si="138"/>
        <v>0.62104177418637496</v>
      </c>
    </row>
    <row r="1195" spans="1:21" x14ac:dyDescent="0.45">
      <c r="A1195" s="95">
        <v>45755</v>
      </c>
      <c r="B1195" s="96">
        <v>10681</v>
      </c>
      <c r="C1195" s="7">
        <v>7796</v>
      </c>
      <c r="D1195" s="7">
        <v>2885</v>
      </c>
      <c r="E1195" s="97">
        <v>4085</v>
      </c>
      <c r="F1195" s="7">
        <v>1482.5</v>
      </c>
      <c r="G1195" s="7">
        <f t="shared" si="134"/>
        <v>2602.5</v>
      </c>
      <c r="H1195" s="98">
        <f t="shared" si="132"/>
        <v>5660</v>
      </c>
      <c r="I1195" s="7">
        <v>4360</v>
      </c>
      <c r="J1195" s="7">
        <v>1300</v>
      </c>
      <c r="K1195" s="99">
        <f t="shared" si="139"/>
        <v>20426</v>
      </c>
      <c r="L1195" s="7">
        <v>0</v>
      </c>
      <c r="M1195" s="7">
        <v>0</v>
      </c>
      <c r="N1195" s="7">
        <v>6450</v>
      </c>
      <c r="O1195" s="7">
        <v>9650</v>
      </c>
      <c r="P1195" s="7">
        <v>9175.9400000000023</v>
      </c>
      <c r="Q1195" s="7">
        <v>-148.28999999999945</v>
      </c>
      <c r="R1195" s="113">
        <f t="shared" si="135"/>
        <v>0.72989420466248478</v>
      </c>
      <c r="S1195" s="113">
        <f t="shared" si="136"/>
        <v>0.36291309669522642</v>
      </c>
      <c r="T1195" s="113">
        <f t="shared" si="137"/>
        <v>0.77031802120141346</v>
      </c>
      <c r="U1195" s="113">
        <f t="shared" si="138"/>
        <v>0.62104177418637496</v>
      </c>
    </row>
    <row r="1196" spans="1:21" x14ac:dyDescent="0.45">
      <c r="A1196" s="95">
        <v>45756</v>
      </c>
      <c r="B1196" s="96">
        <v>10681</v>
      </c>
      <c r="C1196" s="7">
        <v>7796</v>
      </c>
      <c r="D1196" s="7">
        <v>2885</v>
      </c>
      <c r="E1196" s="97">
        <v>4085</v>
      </c>
      <c r="F1196" s="7">
        <v>1482.5</v>
      </c>
      <c r="G1196" s="7">
        <f t="shared" si="134"/>
        <v>2602.5</v>
      </c>
      <c r="H1196" s="98">
        <f t="shared" si="132"/>
        <v>5660</v>
      </c>
      <c r="I1196" s="7">
        <v>4360</v>
      </c>
      <c r="J1196" s="7">
        <v>1300</v>
      </c>
      <c r="K1196" s="99">
        <f t="shared" si="139"/>
        <v>20426</v>
      </c>
      <c r="L1196" s="7">
        <v>0</v>
      </c>
      <c r="M1196" s="7">
        <v>0</v>
      </c>
      <c r="N1196" s="7">
        <v>6750</v>
      </c>
      <c r="O1196" s="7">
        <v>9350</v>
      </c>
      <c r="P1196" s="7">
        <v>9175.9400000000023</v>
      </c>
      <c r="Q1196" s="7">
        <v>-318.29899999999941</v>
      </c>
      <c r="R1196" s="113">
        <f t="shared" si="135"/>
        <v>0.72989420466248478</v>
      </c>
      <c r="S1196" s="113">
        <f t="shared" si="136"/>
        <v>0.36291309669522642</v>
      </c>
      <c r="T1196" s="113">
        <f t="shared" si="137"/>
        <v>0.77031802120141346</v>
      </c>
      <c r="U1196" s="113">
        <f t="shared" si="138"/>
        <v>0.62104177418637496</v>
      </c>
    </row>
    <row r="1197" spans="1:21" x14ac:dyDescent="0.45">
      <c r="A1197" s="95">
        <v>45757</v>
      </c>
      <c r="B1197" s="96">
        <v>10681</v>
      </c>
      <c r="C1197" s="7">
        <v>7636</v>
      </c>
      <c r="D1197" s="7">
        <f t="shared" ref="D1197:D1260" si="140">B1197-C1197</f>
        <v>3045</v>
      </c>
      <c r="E1197" s="97">
        <v>4085</v>
      </c>
      <c r="F1197" s="7">
        <v>1482.5</v>
      </c>
      <c r="G1197" s="7">
        <f t="shared" si="134"/>
        <v>2602.5</v>
      </c>
      <c r="H1197" s="98">
        <f t="shared" si="132"/>
        <v>5660</v>
      </c>
      <c r="I1197" s="7">
        <v>4360</v>
      </c>
      <c r="J1197" s="7">
        <v>1300</v>
      </c>
      <c r="K1197" s="99">
        <f t="shared" si="139"/>
        <v>20426</v>
      </c>
      <c r="L1197" s="7">
        <v>0</v>
      </c>
      <c r="M1197" s="7">
        <v>0</v>
      </c>
      <c r="N1197" s="7">
        <v>6690</v>
      </c>
      <c r="O1197" s="7">
        <v>9600</v>
      </c>
      <c r="P1197" s="7">
        <v>9175.9400000000023</v>
      </c>
      <c r="Q1197" s="7">
        <v>-637.99199999999973</v>
      </c>
      <c r="R1197" s="113">
        <f t="shared" si="135"/>
        <v>0.71491433386387038</v>
      </c>
      <c r="S1197" s="113">
        <f t="shared" si="136"/>
        <v>0.36291309669522642</v>
      </c>
      <c r="T1197" s="113">
        <f t="shared" si="137"/>
        <v>0.77031802120141346</v>
      </c>
      <c r="U1197" s="113">
        <f t="shared" si="138"/>
        <v>0.6160484839201702</v>
      </c>
    </row>
    <row r="1198" spans="1:21" x14ac:dyDescent="0.45">
      <c r="A1198" s="95">
        <v>45758</v>
      </c>
      <c r="B1198" s="96">
        <v>10681</v>
      </c>
      <c r="C1198" s="7">
        <v>7636</v>
      </c>
      <c r="D1198" s="7">
        <f t="shared" si="140"/>
        <v>3045</v>
      </c>
      <c r="E1198" s="97">
        <v>4085</v>
      </c>
      <c r="F1198" s="7">
        <v>1482.5</v>
      </c>
      <c r="G1198" s="7">
        <f t="shared" si="134"/>
        <v>2602.5</v>
      </c>
      <c r="H1198" s="98">
        <f t="shared" si="132"/>
        <v>5660</v>
      </c>
      <c r="I1198" s="7">
        <v>4360</v>
      </c>
      <c r="J1198" s="7">
        <v>1300</v>
      </c>
      <c r="K1198" s="99">
        <f t="shared" si="139"/>
        <v>20426</v>
      </c>
      <c r="L1198" s="7">
        <v>0</v>
      </c>
      <c r="M1198" s="7">
        <v>0</v>
      </c>
      <c r="N1198" s="7">
        <v>6290</v>
      </c>
      <c r="O1198" s="7">
        <v>9700</v>
      </c>
      <c r="P1198" s="7">
        <v>9175.9400000000023</v>
      </c>
      <c r="Q1198" s="7">
        <v>663.08000000000015</v>
      </c>
      <c r="R1198" s="113">
        <f t="shared" si="135"/>
        <v>0.71491433386387038</v>
      </c>
      <c r="S1198" s="113">
        <f t="shared" si="136"/>
        <v>0.36291309669522642</v>
      </c>
      <c r="T1198" s="113">
        <f t="shared" si="137"/>
        <v>0.77031802120141346</v>
      </c>
      <c r="U1198" s="113">
        <f t="shared" si="138"/>
        <v>0.6160484839201702</v>
      </c>
    </row>
    <row r="1199" spans="1:21" x14ac:dyDescent="0.45">
      <c r="A1199" s="95">
        <v>45759</v>
      </c>
      <c r="B1199" s="96">
        <v>10681</v>
      </c>
      <c r="C1199" s="7">
        <v>7636</v>
      </c>
      <c r="D1199" s="7">
        <f t="shared" si="140"/>
        <v>3045</v>
      </c>
      <c r="E1199" s="97">
        <v>4085</v>
      </c>
      <c r="F1199" s="7">
        <v>1482.5</v>
      </c>
      <c r="G1199" s="7">
        <f t="shared" si="134"/>
        <v>2602.5</v>
      </c>
      <c r="H1199" s="98">
        <f t="shared" si="132"/>
        <v>5660</v>
      </c>
      <c r="I1199" s="7">
        <v>4360</v>
      </c>
      <c r="J1199" s="7">
        <v>1300</v>
      </c>
      <c r="K1199" s="99">
        <f t="shared" si="139"/>
        <v>20426</v>
      </c>
      <c r="L1199" s="7">
        <v>0</v>
      </c>
      <c r="M1199" s="7">
        <v>0</v>
      </c>
      <c r="N1199" s="7">
        <v>6290</v>
      </c>
      <c r="O1199" s="7">
        <v>9700</v>
      </c>
      <c r="P1199" s="7">
        <v>9175.9400000000023</v>
      </c>
      <c r="Q1199" s="7">
        <v>663.08000000000015</v>
      </c>
      <c r="R1199" s="113">
        <f t="shared" si="135"/>
        <v>0.71491433386387038</v>
      </c>
      <c r="S1199" s="113">
        <f t="shared" si="136"/>
        <v>0.36291309669522642</v>
      </c>
      <c r="T1199" s="113">
        <f t="shared" si="137"/>
        <v>0.77031802120141346</v>
      </c>
      <c r="U1199" s="113">
        <f t="shared" si="138"/>
        <v>0.6160484839201702</v>
      </c>
    </row>
    <row r="1200" spans="1:21" x14ac:dyDescent="0.45">
      <c r="A1200" s="95">
        <v>45760</v>
      </c>
      <c r="B1200" s="96">
        <v>10681</v>
      </c>
      <c r="C1200" s="7">
        <v>7636</v>
      </c>
      <c r="D1200" s="7">
        <f t="shared" si="140"/>
        <v>3045</v>
      </c>
      <c r="E1200" s="97">
        <v>4085</v>
      </c>
      <c r="F1200" s="7">
        <v>1482.5</v>
      </c>
      <c r="G1200" s="7">
        <f t="shared" si="134"/>
        <v>2602.5</v>
      </c>
      <c r="H1200" s="98">
        <f t="shared" si="132"/>
        <v>5660</v>
      </c>
      <c r="I1200" s="7">
        <v>4360</v>
      </c>
      <c r="J1200" s="7">
        <v>1300</v>
      </c>
      <c r="K1200" s="99">
        <f t="shared" si="139"/>
        <v>20426</v>
      </c>
      <c r="L1200" s="7">
        <v>0</v>
      </c>
      <c r="M1200" s="7">
        <v>0</v>
      </c>
      <c r="N1200" s="7">
        <v>6290</v>
      </c>
      <c r="O1200" s="7">
        <v>9700</v>
      </c>
      <c r="P1200" s="7">
        <v>9175.9400000000023</v>
      </c>
      <c r="Q1200" s="7">
        <v>663.08000000000015</v>
      </c>
      <c r="R1200" s="113">
        <f t="shared" si="135"/>
        <v>0.71491433386387038</v>
      </c>
      <c r="S1200" s="113">
        <f t="shared" si="136"/>
        <v>0.36291309669522642</v>
      </c>
      <c r="T1200" s="113">
        <f t="shared" si="137"/>
        <v>0.77031802120141346</v>
      </c>
      <c r="U1200" s="113">
        <f t="shared" si="138"/>
        <v>0.6160484839201702</v>
      </c>
    </row>
    <row r="1201" spans="1:21" x14ac:dyDescent="0.45">
      <c r="A1201" s="95">
        <v>45761</v>
      </c>
      <c r="B1201" s="96">
        <v>10681</v>
      </c>
      <c r="C1201" s="7">
        <v>7636</v>
      </c>
      <c r="D1201" s="7">
        <f t="shared" si="140"/>
        <v>3045</v>
      </c>
      <c r="E1201" s="97">
        <v>4085</v>
      </c>
      <c r="F1201" s="7">
        <v>1482.5</v>
      </c>
      <c r="G1201" s="7">
        <f t="shared" si="134"/>
        <v>2602.5</v>
      </c>
      <c r="H1201" s="98">
        <f t="shared" si="132"/>
        <v>5660</v>
      </c>
      <c r="I1201" s="7">
        <v>4360</v>
      </c>
      <c r="J1201" s="7">
        <v>1300</v>
      </c>
      <c r="K1201" s="99">
        <f t="shared" si="139"/>
        <v>20426</v>
      </c>
      <c r="L1201" s="7">
        <v>0</v>
      </c>
      <c r="M1201" s="7">
        <v>0</v>
      </c>
      <c r="N1201" s="7">
        <v>6600</v>
      </c>
      <c r="O1201" s="7">
        <v>9800</v>
      </c>
      <c r="P1201" s="7">
        <v>9104.2842254726129</v>
      </c>
      <c r="Q1201" s="7">
        <v>433.03577452738773</v>
      </c>
      <c r="R1201" s="113">
        <f t="shared" si="135"/>
        <v>0.71491433386387038</v>
      </c>
      <c r="S1201" s="113">
        <f t="shared" si="136"/>
        <v>0.36291309669522642</v>
      </c>
      <c r="T1201" s="113">
        <f t="shared" si="137"/>
        <v>0.77031802120141346</v>
      </c>
      <c r="U1201" s="113">
        <f t="shared" si="138"/>
        <v>0.6160484839201702</v>
      </c>
    </row>
    <row r="1202" spans="1:21" x14ac:dyDescent="0.45">
      <c r="A1202" s="95">
        <v>45762</v>
      </c>
      <c r="B1202" s="96">
        <v>10681</v>
      </c>
      <c r="C1202" s="7">
        <v>7636</v>
      </c>
      <c r="D1202" s="7">
        <f t="shared" si="140"/>
        <v>3045</v>
      </c>
      <c r="E1202" s="97">
        <v>4085</v>
      </c>
      <c r="F1202" s="7">
        <v>1482.5</v>
      </c>
      <c r="G1202" s="7">
        <f t="shared" si="134"/>
        <v>2602.5</v>
      </c>
      <c r="H1202" s="98">
        <f t="shared" si="132"/>
        <v>5660</v>
      </c>
      <c r="I1202" s="7">
        <v>4360</v>
      </c>
      <c r="J1202" s="7">
        <v>1300</v>
      </c>
      <c r="K1202" s="99">
        <f t="shared" si="139"/>
        <v>20426</v>
      </c>
      <c r="L1202" s="7">
        <v>0</v>
      </c>
      <c r="M1202" s="7">
        <v>0</v>
      </c>
      <c r="N1202" s="7">
        <v>7310</v>
      </c>
      <c r="O1202" s="7">
        <v>9800</v>
      </c>
      <c r="P1202" s="7">
        <v>9104.2842254726129</v>
      </c>
      <c r="Q1202" s="7">
        <v>-369.44222547261268</v>
      </c>
      <c r="R1202" s="113">
        <f t="shared" si="135"/>
        <v>0.71491433386387038</v>
      </c>
      <c r="S1202" s="113">
        <f t="shared" si="136"/>
        <v>0.36291309669522642</v>
      </c>
      <c r="T1202" s="113">
        <f t="shared" si="137"/>
        <v>0.77031802120141346</v>
      </c>
      <c r="U1202" s="113">
        <f t="shared" si="138"/>
        <v>0.6160484839201702</v>
      </c>
    </row>
    <row r="1203" spans="1:21" x14ac:dyDescent="0.45">
      <c r="A1203" s="95">
        <v>45763</v>
      </c>
      <c r="B1203" s="96">
        <v>10681</v>
      </c>
      <c r="C1203" s="7">
        <v>7636</v>
      </c>
      <c r="D1203" s="7">
        <f t="shared" si="140"/>
        <v>3045</v>
      </c>
      <c r="E1203" s="97">
        <v>4085</v>
      </c>
      <c r="F1203" s="7">
        <v>1482.5</v>
      </c>
      <c r="G1203" s="7">
        <f t="shared" si="134"/>
        <v>2602.5</v>
      </c>
      <c r="H1203" s="98">
        <f t="shared" si="132"/>
        <v>5660</v>
      </c>
      <c r="I1203" s="7">
        <v>4360</v>
      </c>
      <c r="J1203" s="7">
        <v>1300</v>
      </c>
      <c r="K1203" s="99">
        <f t="shared" si="139"/>
        <v>20426</v>
      </c>
      <c r="L1203" s="7">
        <v>0</v>
      </c>
      <c r="M1203" s="7">
        <v>0</v>
      </c>
      <c r="N1203" s="7">
        <v>7077</v>
      </c>
      <c r="O1203" s="7">
        <v>9800</v>
      </c>
      <c r="P1203" s="7">
        <v>9104.2842254726129</v>
      </c>
      <c r="Q1203" s="7">
        <v>-723.78922547261254</v>
      </c>
      <c r="R1203" s="113">
        <f t="shared" si="135"/>
        <v>0.71491433386387038</v>
      </c>
      <c r="S1203" s="113">
        <f t="shared" si="136"/>
        <v>0.36291309669522642</v>
      </c>
      <c r="T1203" s="113">
        <f t="shared" si="137"/>
        <v>0.77031802120141346</v>
      </c>
      <c r="U1203" s="113">
        <f t="shared" si="138"/>
        <v>0.6160484839201702</v>
      </c>
    </row>
    <row r="1204" spans="1:21" x14ac:dyDescent="0.45">
      <c r="A1204" s="95">
        <v>45764</v>
      </c>
      <c r="B1204" s="96">
        <v>10681</v>
      </c>
      <c r="C1204" s="7">
        <v>7636</v>
      </c>
      <c r="D1204" s="7">
        <f t="shared" si="140"/>
        <v>3045</v>
      </c>
      <c r="E1204" s="97">
        <v>4085</v>
      </c>
      <c r="F1204" s="7">
        <v>1482.5</v>
      </c>
      <c r="G1204" s="7">
        <f t="shared" si="134"/>
        <v>2602.5</v>
      </c>
      <c r="H1204" s="98">
        <f t="shared" si="132"/>
        <v>5860</v>
      </c>
      <c r="I1204" s="7">
        <v>4360</v>
      </c>
      <c r="J1204" s="7">
        <v>1500</v>
      </c>
      <c r="K1204" s="99">
        <f t="shared" si="139"/>
        <v>20626</v>
      </c>
      <c r="L1204" s="7">
        <v>0</v>
      </c>
      <c r="M1204" s="7">
        <v>0</v>
      </c>
      <c r="N1204" s="7">
        <v>6734</v>
      </c>
      <c r="O1204" s="7">
        <v>9750</v>
      </c>
      <c r="P1204" s="7">
        <v>9104.2842254726129</v>
      </c>
      <c r="Q1204" s="7">
        <v>-15.014225472612921</v>
      </c>
      <c r="R1204" s="113">
        <f t="shared" si="135"/>
        <v>0.71491433386387038</v>
      </c>
      <c r="S1204" s="113">
        <f t="shared" si="136"/>
        <v>0.36291309669522642</v>
      </c>
      <c r="T1204" s="113">
        <f t="shared" si="137"/>
        <v>0.74402730375426618</v>
      </c>
      <c r="U1204" s="113">
        <f t="shared" si="138"/>
        <v>0.60728491143778773</v>
      </c>
    </row>
    <row r="1205" spans="1:21" x14ac:dyDescent="0.45">
      <c r="A1205" s="95">
        <v>45765</v>
      </c>
      <c r="B1205" s="96">
        <v>10681</v>
      </c>
      <c r="C1205" s="7">
        <v>7536</v>
      </c>
      <c r="D1205" s="7">
        <f t="shared" si="140"/>
        <v>3145</v>
      </c>
      <c r="E1205" s="97">
        <v>4085</v>
      </c>
      <c r="F1205" s="7">
        <v>1482.5</v>
      </c>
      <c r="G1205" s="7">
        <f t="shared" si="134"/>
        <v>2602.5</v>
      </c>
      <c r="H1205" s="98">
        <f t="shared" si="132"/>
        <v>5860</v>
      </c>
      <c r="I1205" s="7">
        <v>4360</v>
      </c>
      <c r="J1205" s="7">
        <v>1500</v>
      </c>
      <c r="K1205" s="99">
        <f t="shared" si="139"/>
        <v>20626</v>
      </c>
      <c r="L1205" s="7">
        <v>0</v>
      </c>
      <c r="M1205" s="7">
        <v>0</v>
      </c>
      <c r="N1205" s="7">
        <v>6938</v>
      </c>
      <c r="O1205" s="7">
        <v>9750</v>
      </c>
      <c r="P1205" s="7">
        <v>9104.2842254726129</v>
      </c>
      <c r="Q1205" s="7">
        <v>-47.904225472612779</v>
      </c>
      <c r="R1205" s="113">
        <f t="shared" si="135"/>
        <v>0.70555191461473643</v>
      </c>
      <c r="S1205" s="113">
        <f t="shared" si="136"/>
        <v>0.36291309669522642</v>
      </c>
      <c r="T1205" s="113">
        <f t="shared" si="137"/>
        <v>0.74402730375426618</v>
      </c>
      <c r="U1205" s="113">
        <f t="shared" si="138"/>
        <v>0.60416410502140971</v>
      </c>
    </row>
    <row r="1206" spans="1:21" x14ac:dyDescent="0.45">
      <c r="A1206" s="95">
        <v>45766</v>
      </c>
      <c r="B1206" s="96">
        <v>10681</v>
      </c>
      <c r="C1206" s="7">
        <v>7536</v>
      </c>
      <c r="D1206" s="7">
        <f t="shared" si="140"/>
        <v>3145</v>
      </c>
      <c r="E1206" s="97">
        <v>4085</v>
      </c>
      <c r="F1206" s="7">
        <v>1482.5</v>
      </c>
      <c r="G1206" s="7">
        <f t="shared" si="134"/>
        <v>2602.5</v>
      </c>
      <c r="H1206" s="98">
        <f t="shared" si="132"/>
        <v>5860</v>
      </c>
      <c r="I1206" s="7">
        <v>4360</v>
      </c>
      <c r="J1206" s="7">
        <v>1500</v>
      </c>
      <c r="K1206" s="99">
        <f t="shared" si="139"/>
        <v>20626</v>
      </c>
      <c r="L1206" s="7">
        <v>0</v>
      </c>
      <c r="M1206" s="7">
        <v>0</v>
      </c>
      <c r="N1206" s="7">
        <v>6938</v>
      </c>
      <c r="O1206" s="7">
        <v>9750</v>
      </c>
      <c r="P1206" s="7">
        <v>9104.2842254726129</v>
      </c>
      <c r="Q1206" s="7">
        <v>-47.904225472612779</v>
      </c>
      <c r="R1206" s="113">
        <f t="shared" si="135"/>
        <v>0.70555191461473643</v>
      </c>
      <c r="S1206" s="113">
        <f t="shared" si="136"/>
        <v>0.36291309669522642</v>
      </c>
      <c r="T1206" s="113">
        <f t="shared" si="137"/>
        <v>0.74402730375426618</v>
      </c>
      <c r="U1206" s="113">
        <f t="shared" si="138"/>
        <v>0.60416410502140971</v>
      </c>
    </row>
    <row r="1207" spans="1:21" x14ac:dyDescent="0.45">
      <c r="A1207" s="95">
        <v>45767</v>
      </c>
      <c r="B1207" s="96">
        <v>10681</v>
      </c>
      <c r="C1207" s="7">
        <v>7536</v>
      </c>
      <c r="D1207" s="7">
        <f t="shared" si="140"/>
        <v>3145</v>
      </c>
      <c r="E1207" s="97">
        <v>4085</v>
      </c>
      <c r="F1207" s="7">
        <v>1482.5</v>
      </c>
      <c r="G1207" s="7">
        <f t="shared" si="134"/>
        <v>2602.5</v>
      </c>
      <c r="H1207" s="98">
        <f t="shared" si="132"/>
        <v>5860</v>
      </c>
      <c r="I1207" s="7">
        <v>4360</v>
      </c>
      <c r="J1207" s="7">
        <v>1500</v>
      </c>
      <c r="K1207" s="99">
        <f t="shared" si="139"/>
        <v>20626</v>
      </c>
      <c r="L1207" s="7">
        <v>0</v>
      </c>
      <c r="M1207" s="7">
        <v>0</v>
      </c>
      <c r="N1207" s="7">
        <v>6938</v>
      </c>
      <c r="O1207" s="7">
        <v>9750</v>
      </c>
      <c r="P1207" s="7">
        <v>9104.2842254726129</v>
      </c>
      <c r="Q1207" s="7">
        <v>-47.904225472612779</v>
      </c>
      <c r="R1207" s="113">
        <f t="shared" si="135"/>
        <v>0.70555191461473643</v>
      </c>
      <c r="S1207" s="113">
        <f t="shared" si="136"/>
        <v>0.36291309669522642</v>
      </c>
      <c r="T1207" s="113">
        <f t="shared" si="137"/>
        <v>0.74402730375426618</v>
      </c>
      <c r="U1207" s="113">
        <f t="shared" si="138"/>
        <v>0.60416410502140971</v>
      </c>
    </row>
    <row r="1208" spans="1:21" x14ac:dyDescent="0.45">
      <c r="A1208" s="95">
        <v>45768</v>
      </c>
      <c r="B1208" s="96">
        <v>10681</v>
      </c>
      <c r="C1208" s="7">
        <v>7536</v>
      </c>
      <c r="D1208" s="7">
        <f t="shared" si="140"/>
        <v>3145</v>
      </c>
      <c r="E1208" s="97">
        <v>4085</v>
      </c>
      <c r="F1208" s="7">
        <v>1482.5</v>
      </c>
      <c r="G1208" s="7">
        <f t="shared" si="134"/>
        <v>2602.5</v>
      </c>
      <c r="H1208" s="98">
        <f t="shared" si="132"/>
        <v>5860</v>
      </c>
      <c r="I1208" s="7">
        <v>4360</v>
      </c>
      <c r="J1208" s="7">
        <v>1500</v>
      </c>
      <c r="K1208" s="99">
        <f t="shared" si="139"/>
        <v>20626</v>
      </c>
      <c r="L1208" s="7">
        <v>0</v>
      </c>
      <c r="M1208" s="7">
        <v>0</v>
      </c>
      <c r="N1208" s="7">
        <v>7550</v>
      </c>
      <c r="O1208" s="7">
        <v>9800</v>
      </c>
      <c r="P1208" s="7">
        <v>9104.2842254726129</v>
      </c>
      <c r="Q1208" s="7">
        <v>-1069.4842254726132</v>
      </c>
      <c r="R1208" s="113">
        <f t="shared" si="135"/>
        <v>0.70555191461473643</v>
      </c>
      <c r="S1208" s="113">
        <f t="shared" si="136"/>
        <v>0.36291309669522642</v>
      </c>
      <c r="T1208" s="113">
        <f t="shared" si="137"/>
        <v>0.74402730375426618</v>
      </c>
      <c r="U1208" s="113">
        <f t="shared" si="138"/>
        <v>0.60416410502140971</v>
      </c>
    </row>
    <row r="1209" spans="1:21" x14ac:dyDescent="0.45">
      <c r="A1209" s="95">
        <v>45769</v>
      </c>
      <c r="B1209" s="96">
        <v>10681</v>
      </c>
      <c r="C1209" s="7">
        <v>7536</v>
      </c>
      <c r="D1209" s="7">
        <f t="shared" si="140"/>
        <v>3145</v>
      </c>
      <c r="E1209" s="97">
        <v>4085</v>
      </c>
      <c r="F1209" s="7">
        <v>1482.5</v>
      </c>
      <c r="G1209" s="7">
        <f t="shared" si="134"/>
        <v>2602.5</v>
      </c>
      <c r="H1209" s="98">
        <f t="shared" si="132"/>
        <v>5860</v>
      </c>
      <c r="I1209" s="7">
        <v>4360</v>
      </c>
      <c r="J1209" s="7">
        <v>1500</v>
      </c>
      <c r="K1209" s="99">
        <f t="shared" si="139"/>
        <v>20626</v>
      </c>
      <c r="L1209" s="7">
        <v>0</v>
      </c>
      <c r="M1209" s="7">
        <v>0</v>
      </c>
      <c r="N1209" s="7">
        <v>7357</v>
      </c>
      <c r="O1209" s="7">
        <v>9750</v>
      </c>
      <c r="P1209" s="7">
        <v>9104.2842254726129</v>
      </c>
      <c r="Q1209" s="7">
        <v>-56.689225472612691</v>
      </c>
      <c r="R1209" s="113">
        <f t="shared" si="135"/>
        <v>0.70555191461473643</v>
      </c>
      <c r="S1209" s="113">
        <f t="shared" si="136"/>
        <v>0.36291309669522642</v>
      </c>
      <c r="T1209" s="113">
        <f t="shared" si="137"/>
        <v>0.74402730375426618</v>
      </c>
      <c r="U1209" s="113">
        <f t="shared" si="138"/>
        <v>0.60416410502140971</v>
      </c>
    </row>
    <row r="1210" spans="1:21" x14ac:dyDescent="0.45">
      <c r="A1210" s="95">
        <v>45770</v>
      </c>
      <c r="B1210" s="96">
        <v>10681</v>
      </c>
      <c r="C1210" s="7">
        <v>7536</v>
      </c>
      <c r="D1210" s="7">
        <f t="shared" si="140"/>
        <v>3145</v>
      </c>
      <c r="E1210" s="97">
        <v>4085</v>
      </c>
      <c r="F1210" s="7">
        <v>1482.5</v>
      </c>
      <c r="G1210" s="7">
        <f t="shared" si="134"/>
        <v>2602.5</v>
      </c>
      <c r="H1210" s="98">
        <f t="shared" si="132"/>
        <v>5860</v>
      </c>
      <c r="I1210" s="7">
        <v>4360</v>
      </c>
      <c r="J1210" s="7">
        <v>1500</v>
      </c>
      <c r="K1210" s="99">
        <f t="shared" si="139"/>
        <v>20626</v>
      </c>
      <c r="L1210" s="7">
        <v>0</v>
      </c>
      <c r="M1210" s="7">
        <v>0</v>
      </c>
      <c r="N1210" s="7">
        <v>7650</v>
      </c>
      <c r="O1210" s="7">
        <v>10000</v>
      </c>
      <c r="P1210" s="7">
        <v>9104.2842254726129</v>
      </c>
      <c r="Q1210" s="7">
        <v>420.46577452738734</v>
      </c>
      <c r="R1210" s="113">
        <f t="shared" si="135"/>
        <v>0.70555191461473643</v>
      </c>
      <c r="S1210" s="113">
        <f t="shared" si="136"/>
        <v>0.36291309669522642</v>
      </c>
      <c r="T1210" s="113">
        <f t="shared" si="137"/>
        <v>0.74402730375426618</v>
      </c>
      <c r="U1210" s="113">
        <f t="shared" si="138"/>
        <v>0.60416410502140971</v>
      </c>
    </row>
    <row r="1211" spans="1:21" x14ac:dyDescent="0.45">
      <c r="A1211" s="95">
        <v>45771</v>
      </c>
      <c r="B1211" s="96">
        <v>10681</v>
      </c>
      <c r="C1211" s="7">
        <v>7316</v>
      </c>
      <c r="D1211" s="7">
        <f t="shared" si="140"/>
        <v>3365</v>
      </c>
      <c r="E1211" s="97">
        <v>3370</v>
      </c>
      <c r="F1211" s="7">
        <v>948</v>
      </c>
      <c r="G1211" s="7">
        <f t="shared" si="134"/>
        <v>2422</v>
      </c>
      <c r="H1211" s="98">
        <f t="shared" si="132"/>
        <v>5860</v>
      </c>
      <c r="I1211" s="7">
        <v>4360</v>
      </c>
      <c r="J1211" s="7">
        <v>1500</v>
      </c>
      <c r="K1211" s="99">
        <f t="shared" si="139"/>
        <v>19911</v>
      </c>
      <c r="L1211" s="7">
        <v>0</v>
      </c>
      <c r="M1211" s="7">
        <v>0</v>
      </c>
      <c r="N1211" s="7">
        <v>8270</v>
      </c>
      <c r="O1211" s="7">
        <v>11000</v>
      </c>
      <c r="P1211" s="7">
        <v>9104.2842254726129</v>
      </c>
      <c r="Q1211" s="7">
        <v>-386.56422547261252</v>
      </c>
      <c r="R1211" s="113">
        <f t="shared" si="135"/>
        <v>0.68495459226664168</v>
      </c>
      <c r="S1211" s="113">
        <f t="shared" si="136"/>
        <v>0.28130563798219582</v>
      </c>
      <c r="T1211" s="113">
        <f t="shared" si="137"/>
        <v>0.74402730375426618</v>
      </c>
      <c r="U1211" s="113">
        <f t="shared" si="138"/>
        <v>0.57009584466770125</v>
      </c>
    </row>
    <row r="1212" spans="1:21" x14ac:dyDescent="0.45">
      <c r="A1212" s="95">
        <v>45772</v>
      </c>
      <c r="B1212" s="96">
        <v>10681</v>
      </c>
      <c r="C1212" s="7">
        <v>7316</v>
      </c>
      <c r="D1212" s="7">
        <f t="shared" si="140"/>
        <v>3365</v>
      </c>
      <c r="E1212" s="97">
        <v>3370</v>
      </c>
      <c r="F1212" s="7">
        <v>948</v>
      </c>
      <c r="G1212" s="7">
        <f t="shared" si="134"/>
        <v>2422</v>
      </c>
      <c r="H1212" s="98">
        <f t="shared" si="132"/>
        <v>5860</v>
      </c>
      <c r="I1212" s="7">
        <v>4360</v>
      </c>
      <c r="J1212" s="7">
        <v>1500</v>
      </c>
      <c r="K1212" s="99">
        <f t="shared" si="139"/>
        <v>19911</v>
      </c>
      <c r="L1212" s="7">
        <v>0</v>
      </c>
      <c r="M1212" s="7">
        <v>0</v>
      </c>
      <c r="N1212" s="7">
        <v>9150</v>
      </c>
      <c r="O1212" s="7">
        <v>9800</v>
      </c>
      <c r="P1212" s="7">
        <v>9104.2842254726129</v>
      </c>
      <c r="Q1212" s="7">
        <v>-705.87122547261254</v>
      </c>
      <c r="R1212" s="113">
        <f t="shared" si="135"/>
        <v>0.68495459226664168</v>
      </c>
      <c r="S1212" s="113">
        <f t="shared" si="136"/>
        <v>0.28130563798219582</v>
      </c>
      <c r="T1212" s="113">
        <f t="shared" si="137"/>
        <v>0.74402730375426618</v>
      </c>
      <c r="U1212" s="113">
        <f t="shared" si="138"/>
        <v>0.57009584466770125</v>
      </c>
    </row>
    <row r="1213" spans="1:21" x14ac:dyDescent="0.45">
      <c r="A1213" s="95">
        <v>45773</v>
      </c>
      <c r="B1213" s="96">
        <v>10681</v>
      </c>
      <c r="C1213" s="7">
        <v>7316</v>
      </c>
      <c r="D1213" s="7">
        <f t="shared" si="140"/>
        <v>3365</v>
      </c>
      <c r="E1213" s="97">
        <v>3370</v>
      </c>
      <c r="F1213" s="7">
        <v>948</v>
      </c>
      <c r="G1213" s="7">
        <f t="shared" si="134"/>
        <v>2422</v>
      </c>
      <c r="H1213" s="98">
        <f t="shared" si="132"/>
        <v>5860</v>
      </c>
      <c r="I1213" s="7">
        <v>4360</v>
      </c>
      <c r="J1213" s="7">
        <v>1500</v>
      </c>
      <c r="K1213" s="99">
        <f t="shared" si="139"/>
        <v>19911</v>
      </c>
      <c r="L1213" s="7">
        <v>0</v>
      </c>
      <c r="M1213" s="7">
        <v>0</v>
      </c>
      <c r="N1213" s="7">
        <v>9150</v>
      </c>
      <c r="O1213" s="7">
        <v>9800</v>
      </c>
      <c r="P1213" s="7">
        <v>9104.2842254726129</v>
      </c>
      <c r="Q1213" s="7">
        <v>-705.87122547261254</v>
      </c>
      <c r="R1213" s="113">
        <f t="shared" si="135"/>
        <v>0.68495459226664168</v>
      </c>
      <c r="S1213" s="113">
        <f t="shared" si="136"/>
        <v>0.28130563798219582</v>
      </c>
      <c r="T1213" s="113">
        <f t="shared" si="137"/>
        <v>0.74402730375426618</v>
      </c>
      <c r="U1213" s="113">
        <f t="shared" si="138"/>
        <v>0.57009584466770125</v>
      </c>
    </row>
    <row r="1214" spans="1:21" x14ac:dyDescent="0.45">
      <c r="A1214" s="95">
        <v>45774</v>
      </c>
      <c r="B1214" s="96">
        <v>10681</v>
      </c>
      <c r="C1214" s="7">
        <v>7316</v>
      </c>
      <c r="D1214" s="7">
        <f t="shared" si="140"/>
        <v>3365</v>
      </c>
      <c r="E1214" s="97">
        <v>3370</v>
      </c>
      <c r="F1214" s="7">
        <v>948</v>
      </c>
      <c r="G1214" s="7">
        <f t="shared" si="134"/>
        <v>2422</v>
      </c>
      <c r="H1214" s="98">
        <f t="shared" si="132"/>
        <v>5860</v>
      </c>
      <c r="I1214" s="7">
        <v>4360</v>
      </c>
      <c r="J1214" s="7">
        <v>1500</v>
      </c>
      <c r="K1214" s="99">
        <f t="shared" si="139"/>
        <v>19911</v>
      </c>
      <c r="L1214" s="7">
        <v>0</v>
      </c>
      <c r="M1214" s="7">
        <v>0</v>
      </c>
      <c r="N1214" s="7">
        <v>9150</v>
      </c>
      <c r="O1214" s="7">
        <v>9800</v>
      </c>
      <c r="P1214" s="7">
        <v>9104.2842254726129</v>
      </c>
      <c r="Q1214" s="7">
        <v>-705.87122547261254</v>
      </c>
      <c r="R1214" s="113">
        <f t="shared" si="135"/>
        <v>0.68495459226664168</v>
      </c>
      <c r="S1214" s="113">
        <f t="shared" si="136"/>
        <v>0.28130563798219582</v>
      </c>
      <c r="T1214" s="113">
        <f t="shared" si="137"/>
        <v>0.74402730375426618</v>
      </c>
      <c r="U1214" s="113">
        <f t="shared" si="138"/>
        <v>0.57009584466770125</v>
      </c>
    </row>
    <row r="1215" spans="1:21" x14ac:dyDescent="0.45">
      <c r="A1215" s="95">
        <v>45775</v>
      </c>
      <c r="B1215" s="96">
        <v>10681</v>
      </c>
      <c r="C1215" s="7">
        <v>7316</v>
      </c>
      <c r="D1215" s="7">
        <f t="shared" si="140"/>
        <v>3365</v>
      </c>
      <c r="E1215" s="97">
        <v>3370</v>
      </c>
      <c r="F1215" s="7">
        <v>948</v>
      </c>
      <c r="G1215" s="7">
        <f t="shared" si="134"/>
        <v>2422</v>
      </c>
      <c r="H1215" s="98">
        <f t="shared" ref="H1215:H1278" si="141">I1215+J1215</f>
        <v>5860</v>
      </c>
      <c r="I1215" s="7">
        <v>4360</v>
      </c>
      <c r="J1215" s="7">
        <v>1500</v>
      </c>
      <c r="K1215" s="99">
        <f t="shared" si="139"/>
        <v>19911</v>
      </c>
      <c r="L1215" s="7">
        <v>0</v>
      </c>
      <c r="M1215" s="7">
        <v>0</v>
      </c>
      <c r="N1215" s="7">
        <v>8330</v>
      </c>
      <c r="O1215" s="7">
        <v>9700</v>
      </c>
      <c r="P1215" s="7">
        <v>9104.2842254726129</v>
      </c>
      <c r="Q1215" s="7">
        <v>986.9837745273876</v>
      </c>
      <c r="R1215" s="113">
        <f t="shared" si="135"/>
        <v>0.68495459226664168</v>
      </c>
      <c r="S1215" s="113">
        <f t="shared" si="136"/>
        <v>0.28130563798219582</v>
      </c>
      <c r="T1215" s="113">
        <f t="shared" si="137"/>
        <v>0.74402730375426618</v>
      </c>
      <c r="U1215" s="113">
        <f t="shared" si="138"/>
        <v>0.57009584466770125</v>
      </c>
    </row>
    <row r="1216" spans="1:21" x14ac:dyDescent="0.45">
      <c r="A1216" s="95">
        <v>45776</v>
      </c>
      <c r="B1216" s="96">
        <v>10681</v>
      </c>
      <c r="C1216" s="7">
        <v>7316</v>
      </c>
      <c r="D1216" s="7">
        <f t="shared" si="140"/>
        <v>3365</v>
      </c>
      <c r="E1216" s="97">
        <v>3370</v>
      </c>
      <c r="F1216" s="7">
        <v>948</v>
      </c>
      <c r="G1216" s="7">
        <f t="shared" si="134"/>
        <v>2422</v>
      </c>
      <c r="H1216" s="98">
        <f t="shared" si="141"/>
        <v>5860</v>
      </c>
      <c r="I1216" s="7">
        <v>4360</v>
      </c>
      <c r="J1216" s="7">
        <v>1500</v>
      </c>
      <c r="K1216" s="99">
        <f t="shared" si="139"/>
        <v>19911</v>
      </c>
      <c r="L1216" s="7">
        <v>0</v>
      </c>
      <c r="M1216" s="7">
        <v>0</v>
      </c>
      <c r="N1216" s="7">
        <v>8790</v>
      </c>
      <c r="O1216" s="7">
        <v>9600</v>
      </c>
      <c r="P1216" s="7">
        <v>9104.2842254726129</v>
      </c>
      <c r="Q1216" s="7">
        <v>585.19577452738724</v>
      </c>
      <c r="R1216" s="113">
        <f t="shared" si="135"/>
        <v>0.68495459226664168</v>
      </c>
      <c r="S1216" s="113">
        <f t="shared" si="136"/>
        <v>0.28130563798219582</v>
      </c>
      <c r="T1216" s="113">
        <f t="shared" si="137"/>
        <v>0.74402730375426618</v>
      </c>
      <c r="U1216" s="113">
        <f t="shared" si="138"/>
        <v>0.57009584466770125</v>
      </c>
    </row>
    <row r="1217" spans="1:21" x14ac:dyDescent="0.45">
      <c r="A1217" s="95">
        <v>45777</v>
      </c>
      <c r="B1217" s="96">
        <v>10681</v>
      </c>
      <c r="C1217" s="7">
        <v>7316</v>
      </c>
      <c r="D1217" s="7">
        <f t="shared" si="140"/>
        <v>3365</v>
      </c>
      <c r="E1217" s="97">
        <v>3370</v>
      </c>
      <c r="F1217" s="7">
        <v>948</v>
      </c>
      <c r="G1217" s="7">
        <f t="shared" si="134"/>
        <v>2422</v>
      </c>
      <c r="H1217" s="98">
        <f t="shared" si="141"/>
        <v>5860</v>
      </c>
      <c r="I1217" s="7">
        <v>4360</v>
      </c>
      <c r="J1217" s="7">
        <v>1500</v>
      </c>
      <c r="K1217" s="99">
        <f t="shared" si="139"/>
        <v>19911</v>
      </c>
      <c r="L1217" s="7">
        <v>0</v>
      </c>
      <c r="M1217" s="7">
        <v>0</v>
      </c>
      <c r="N1217" s="7">
        <v>7950</v>
      </c>
      <c r="O1217" s="7">
        <v>11500</v>
      </c>
      <c r="P1217" s="7">
        <v>9104.2842254726129</v>
      </c>
      <c r="Q1217" s="7">
        <v>-506.16622547261238</v>
      </c>
      <c r="R1217" s="113">
        <f t="shared" si="135"/>
        <v>0.68495459226664168</v>
      </c>
      <c r="S1217" s="113">
        <f t="shared" si="136"/>
        <v>0.28130563798219582</v>
      </c>
      <c r="T1217" s="113">
        <f t="shared" si="137"/>
        <v>0.74402730375426618</v>
      </c>
      <c r="U1217" s="113">
        <f t="shared" si="138"/>
        <v>0.57009584466770125</v>
      </c>
    </row>
    <row r="1218" spans="1:21" x14ac:dyDescent="0.45">
      <c r="A1218" s="95">
        <v>45778</v>
      </c>
      <c r="B1218" s="96">
        <v>10681</v>
      </c>
      <c r="C1218" s="7">
        <v>7316</v>
      </c>
      <c r="D1218" s="7">
        <f t="shared" si="140"/>
        <v>3365</v>
      </c>
      <c r="E1218" s="97">
        <v>3885</v>
      </c>
      <c r="F1218" s="7">
        <v>1216</v>
      </c>
      <c r="G1218" s="7">
        <f t="shared" ref="G1218:G1273" si="142">E1218-F1218</f>
        <v>2669</v>
      </c>
      <c r="H1218" s="98">
        <f t="shared" si="141"/>
        <v>5860</v>
      </c>
      <c r="I1218" s="7">
        <v>4360</v>
      </c>
      <c r="J1218" s="7">
        <v>1500</v>
      </c>
      <c r="K1218" s="99">
        <f t="shared" si="139"/>
        <v>20426</v>
      </c>
      <c r="L1218" s="7">
        <v>0</v>
      </c>
      <c r="M1218" s="7">
        <v>0</v>
      </c>
      <c r="N1218" s="7">
        <v>7950</v>
      </c>
      <c r="O1218" s="7">
        <v>11500</v>
      </c>
      <c r="P1218" s="7">
        <v>9104.2842254726129</v>
      </c>
      <c r="Q1218" s="7">
        <v>-506.16622547261238</v>
      </c>
      <c r="R1218" s="113">
        <f t="shared" si="135"/>
        <v>0.68495459226664168</v>
      </c>
      <c r="S1218" s="113">
        <f t="shared" si="136"/>
        <v>0.31299871299871301</v>
      </c>
      <c r="T1218" s="113">
        <f t="shared" si="137"/>
        <v>0.74402730375426618</v>
      </c>
      <c r="U1218" s="113">
        <f t="shared" si="138"/>
        <v>0.58066020300654031</v>
      </c>
    </row>
    <row r="1219" spans="1:21" x14ac:dyDescent="0.45">
      <c r="A1219" s="95">
        <v>45779</v>
      </c>
      <c r="B1219" s="96">
        <v>10681</v>
      </c>
      <c r="C1219" s="7">
        <v>7316</v>
      </c>
      <c r="D1219" s="7">
        <f t="shared" si="140"/>
        <v>3365</v>
      </c>
      <c r="E1219" s="97">
        <v>3885</v>
      </c>
      <c r="F1219" s="7">
        <v>1216</v>
      </c>
      <c r="G1219" s="7">
        <f t="shared" si="142"/>
        <v>2669</v>
      </c>
      <c r="H1219" s="98">
        <f t="shared" si="141"/>
        <v>5860</v>
      </c>
      <c r="I1219" s="7">
        <v>4360</v>
      </c>
      <c r="J1219" s="7">
        <v>1500</v>
      </c>
      <c r="K1219" s="99">
        <f t="shared" si="139"/>
        <v>20426</v>
      </c>
      <c r="L1219" s="7">
        <v>0</v>
      </c>
      <c r="M1219" s="7">
        <v>0</v>
      </c>
      <c r="N1219" s="7">
        <v>7070</v>
      </c>
      <c r="O1219" s="7">
        <v>11500</v>
      </c>
      <c r="P1219" s="7">
        <v>9104.2842254726129</v>
      </c>
      <c r="Q1219" s="7">
        <v>32.402774527387464</v>
      </c>
      <c r="R1219" s="113">
        <f t="shared" ref="R1219:R1282" si="143">C1219/B1219</f>
        <v>0.68495459226664168</v>
      </c>
      <c r="S1219" s="113">
        <f t="shared" ref="S1219:S1282" si="144">F1219/E1219</f>
        <v>0.31299871299871301</v>
      </c>
      <c r="T1219" s="113">
        <f t="shared" ref="T1219:T1282" si="145">IF(H1219=0,0,I1219/H1219)</f>
        <v>0.74402730375426618</v>
      </c>
      <c r="U1219" s="113">
        <f t="shared" ref="U1219:U1282" si="146">AVERAGE(R1219:T1219)</f>
        <v>0.58066020300654031</v>
      </c>
    </row>
    <row r="1220" spans="1:21" x14ac:dyDescent="0.45">
      <c r="A1220" s="95">
        <v>45780</v>
      </c>
      <c r="B1220" s="96">
        <v>10681</v>
      </c>
      <c r="C1220" s="7">
        <v>7316</v>
      </c>
      <c r="D1220" s="7">
        <f t="shared" si="140"/>
        <v>3365</v>
      </c>
      <c r="E1220" s="97">
        <v>3885</v>
      </c>
      <c r="F1220" s="7">
        <v>1216</v>
      </c>
      <c r="G1220" s="7">
        <f t="shared" si="142"/>
        <v>2669</v>
      </c>
      <c r="H1220" s="98">
        <f t="shared" si="141"/>
        <v>5860</v>
      </c>
      <c r="I1220" s="7">
        <v>4360</v>
      </c>
      <c r="J1220" s="7">
        <v>1500</v>
      </c>
      <c r="K1220" s="99">
        <f t="shared" ref="K1220:K1283" si="147">B1220+E1220+H1220</f>
        <v>20426</v>
      </c>
      <c r="L1220" s="7">
        <v>0</v>
      </c>
      <c r="M1220" s="7">
        <v>0</v>
      </c>
      <c r="N1220" s="7">
        <v>7070</v>
      </c>
      <c r="O1220" s="7">
        <v>11500</v>
      </c>
      <c r="P1220" s="7">
        <v>9104.2842254726129</v>
      </c>
      <c r="Q1220" s="7">
        <v>32.402774527387464</v>
      </c>
      <c r="R1220" s="113">
        <f t="shared" si="143"/>
        <v>0.68495459226664168</v>
      </c>
      <c r="S1220" s="113">
        <f t="shared" si="144"/>
        <v>0.31299871299871301</v>
      </c>
      <c r="T1220" s="113">
        <f t="shared" si="145"/>
        <v>0.74402730375426618</v>
      </c>
      <c r="U1220" s="113">
        <f t="shared" si="146"/>
        <v>0.58066020300654031</v>
      </c>
    </row>
    <row r="1221" spans="1:21" x14ac:dyDescent="0.45">
      <c r="A1221" s="95">
        <v>45781</v>
      </c>
      <c r="B1221" s="96">
        <v>10681</v>
      </c>
      <c r="C1221" s="7">
        <v>7316</v>
      </c>
      <c r="D1221" s="7">
        <f t="shared" si="140"/>
        <v>3365</v>
      </c>
      <c r="E1221" s="97">
        <v>3885</v>
      </c>
      <c r="F1221" s="7">
        <v>1216</v>
      </c>
      <c r="G1221" s="7">
        <f t="shared" si="142"/>
        <v>2669</v>
      </c>
      <c r="H1221" s="98">
        <f t="shared" si="141"/>
        <v>5860</v>
      </c>
      <c r="I1221" s="7">
        <v>4360</v>
      </c>
      <c r="J1221" s="7">
        <v>1500</v>
      </c>
      <c r="K1221" s="99">
        <f t="shared" si="147"/>
        <v>20426</v>
      </c>
      <c r="L1221" s="7">
        <v>0</v>
      </c>
      <c r="M1221" s="7">
        <v>0</v>
      </c>
      <c r="N1221" s="7">
        <v>7070</v>
      </c>
      <c r="O1221" s="7">
        <v>11500</v>
      </c>
      <c r="P1221" s="7">
        <v>9104.2842254726129</v>
      </c>
      <c r="Q1221" s="7">
        <v>32.402774527387464</v>
      </c>
      <c r="R1221" s="113">
        <f t="shared" si="143"/>
        <v>0.68495459226664168</v>
      </c>
      <c r="S1221" s="113">
        <f t="shared" si="144"/>
        <v>0.31299871299871301</v>
      </c>
      <c r="T1221" s="113">
        <f t="shared" si="145"/>
        <v>0.74402730375426618</v>
      </c>
      <c r="U1221" s="113">
        <f t="shared" si="146"/>
        <v>0.58066020300654031</v>
      </c>
    </row>
    <row r="1222" spans="1:21" x14ac:dyDescent="0.45">
      <c r="A1222" s="95">
        <v>45782</v>
      </c>
      <c r="B1222" s="96">
        <v>10681</v>
      </c>
      <c r="C1222" s="7">
        <v>7316</v>
      </c>
      <c r="D1222" s="7">
        <f t="shared" si="140"/>
        <v>3365</v>
      </c>
      <c r="E1222" s="97">
        <v>3885</v>
      </c>
      <c r="F1222" s="7">
        <v>1216</v>
      </c>
      <c r="G1222" s="7">
        <f t="shared" si="142"/>
        <v>2669</v>
      </c>
      <c r="H1222" s="98">
        <f t="shared" si="141"/>
        <v>5860</v>
      </c>
      <c r="I1222" s="7">
        <v>4360</v>
      </c>
      <c r="J1222" s="7">
        <v>1500</v>
      </c>
      <c r="K1222" s="99">
        <f t="shared" si="147"/>
        <v>20426</v>
      </c>
      <c r="L1222" s="7">
        <v>0</v>
      </c>
      <c r="M1222" s="7">
        <v>0</v>
      </c>
      <c r="N1222" s="7">
        <v>7720</v>
      </c>
      <c r="O1222" s="7">
        <v>10300</v>
      </c>
      <c r="P1222" s="7">
        <v>9104.2842254726129</v>
      </c>
      <c r="Q1222" s="7">
        <v>817.9757745273871</v>
      </c>
      <c r="R1222" s="113">
        <f t="shared" si="143"/>
        <v>0.68495459226664168</v>
      </c>
      <c r="S1222" s="113">
        <f t="shared" si="144"/>
        <v>0.31299871299871301</v>
      </c>
      <c r="T1222" s="113">
        <f t="shared" si="145"/>
        <v>0.74402730375426618</v>
      </c>
      <c r="U1222" s="113">
        <f t="shared" si="146"/>
        <v>0.58066020300654031</v>
      </c>
    </row>
    <row r="1223" spans="1:21" x14ac:dyDescent="0.45">
      <c r="A1223" s="95">
        <v>45783</v>
      </c>
      <c r="B1223" s="96">
        <v>10681</v>
      </c>
      <c r="C1223" s="7">
        <v>7316</v>
      </c>
      <c r="D1223" s="7">
        <f t="shared" si="140"/>
        <v>3365</v>
      </c>
      <c r="E1223" s="97">
        <v>3885</v>
      </c>
      <c r="F1223" s="7">
        <v>1216</v>
      </c>
      <c r="G1223" s="7">
        <f t="shared" si="142"/>
        <v>2669</v>
      </c>
      <c r="H1223" s="98">
        <f t="shared" si="141"/>
        <v>5860</v>
      </c>
      <c r="I1223" s="7">
        <v>4360</v>
      </c>
      <c r="J1223" s="7">
        <v>1500</v>
      </c>
      <c r="K1223" s="99">
        <f t="shared" si="147"/>
        <v>20426</v>
      </c>
      <c r="L1223" s="7">
        <v>0</v>
      </c>
      <c r="M1223" s="7">
        <v>0</v>
      </c>
      <c r="N1223" s="7">
        <v>8030</v>
      </c>
      <c r="O1223" s="7">
        <v>9200</v>
      </c>
      <c r="P1223" s="7">
        <v>9104.2842254726129</v>
      </c>
      <c r="Q1223" s="7">
        <v>441.46677452738732</v>
      </c>
      <c r="R1223" s="113">
        <f t="shared" si="143"/>
        <v>0.68495459226664168</v>
      </c>
      <c r="S1223" s="113">
        <f t="shared" si="144"/>
        <v>0.31299871299871301</v>
      </c>
      <c r="T1223" s="113">
        <f t="shared" si="145"/>
        <v>0.74402730375426618</v>
      </c>
      <c r="U1223" s="113">
        <f t="shared" si="146"/>
        <v>0.58066020300654031</v>
      </c>
    </row>
    <row r="1224" spans="1:21" x14ac:dyDescent="0.45">
      <c r="A1224" s="95">
        <v>45784</v>
      </c>
      <c r="B1224" s="96">
        <v>10681</v>
      </c>
      <c r="C1224" s="7">
        <v>7316</v>
      </c>
      <c r="D1224" s="7">
        <f t="shared" si="140"/>
        <v>3365</v>
      </c>
      <c r="E1224" s="97">
        <v>3885</v>
      </c>
      <c r="F1224" s="7">
        <v>1216</v>
      </c>
      <c r="G1224" s="7">
        <f t="shared" si="142"/>
        <v>2669</v>
      </c>
      <c r="H1224" s="98">
        <f t="shared" si="141"/>
        <v>5860</v>
      </c>
      <c r="I1224" s="7">
        <v>4360</v>
      </c>
      <c r="J1224" s="7">
        <v>1500</v>
      </c>
      <c r="K1224" s="99">
        <f t="shared" si="147"/>
        <v>20426</v>
      </c>
      <c r="L1224" s="7">
        <v>0</v>
      </c>
      <c r="M1224" s="7">
        <v>0</v>
      </c>
      <c r="N1224" s="7">
        <v>7150</v>
      </c>
      <c r="O1224" s="7">
        <v>9300</v>
      </c>
      <c r="P1224" s="7">
        <v>9104.2842254726129</v>
      </c>
      <c r="Q1224" s="7">
        <v>2002.3337745273877</v>
      </c>
      <c r="R1224" s="113">
        <f t="shared" si="143"/>
        <v>0.68495459226664168</v>
      </c>
      <c r="S1224" s="113">
        <f t="shared" si="144"/>
        <v>0.31299871299871301</v>
      </c>
      <c r="T1224" s="113">
        <f t="shared" si="145"/>
        <v>0.74402730375426618</v>
      </c>
      <c r="U1224" s="113">
        <f t="shared" si="146"/>
        <v>0.58066020300654031</v>
      </c>
    </row>
    <row r="1225" spans="1:21" x14ac:dyDescent="0.45">
      <c r="A1225" s="95">
        <v>45785</v>
      </c>
      <c r="B1225" s="96">
        <v>10681</v>
      </c>
      <c r="C1225" s="7">
        <v>7506</v>
      </c>
      <c r="D1225" s="7">
        <f t="shared" si="140"/>
        <v>3175</v>
      </c>
      <c r="E1225" s="97">
        <v>3885</v>
      </c>
      <c r="F1225" s="7">
        <v>1216</v>
      </c>
      <c r="G1225" s="7">
        <f t="shared" si="142"/>
        <v>2669</v>
      </c>
      <c r="H1225" s="98">
        <f t="shared" si="141"/>
        <v>5860</v>
      </c>
      <c r="I1225" s="7">
        <v>4360</v>
      </c>
      <c r="J1225" s="7">
        <v>1500</v>
      </c>
      <c r="K1225" s="99">
        <f t="shared" si="147"/>
        <v>20426</v>
      </c>
      <c r="L1225" s="7">
        <v>0</v>
      </c>
      <c r="M1225" s="7">
        <v>0</v>
      </c>
      <c r="N1225" s="7">
        <v>8270</v>
      </c>
      <c r="O1225" s="7">
        <v>9500</v>
      </c>
      <c r="P1225" s="7">
        <v>9104.2842254726129</v>
      </c>
      <c r="Q1225" s="7">
        <v>917.6657745273875</v>
      </c>
      <c r="R1225" s="113">
        <f t="shared" si="143"/>
        <v>0.7027431888399962</v>
      </c>
      <c r="S1225" s="113">
        <f t="shared" si="144"/>
        <v>0.31299871299871301</v>
      </c>
      <c r="T1225" s="113">
        <f t="shared" si="145"/>
        <v>0.74402730375426618</v>
      </c>
      <c r="U1225" s="113">
        <f t="shared" si="146"/>
        <v>0.58658973519765845</v>
      </c>
    </row>
    <row r="1226" spans="1:21" x14ac:dyDescent="0.45">
      <c r="A1226" s="95">
        <v>45786</v>
      </c>
      <c r="B1226" s="96">
        <v>10681</v>
      </c>
      <c r="C1226" s="7">
        <v>7506</v>
      </c>
      <c r="D1226" s="7">
        <f t="shared" si="140"/>
        <v>3175</v>
      </c>
      <c r="E1226" s="97">
        <v>3885</v>
      </c>
      <c r="F1226" s="7">
        <v>1216</v>
      </c>
      <c r="G1226" s="7">
        <f t="shared" si="142"/>
        <v>2669</v>
      </c>
      <c r="H1226" s="98">
        <f t="shared" si="141"/>
        <v>5860</v>
      </c>
      <c r="I1226" s="7">
        <v>4360</v>
      </c>
      <c r="J1226" s="7">
        <v>1500</v>
      </c>
      <c r="K1226" s="99">
        <f t="shared" si="147"/>
        <v>20426</v>
      </c>
      <c r="L1226" s="7">
        <v>0</v>
      </c>
      <c r="M1226" s="7">
        <v>0</v>
      </c>
      <c r="N1226" s="7">
        <v>8400</v>
      </c>
      <c r="O1226" s="7">
        <v>9550</v>
      </c>
      <c r="P1226" s="7">
        <v>9104.2842254726129</v>
      </c>
      <c r="Q1226" s="7">
        <v>562.69577452738758</v>
      </c>
      <c r="R1226" s="113">
        <f t="shared" si="143"/>
        <v>0.7027431888399962</v>
      </c>
      <c r="S1226" s="113">
        <f t="shared" si="144"/>
        <v>0.31299871299871301</v>
      </c>
      <c r="T1226" s="113">
        <f t="shared" si="145"/>
        <v>0.74402730375426618</v>
      </c>
      <c r="U1226" s="113">
        <f t="shared" si="146"/>
        <v>0.58658973519765845</v>
      </c>
    </row>
    <row r="1227" spans="1:21" x14ac:dyDescent="0.45">
      <c r="A1227" s="95">
        <v>45787</v>
      </c>
      <c r="B1227" s="96">
        <v>10681</v>
      </c>
      <c r="C1227" s="7">
        <v>7506</v>
      </c>
      <c r="D1227" s="7">
        <f t="shared" si="140"/>
        <v>3175</v>
      </c>
      <c r="E1227" s="97">
        <v>3885</v>
      </c>
      <c r="F1227" s="7">
        <v>1216</v>
      </c>
      <c r="G1227" s="7">
        <f t="shared" si="142"/>
        <v>2669</v>
      </c>
      <c r="H1227" s="98">
        <f t="shared" si="141"/>
        <v>5860</v>
      </c>
      <c r="I1227" s="7">
        <v>4360</v>
      </c>
      <c r="J1227" s="7">
        <v>1500</v>
      </c>
      <c r="K1227" s="99">
        <f t="shared" si="147"/>
        <v>20426</v>
      </c>
      <c r="L1227" s="7">
        <v>0</v>
      </c>
      <c r="M1227" s="7">
        <v>0</v>
      </c>
      <c r="N1227" s="7">
        <v>8400</v>
      </c>
      <c r="O1227" s="7">
        <v>9550</v>
      </c>
      <c r="P1227" s="7">
        <v>9104.2842254726129</v>
      </c>
      <c r="Q1227" s="7">
        <v>562.69577452738758</v>
      </c>
      <c r="R1227" s="113">
        <f t="shared" si="143"/>
        <v>0.7027431888399962</v>
      </c>
      <c r="S1227" s="113">
        <f t="shared" si="144"/>
        <v>0.31299871299871301</v>
      </c>
      <c r="T1227" s="113">
        <f t="shared" si="145"/>
        <v>0.74402730375426618</v>
      </c>
      <c r="U1227" s="113">
        <f t="shared" si="146"/>
        <v>0.58658973519765845</v>
      </c>
    </row>
    <row r="1228" spans="1:21" x14ac:dyDescent="0.45">
      <c r="A1228" s="95">
        <v>45788</v>
      </c>
      <c r="B1228" s="96">
        <v>10681</v>
      </c>
      <c r="C1228" s="7">
        <v>7506</v>
      </c>
      <c r="D1228" s="7">
        <f t="shared" si="140"/>
        <v>3175</v>
      </c>
      <c r="E1228" s="97">
        <v>3885</v>
      </c>
      <c r="F1228" s="7">
        <v>1216</v>
      </c>
      <c r="G1228" s="7">
        <f t="shared" si="142"/>
        <v>2669</v>
      </c>
      <c r="H1228" s="98">
        <f t="shared" si="141"/>
        <v>5860</v>
      </c>
      <c r="I1228" s="7">
        <v>4360</v>
      </c>
      <c r="J1228" s="7">
        <v>1500</v>
      </c>
      <c r="K1228" s="99">
        <f t="shared" si="147"/>
        <v>20426</v>
      </c>
      <c r="L1228" s="7">
        <v>0</v>
      </c>
      <c r="M1228" s="7">
        <v>0</v>
      </c>
      <c r="N1228" s="7">
        <v>8400</v>
      </c>
      <c r="O1228" s="7">
        <v>9550</v>
      </c>
      <c r="P1228" s="7">
        <v>9104.2842254726129</v>
      </c>
      <c r="Q1228" s="7">
        <v>562.69577452738758</v>
      </c>
      <c r="R1228" s="113">
        <f t="shared" si="143"/>
        <v>0.7027431888399962</v>
      </c>
      <c r="S1228" s="113">
        <f t="shared" si="144"/>
        <v>0.31299871299871301</v>
      </c>
      <c r="T1228" s="113">
        <f t="shared" si="145"/>
        <v>0.74402730375426618</v>
      </c>
      <c r="U1228" s="113">
        <f t="shared" si="146"/>
        <v>0.58658973519765845</v>
      </c>
    </row>
    <row r="1229" spans="1:21" x14ac:dyDescent="0.45">
      <c r="A1229" s="95">
        <v>45789</v>
      </c>
      <c r="B1229" s="96">
        <v>10681</v>
      </c>
      <c r="C1229" s="7">
        <v>7506</v>
      </c>
      <c r="D1229" s="7">
        <f t="shared" si="140"/>
        <v>3175</v>
      </c>
      <c r="E1229" s="97">
        <v>3885</v>
      </c>
      <c r="F1229" s="7">
        <v>1216</v>
      </c>
      <c r="G1229" s="7">
        <f t="shared" si="142"/>
        <v>2669</v>
      </c>
      <c r="H1229" s="98">
        <f t="shared" si="141"/>
        <v>5860</v>
      </c>
      <c r="I1229" s="7">
        <v>4360</v>
      </c>
      <c r="J1229" s="7">
        <v>1500</v>
      </c>
      <c r="K1229" s="99">
        <f t="shared" si="147"/>
        <v>20426</v>
      </c>
      <c r="L1229" s="7">
        <v>0</v>
      </c>
      <c r="M1229" s="7">
        <v>0</v>
      </c>
      <c r="N1229" s="7">
        <v>5980</v>
      </c>
      <c r="O1229" s="7">
        <v>10750</v>
      </c>
      <c r="P1229" s="7">
        <v>9170.68</v>
      </c>
      <c r="Q1229" s="7">
        <v>1938.0900000000006</v>
      </c>
      <c r="R1229" s="113">
        <f t="shared" si="143"/>
        <v>0.7027431888399962</v>
      </c>
      <c r="S1229" s="113">
        <f t="shared" si="144"/>
        <v>0.31299871299871301</v>
      </c>
      <c r="T1229" s="113">
        <f t="shared" si="145"/>
        <v>0.74402730375426618</v>
      </c>
      <c r="U1229" s="113">
        <f t="shared" si="146"/>
        <v>0.58658973519765845</v>
      </c>
    </row>
    <row r="1230" spans="1:21" x14ac:dyDescent="0.45">
      <c r="A1230" s="95">
        <v>45790</v>
      </c>
      <c r="B1230" s="96">
        <v>10681</v>
      </c>
      <c r="C1230" s="7">
        <v>7506</v>
      </c>
      <c r="D1230" s="7">
        <f t="shared" si="140"/>
        <v>3175</v>
      </c>
      <c r="E1230" s="97">
        <v>3885</v>
      </c>
      <c r="F1230" s="7">
        <v>1216</v>
      </c>
      <c r="G1230" s="7">
        <f t="shared" si="142"/>
        <v>2669</v>
      </c>
      <c r="H1230" s="98">
        <f t="shared" si="141"/>
        <v>5860</v>
      </c>
      <c r="I1230" s="7">
        <v>4360</v>
      </c>
      <c r="J1230" s="7">
        <v>1500</v>
      </c>
      <c r="K1230" s="99">
        <f t="shared" si="147"/>
        <v>20426</v>
      </c>
      <c r="L1230" s="7">
        <v>0</v>
      </c>
      <c r="M1230" s="7">
        <v>0</v>
      </c>
      <c r="N1230" s="7">
        <v>8090</v>
      </c>
      <c r="O1230" s="7">
        <v>10750</v>
      </c>
      <c r="P1230" s="7">
        <v>9170.68</v>
      </c>
      <c r="Q1230" s="7">
        <v>212.74079121999995</v>
      </c>
      <c r="R1230" s="113">
        <f t="shared" si="143"/>
        <v>0.7027431888399962</v>
      </c>
      <c r="S1230" s="113">
        <f t="shared" si="144"/>
        <v>0.31299871299871301</v>
      </c>
      <c r="T1230" s="113">
        <f t="shared" si="145"/>
        <v>0.74402730375426618</v>
      </c>
      <c r="U1230" s="113">
        <f t="shared" si="146"/>
        <v>0.58658973519765845</v>
      </c>
    </row>
    <row r="1231" spans="1:21" x14ac:dyDescent="0.45">
      <c r="A1231" s="95">
        <v>45791</v>
      </c>
      <c r="B1231" s="96">
        <v>10681</v>
      </c>
      <c r="C1231" s="7">
        <v>7506</v>
      </c>
      <c r="D1231" s="7">
        <f t="shared" si="140"/>
        <v>3175</v>
      </c>
      <c r="E1231" s="97">
        <v>3885</v>
      </c>
      <c r="F1231" s="7">
        <v>1216</v>
      </c>
      <c r="G1231" s="7">
        <f t="shared" si="142"/>
        <v>2669</v>
      </c>
      <c r="H1231" s="98">
        <f t="shared" si="141"/>
        <v>5860</v>
      </c>
      <c r="I1231" s="7">
        <v>4360</v>
      </c>
      <c r="J1231" s="7">
        <v>1500</v>
      </c>
      <c r="K1231" s="99">
        <f t="shared" si="147"/>
        <v>20426</v>
      </c>
      <c r="L1231" s="7">
        <v>0</v>
      </c>
      <c r="M1231" s="7">
        <v>0</v>
      </c>
      <c r="N1231" s="7">
        <v>8385</v>
      </c>
      <c r="O1231" s="7">
        <v>10750</v>
      </c>
      <c r="P1231" s="7">
        <v>9170.68</v>
      </c>
      <c r="Q1231" s="7">
        <v>-308.06558834000026</v>
      </c>
      <c r="R1231" s="113">
        <f t="shared" si="143"/>
        <v>0.7027431888399962</v>
      </c>
      <c r="S1231" s="113">
        <f t="shared" si="144"/>
        <v>0.31299871299871301</v>
      </c>
      <c r="T1231" s="113">
        <f t="shared" si="145"/>
        <v>0.74402730375426618</v>
      </c>
      <c r="U1231" s="113">
        <f t="shared" si="146"/>
        <v>0.58658973519765845</v>
      </c>
    </row>
    <row r="1232" spans="1:21" x14ac:dyDescent="0.45">
      <c r="A1232" s="95">
        <v>45792</v>
      </c>
      <c r="B1232" s="96">
        <v>10581</v>
      </c>
      <c r="C1232" s="7">
        <v>7376</v>
      </c>
      <c r="D1232" s="7">
        <f t="shared" si="140"/>
        <v>3205</v>
      </c>
      <c r="E1232" s="97">
        <v>3885</v>
      </c>
      <c r="F1232" s="7">
        <v>1216</v>
      </c>
      <c r="G1232" s="7">
        <f t="shared" si="142"/>
        <v>2669</v>
      </c>
      <c r="H1232" s="98">
        <f t="shared" si="141"/>
        <v>5860</v>
      </c>
      <c r="I1232" s="7">
        <v>4360</v>
      </c>
      <c r="J1232" s="7">
        <v>1500</v>
      </c>
      <c r="K1232" s="99">
        <f t="shared" si="147"/>
        <v>20326</v>
      </c>
      <c r="L1232" s="7">
        <v>0</v>
      </c>
      <c r="M1232" s="7">
        <v>0</v>
      </c>
      <c r="N1232" s="7">
        <v>7970</v>
      </c>
      <c r="O1232" s="7">
        <v>10700</v>
      </c>
      <c r="P1232" s="7">
        <v>9170.68</v>
      </c>
      <c r="Q1232" s="7">
        <v>-226.8576930400003</v>
      </c>
      <c r="R1232" s="113">
        <f t="shared" si="143"/>
        <v>0.69709857291371324</v>
      </c>
      <c r="S1232" s="113">
        <f t="shared" si="144"/>
        <v>0.31299871299871301</v>
      </c>
      <c r="T1232" s="113">
        <f t="shared" si="145"/>
        <v>0.74402730375426618</v>
      </c>
      <c r="U1232" s="113">
        <f t="shared" si="146"/>
        <v>0.58470819655556416</v>
      </c>
    </row>
    <row r="1233" spans="1:21" x14ac:dyDescent="0.45">
      <c r="A1233" s="95">
        <v>45793</v>
      </c>
      <c r="B1233" s="96">
        <v>10581</v>
      </c>
      <c r="C1233" s="7">
        <v>7376</v>
      </c>
      <c r="D1233" s="7">
        <f t="shared" si="140"/>
        <v>3205</v>
      </c>
      <c r="E1233" s="97">
        <v>3885</v>
      </c>
      <c r="F1233" s="7">
        <v>1216</v>
      </c>
      <c r="G1233" s="7">
        <f t="shared" si="142"/>
        <v>2669</v>
      </c>
      <c r="H1233" s="98">
        <f t="shared" si="141"/>
        <v>5860</v>
      </c>
      <c r="I1233" s="7">
        <v>4360</v>
      </c>
      <c r="J1233" s="7">
        <v>1500</v>
      </c>
      <c r="K1233" s="99">
        <f t="shared" si="147"/>
        <v>20326</v>
      </c>
      <c r="L1233" s="7">
        <v>0</v>
      </c>
      <c r="M1233" s="7">
        <v>0</v>
      </c>
      <c r="N1233" s="7">
        <v>6610</v>
      </c>
      <c r="O1233" s="7">
        <v>10750</v>
      </c>
      <c r="P1233" s="7">
        <v>9170.68</v>
      </c>
      <c r="Q1233" s="7">
        <v>1021.3933753499999</v>
      </c>
      <c r="R1233" s="113">
        <f t="shared" si="143"/>
        <v>0.69709857291371324</v>
      </c>
      <c r="S1233" s="113">
        <f t="shared" si="144"/>
        <v>0.31299871299871301</v>
      </c>
      <c r="T1233" s="113">
        <f t="shared" si="145"/>
        <v>0.74402730375426618</v>
      </c>
      <c r="U1233" s="113">
        <f t="shared" si="146"/>
        <v>0.58470819655556416</v>
      </c>
    </row>
    <row r="1234" spans="1:21" x14ac:dyDescent="0.45">
      <c r="A1234" s="95">
        <v>45794</v>
      </c>
      <c r="B1234" s="96">
        <v>10581</v>
      </c>
      <c r="C1234" s="7">
        <v>7376</v>
      </c>
      <c r="D1234" s="7">
        <f t="shared" si="140"/>
        <v>3205</v>
      </c>
      <c r="E1234" s="97">
        <v>3885</v>
      </c>
      <c r="F1234" s="7">
        <v>1216</v>
      </c>
      <c r="G1234" s="7">
        <f t="shared" si="142"/>
        <v>2669</v>
      </c>
      <c r="H1234" s="98">
        <f t="shared" si="141"/>
        <v>5860</v>
      </c>
      <c r="I1234" s="7">
        <v>4360</v>
      </c>
      <c r="J1234" s="7">
        <v>1500</v>
      </c>
      <c r="K1234" s="99">
        <f t="shared" si="147"/>
        <v>20326</v>
      </c>
      <c r="L1234" s="7">
        <v>0</v>
      </c>
      <c r="M1234" s="7">
        <v>0</v>
      </c>
      <c r="N1234" s="7">
        <v>6610</v>
      </c>
      <c r="O1234" s="7">
        <v>10750</v>
      </c>
      <c r="P1234" s="7">
        <v>9170.68</v>
      </c>
      <c r="Q1234" s="7">
        <v>1021.3933753499999</v>
      </c>
      <c r="R1234" s="113">
        <f t="shared" si="143"/>
        <v>0.69709857291371324</v>
      </c>
      <c r="S1234" s="113">
        <f t="shared" si="144"/>
        <v>0.31299871299871301</v>
      </c>
      <c r="T1234" s="113">
        <f t="shared" si="145"/>
        <v>0.74402730375426618</v>
      </c>
      <c r="U1234" s="113">
        <f t="shared" si="146"/>
        <v>0.58470819655556416</v>
      </c>
    </row>
    <row r="1235" spans="1:21" x14ac:dyDescent="0.45">
      <c r="A1235" s="95">
        <v>45795</v>
      </c>
      <c r="B1235" s="96">
        <v>10581</v>
      </c>
      <c r="C1235" s="7">
        <v>7376</v>
      </c>
      <c r="D1235" s="7">
        <f t="shared" si="140"/>
        <v>3205</v>
      </c>
      <c r="E1235" s="97">
        <v>3885</v>
      </c>
      <c r="F1235" s="7">
        <v>1216</v>
      </c>
      <c r="G1235" s="7">
        <f t="shared" si="142"/>
        <v>2669</v>
      </c>
      <c r="H1235" s="98">
        <f t="shared" si="141"/>
        <v>5860</v>
      </c>
      <c r="I1235" s="7">
        <v>4360</v>
      </c>
      <c r="J1235" s="7">
        <v>1500</v>
      </c>
      <c r="K1235" s="99">
        <f t="shared" si="147"/>
        <v>20326</v>
      </c>
      <c r="L1235" s="7">
        <v>0</v>
      </c>
      <c r="M1235" s="7">
        <v>0</v>
      </c>
      <c r="N1235" s="7">
        <v>6610</v>
      </c>
      <c r="O1235" s="7">
        <v>10750</v>
      </c>
      <c r="P1235" s="7">
        <v>9170.68</v>
      </c>
      <c r="Q1235" s="7">
        <v>1021.3933753499999</v>
      </c>
      <c r="R1235" s="113">
        <f t="shared" si="143"/>
        <v>0.69709857291371324</v>
      </c>
      <c r="S1235" s="113">
        <f t="shared" si="144"/>
        <v>0.31299871299871301</v>
      </c>
      <c r="T1235" s="113">
        <f t="shared" si="145"/>
        <v>0.74402730375426618</v>
      </c>
      <c r="U1235" s="113">
        <f t="shared" si="146"/>
        <v>0.58470819655556416</v>
      </c>
    </row>
    <row r="1236" spans="1:21" x14ac:dyDescent="0.45">
      <c r="A1236" s="95">
        <v>45796</v>
      </c>
      <c r="B1236" s="96">
        <v>10581</v>
      </c>
      <c r="C1236" s="7">
        <v>7376</v>
      </c>
      <c r="D1236" s="7">
        <f t="shared" si="140"/>
        <v>3205</v>
      </c>
      <c r="E1236" s="97">
        <v>3885</v>
      </c>
      <c r="F1236" s="7">
        <v>1216</v>
      </c>
      <c r="G1236" s="7">
        <f t="shared" si="142"/>
        <v>2669</v>
      </c>
      <c r="H1236" s="98">
        <f t="shared" si="141"/>
        <v>5860</v>
      </c>
      <c r="I1236" s="7">
        <v>4360</v>
      </c>
      <c r="J1236" s="7">
        <v>1500</v>
      </c>
      <c r="K1236" s="99">
        <f t="shared" si="147"/>
        <v>20326</v>
      </c>
      <c r="L1236" s="7">
        <v>0</v>
      </c>
      <c r="M1236" s="7">
        <v>0</v>
      </c>
      <c r="N1236" s="7">
        <v>8060</v>
      </c>
      <c r="O1236" s="7">
        <v>11750</v>
      </c>
      <c r="P1236" s="7">
        <v>9170.68</v>
      </c>
      <c r="Q1236" s="7">
        <v>-1186.2892456900004</v>
      </c>
      <c r="R1236" s="113">
        <f t="shared" si="143"/>
        <v>0.69709857291371324</v>
      </c>
      <c r="S1236" s="113">
        <f t="shared" si="144"/>
        <v>0.31299871299871301</v>
      </c>
      <c r="T1236" s="113">
        <f t="shared" si="145"/>
        <v>0.74402730375426618</v>
      </c>
      <c r="U1236" s="113">
        <f t="shared" si="146"/>
        <v>0.58470819655556416</v>
      </c>
    </row>
    <row r="1237" spans="1:21" x14ac:dyDescent="0.45">
      <c r="A1237" s="95">
        <v>45797</v>
      </c>
      <c r="B1237" s="96">
        <v>10581</v>
      </c>
      <c r="C1237" s="7">
        <v>7376</v>
      </c>
      <c r="D1237" s="7">
        <f t="shared" si="140"/>
        <v>3205</v>
      </c>
      <c r="E1237" s="97">
        <v>3885</v>
      </c>
      <c r="F1237" s="7">
        <v>1216</v>
      </c>
      <c r="G1237" s="7">
        <f t="shared" si="142"/>
        <v>2669</v>
      </c>
      <c r="H1237" s="98">
        <f t="shared" si="141"/>
        <v>5860</v>
      </c>
      <c r="I1237" s="7">
        <v>4360</v>
      </c>
      <c r="J1237" s="7">
        <v>1500</v>
      </c>
      <c r="K1237" s="99">
        <f t="shared" si="147"/>
        <v>20326</v>
      </c>
      <c r="L1237" s="7">
        <v>0</v>
      </c>
      <c r="M1237" s="7">
        <v>0</v>
      </c>
      <c r="N1237" s="7">
        <v>7980</v>
      </c>
      <c r="O1237" s="7">
        <v>11800</v>
      </c>
      <c r="P1237" s="7">
        <v>9170.68</v>
      </c>
      <c r="Q1237" s="7">
        <v>-1006.4934568600002</v>
      </c>
      <c r="R1237" s="113">
        <f t="shared" si="143"/>
        <v>0.69709857291371324</v>
      </c>
      <c r="S1237" s="113">
        <f t="shared" si="144"/>
        <v>0.31299871299871301</v>
      </c>
      <c r="T1237" s="113">
        <f t="shared" si="145"/>
        <v>0.74402730375426618</v>
      </c>
      <c r="U1237" s="113">
        <f t="shared" si="146"/>
        <v>0.58470819655556416</v>
      </c>
    </row>
    <row r="1238" spans="1:21" x14ac:dyDescent="0.45">
      <c r="A1238" s="95">
        <v>45798</v>
      </c>
      <c r="B1238" s="96">
        <v>10581</v>
      </c>
      <c r="C1238" s="7">
        <v>7376</v>
      </c>
      <c r="D1238" s="7">
        <f t="shared" si="140"/>
        <v>3205</v>
      </c>
      <c r="E1238" s="97">
        <v>3885</v>
      </c>
      <c r="F1238" s="7">
        <v>1216</v>
      </c>
      <c r="G1238" s="7">
        <f t="shared" si="142"/>
        <v>2669</v>
      </c>
      <c r="H1238" s="98">
        <f t="shared" si="141"/>
        <v>5860</v>
      </c>
      <c r="I1238" s="7">
        <v>4360</v>
      </c>
      <c r="J1238" s="7">
        <v>1500</v>
      </c>
      <c r="K1238" s="99">
        <f t="shared" si="147"/>
        <v>20326</v>
      </c>
      <c r="L1238" s="7">
        <v>0</v>
      </c>
      <c r="M1238" s="7">
        <v>0</v>
      </c>
      <c r="N1238" s="7">
        <v>7060</v>
      </c>
      <c r="O1238" s="7">
        <v>11700</v>
      </c>
      <c r="P1238" s="7">
        <v>9170.68</v>
      </c>
      <c r="Q1238" s="7">
        <v>-36.730000000000047</v>
      </c>
      <c r="R1238" s="113">
        <f t="shared" si="143"/>
        <v>0.69709857291371324</v>
      </c>
      <c r="S1238" s="113">
        <f t="shared" si="144"/>
        <v>0.31299871299871301</v>
      </c>
      <c r="T1238" s="113">
        <f t="shared" si="145"/>
        <v>0.74402730375426618</v>
      </c>
      <c r="U1238" s="113">
        <f t="shared" si="146"/>
        <v>0.58470819655556416</v>
      </c>
    </row>
    <row r="1239" spans="1:21" x14ac:dyDescent="0.45">
      <c r="A1239" s="95">
        <v>45799</v>
      </c>
      <c r="B1239" s="96">
        <v>10981</v>
      </c>
      <c r="C1239" s="7">
        <v>7756</v>
      </c>
      <c r="D1239" s="7">
        <f t="shared" si="140"/>
        <v>3225</v>
      </c>
      <c r="E1239" s="97">
        <v>3885</v>
      </c>
      <c r="F1239" s="7">
        <v>1216</v>
      </c>
      <c r="G1239" s="7">
        <f t="shared" si="142"/>
        <v>2669</v>
      </c>
      <c r="H1239" s="98">
        <f t="shared" si="141"/>
        <v>5860</v>
      </c>
      <c r="I1239" s="7">
        <v>4360</v>
      </c>
      <c r="J1239" s="7">
        <v>1500</v>
      </c>
      <c r="K1239" s="99">
        <f t="shared" si="147"/>
        <v>20726</v>
      </c>
      <c r="L1239" s="7">
        <v>0</v>
      </c>
      <c r="M1239" s="7">
        <v>0</v>
      </c>
      <c r="N1239" s="7">
        <v>6390</v>
      </c>
      <c r="O1239" s="7">
        <v>11050</v>
      </c>
      <c r="P1239" s="7">
        <v>9170.68</v>
      </c>
      <c r="Q1239" s="7">
        <v>912.05039603000034</v>
      </c>
      <c r="R1239" s="113">
        <f t="shared" si="143"/>
        <v>0.70631090064657132</v>
      </c>
      <c r="S1239" s="113">
        <f t="shared" si="144"/>
        <v>0.31299871299871301</v>
      </c>
      <c r="T1239" s="113">
        <f t="shared" si="145"/>
        <v>0.74402730375426618</v>
      </c>
      <c r="U1239" s="113">
        <f t="shared" si="146"/>
        <v>0.58777897246651689</v>
      </c>
    </row>
    <row r="1240" spans="1:21" x14ac:dyDescent="0.45">
      <c r="A1240" s="95">
        <v>45800</v>
      </c>
      <c r="B1240" s="96">
        <v>10981</v>
      </c>
      <c r="C1240" s="7">
        <v>7756</v>
      </c>
      <c r="D1240" s="7">
        <f t="shared" si="140"/>
        <v>3225</v>
      </c>
      <c r="E1240" s="97">
        <v>3885</v>
      </c>
      <c r="F1240" s="7">
        <v>1216</v>
      </c>
      <c r="G1240" s="7">
        <f t="shared" si="142"/>
        <v>2669</v>
      </c>
      <c r="H1240" s="98">
        <f t="shared" si="141"/>
        <v>5860</v>
      </c>
      <c r="I1240" s="7">
        <v>4360</v>
      </c>
      <c r="J1240" s="7">
        <v>1500</v>
      </c>
      <c r="K1240" s="99">
        <f t="shared" si="147"/>
        <v>20726</v>
      </c>
      <c r="L1240" s="7">
        <v>0</v>
      </c>
      <c r="M1240" s="7">
        <v>0</v>
      </c>
      <c r="N1240" s="7">
        <v>7671</v>
      </c>
      <c r="O1240" s="7">
        <v>10800</v>
      </c>
      <c r="P1240" s="7">
        <v>9170.68</v>
      </c>
      <c r="Q1240" s="7">
        <v>-9.1300000000003365</v>
      </c>
      <c r="R1240" s="113">
        <f t="shared" si="143"/>
        <v>0.70631090064657132</v>
      </c>
      <c r="S1240" s="113">
        <f t="shared" si="144"/>
        <v>0.31299871299871301</v>
      </c>
      <c r="T1240" s="113">
        <f t="shared" si="145"/>
        <v>0.74402730375426618</v>
      </c>
      <c r="U1240" s="113">
        <f t="shared" si="146"/>
        <v>0.58777897246651689</v>
      </c>
    </row>
    <row r="1241" spans="1:21" x14ac:dyDescent="0.45">
      <c r="A1241" s="95">
        <v>45801</v>
      </c>
      <c r="B1241" s="96">
        <v>10981</v>
      </c>
      <c r="C1241" s="7">
        <v>7756</v>
      </c>
      <c r="D1241" s="7">
        <f t="shared" si="140"/>
        <v>3225</v>
      </c>
      <c r="E1241" s="97">
        <v>3885</v>
      </c>
      <c r="F1241" s="7">
        <v>1216</v>
      </c>
      <c r="G1241" s="7">
        <f t="shared" si="142"/>
        <v>2669</v>
      </c>
      <c r="H1241" s="98">
        <f t="shared" si="141"/>
        <v>5860</v>
      </c>
      <c r="I1241" s="7">
        <v>4360</v>
      </c>
      <c r="J1241" s="7">
        <v>1500</v>
      </c>
      <c r="K1241" s="99">
        <f t="shared" si="147"/>
        <v>20726</v>
      </c>
      <c r="L1241" s="7">
        <v>0</v>
      </c>
      <c r="M1241" s="7">
        <v>0</v>
      </c>
      <c r="N1241" s="7">
        <v>7671</v>
      </c>
      <c r="O1241" s="7">
        <v>10800</v>
      </c>
      <c r="P1241" s="7">
        <v>9170.68</v>
      </c>
      <c r="Q1241" s="7">
        <v>-9.1300000000003365</v>
      </c>
      <c r="R1241" s="113">
        <f t="shared" si="143"/>
        <v>0.70631090064657132</v>
      </c>
      <c r="S1241" s="113">
        <f t="shared" si="144"/>
        <v>0.31299871299871301</v>
      </c>
      <c r="T1241" s="113">
        <f t="shared" si="145"/>
        <v>0.74402730375426618</v>
      </c>
      <c r="U1241" s="113">
        <f t="shared" si="146"/>
        <v>0.58777897246651689</v>
      </c>
    </row>
    <row r="1242" spans="1:21" x14ac:dyDescent="0.45">
      <c r="A1242" s="95">
        <v>45802</v>
      </c>
      <c r="B1242" s="96">
        <v>10981</v>
      </c>
      <c r="C1242" s="7">
        <v>7756</v>
      </c>
      <c r="D1242" s="7">
        <f t="shared" si="140"/>
        <v>3225</v>
      </c>
      <c r="E1242" s="97">
        <v>3885</v>
      </c>
      <c r="F1242" s="7">
        <v>1216</v>
      </c>
      <c r="G1242" s="7">
        <f t="shared" si="142"/>
        <v>2669</v>
      </c>
      <c r="H1242" s="98">
        <f t="shared" si="141"/>
        <v>5860</v>
      </c>
      <c r="I1242" s="7">
        <v>4360</v>
      </c>
      <c r="J1242" s="7">
        <v>1500</v>
      </c>
      <c r="K1242" s="99">
        <f t="shared" si="147"/>
        <v>20726</v>
      </c>
      <c r="L1242" s="7">
        <v>0</v>
      </c>
      <c r="M1242" s="7">
        <v>0</v>
      </c>
      <c r="N1242" s="7">
        <v>7671</v>
      </c>
      <c r="O1242" s="7">
        <v>10800</v>
      </c>
      <c r="P1242" s="7">
        <v>9170.68</v>
      </c>
      <c r="Q1242" s="7">
        <v>-9.1300000000003365</v>
      </c>
      <c r="R1242" s="113">
        <f t="shared" si="143"/>
        <v>0.70631090064657132</v>
      </c>
      <c r="S1242" s="113">
        <f t="shared" si="144"/>
        <v>0.31299871299871301</v>
      </c>
      <c r="T1242" s="113">
        <f t="shared" si="145"/>
        <v>0.74402730375426618</v>
      </c>
      <c r="U1242" s="113">
        <f t="shared" si="146"/>
        <v>0.58777897246651689</v>
      </c>
    </row>
    <row r="1243" spans="1:21" x14ac:dyDescent="0.45">
      <c r="A1243" s="95">
        <v>45803</v>
      </c>
      <c r="B1243" s="96">
        <v>10981</v>
      </c>
      <c r="C1243" s="7">
        <v>7756</v>
      </c>
      <c r="D1243" s="7">
        <f t="shared" si="140"/>
        <v>3225</v>
      </c>
      <c r="E1243" s="97">
        <v>3885</v>
      </c>
      <c r="F1243" s="7">
        <v>1216</v>
      </c>
      <c r="G1243" s="7">
        <f t="shared" si="142"/>
        <v>2669</v>
      </c>
      <c r="H1243" s="98">
        <f t="shared" si="141"/>
        <v>5860</v>
      </c>
      <c r="I1243" s="7">
        <v>4360</v>
      </c>
      <c r="J1243" s="7">
        <v>1500</v>
      </c>
      <c r="K1243" s="99">
        <f t="shared" si="147"/>
        <v>20726</v>
      </c>
      <c r="L1243" s="7">
        <v>0</v>
      </c>
      <c r="M1243" s="7">
        <v>0</v>
      </c>
      <c r="N1243" s="7">
        <v>6940</v>
      </c>
      <c r="O1243" s="7">
        <v>10900</v>
      </c>
      <c r="P1243" s="7">
        <v>9170.68</v>
      </c>
      <c r="Q1243" s="7">
        <v>1481.3199999999997</v>
      </c>
      <c r="R1243" s="113">
        <f t="shared" si="143"/>
        <v>0.70631090064657132</v>
      </c>
      <c r="S1243" s="113">
        <f t="shared" si="144"/>
        <v>0.31299871299871301</v>
      </c>
      <c r="T1243" s="113">
        <f t="shared" si="145"/>
        <v>0.74402730375426618</v>
      </c>
      <c r="U1243" s="113">
        <f t="shared" si="146"/>
        <v>0.58777897246651689</v>
      </c>
    </row>
    <row r="1244" spans="1:21" x14ac:dyDescent="0.45">
      <c r="A1244" s="95">
        <v>45804</v>
      </c>
      <c r="B1244" s="96">
        <v>10981</v>
      </c>
      <c r="C1244" s="7">
        <v>7756</v>
      </c>
      <c r="D1244" s="7">
        <f t="shared" si="140"/>
        <v>3225</v>
      </c>
      <c r="E1244" s="97">
        <v>3885</v>
      </c>
      <c r="F1244" s="7">
        <v>1216</v>
      </c>
      <c r="G1244" s="7">
        <f t="shared" si="142"/>
        <v>2669</v>
      </c>
      <c r="H1244" s="98">
        <f t="shared" si="141"/>
        <v>5860</v>
      </c>
      <c r="I1244" s="7">
        <v>4360</v>
      </c>
      <c r="J1244" s="7">
        <v>1500</v>
      </c>
      <c r="K1244" s="99">
        <f t="shared" si="147"/>
        <v>20726</v>
      </c>
      <c r="L1244" s="7">
        <v>0</v>
      </c>
      <c r="M1244" s="7">
        <v>0</v>
      </c>
      <c r="N1244" s="7">
        <v>8704</v>
      </c>
      <c r="O1244" s="7">
        <v>10900</v>
      </c>
      <c r="P1244" s="7">
        <v>9170.68</v>
      </c>
      <c r="Q1244" s="7">
        <v>303.041</v>
      </c>
      <c r="R1244" s="113">
        <f t="shared" si="143"/>
        <v>0.70631090064657132</v>
      </c>
      <c r="S1244" s="113">
        <f t="shared" si="144"/>
        <v>0.31299871299871301</v>
      </c>
      <c r="T1244" s="113">
        <f t="shared" si="145"/>
        <v>0.74402730375426618</v>
      </c>
      <c r="U1244" s="113">
        <f t="shared" si="146"/>
        <v>0.58777897246651689</v>
      </c>
    </row>
    <row r="1245" spans="1:21" x14ac:dyDescent="0.45">
      <c r="A1245" s="95">
        <v>45805</v>
      </c>
      <c r="B1245" s="96">
        <v>10981</v>
      </c>
      <c r="C1245" s="7">
        <v>7756</v>
      </c>
      <c r="D1245" s="7">
        <f t="shared" si="140"/>
        <v>3225</v>
      </c>
      <c r="E1245" s="97">
        <v>3885</v>
      </c>
      <c r="F1245" s="7">
        <v>1216</v>
      </c>
      <c r="G1245" s="7">
        <f t="shared" si="142"/>
        <v>2669</v>
      </c>
      <c r="H1245" s="98">
        <f t="shared" si="141"/>
        <v>5860</v>
      </c>
      <c r="I1245" s="7">
        <v>4360</v>
      </c>
      <c r="J1245" s="7">
        <v>1500</v>
      </c>
      <c r="K1245" s="99">
        <f t="shared" si="147"/>
        <v>20726</v>
      </c>
      <c r="L1245" s="7">
        <v>0</v>
      </c>
      <c r="M1245" s="7">
        <v>0</v>
      </c>
      <c r="N1245" s="7">
        <v>7000</v>
      </c>
      <c r="O1245" s="7">
        <v>11700</v>
      </c>
      <c r="P1245" s="7">
        <v>9170.68</v>
      </c>
      <c r="Q1245" s="7">
        <v>950.97799999999961</v>
      </c>
      <c r="R1245" s="113">
        <f t="shared" si="143"/>
        <v>0.70631090064657132</v>
      </c>
      <c r="S1245" s="113">
        <f t="shared" si="144"/>
        <v>0.31299871299871301</v>
      </c>
      <c r="T1245" s="113">
        <f t="shared" si="145"/>
        <v>0.74402730375426618</v>
      </c>
      <c r="U1245" s="113">
        <f t="shared" si="146"/>
        <v>0.58777897246651689</v>
      </c>
    </row>
    <row r="1246" spans="1:21" x14ac:dyDescent="0.45">
      <c r="A1246" s="95">
        <v>45806</v>
      </c>
      <c r="B1246" s="96">
        <v>10881</v>
      </c>
      <c r="C1246" s="7">
        <v>7656</v>
      </c>
      <c r="D1246" s="7">
        <f t="shared" si="140"/>
        <v>3225</v>
      </c>
      <c r="E1246" s="97">
        <v>3885</v>
      </c>
      <c r="F1246" s="7">
        <v>1426</v>
      </c>
      <c r="G1246" s="7">
        <f t="shared" si="142"/>
        <v>2459</v>
      </c>
      <c r="H1246" s="98">
        <f t="shared" si="141"/>
        <v>5860</v>
      </c>
      <c r="I1246" s="7">
        <v>4360</v>
      </c>
      <c r="J1246" s="7">
        <v>1500</v>
      </c>
      <c r="K1246" s="99">
        <f t="shared" si="147"/>
        <v>20626</v>
      </c>
      <c r="L1246" s="7">
        <v>0</v>
      </c>
      <c r="M1246" s="7">
        <v>0</v>
      </c>
      <c r="N1246" s="7">
        <v>8620</v>
      </c>
      <c r="O1246" s="7">
        <v>10900</v>
      </c>
      <c r="P1246" s="7">
        <v>9170.68</v>
      </c>
      <c r="Q1246" s="7">
        <v>532.38399999999967</v>
      </c>
      <c r="R1246" s="113">
        <f t="shared" si="143"/>
        <v>0.70361180038599391</v>
      </c>
      <c r="S1246" s="113">
        <f t="shared" si="144"/>
        <v>0.36705276705276707</v>
      </c>
      <c r="T1246" s="113">
        <f t="shared" si="145"/>
        <v>0.74402730375426618</v>
      </c>
      <c r="U1246" s="113">
        <f t="shared" si="146"/>
        <v>0.6048972903976757</v>
      </c>
    </row>
    <row r="1247" spans="1:21" x14ac:dyDescent="0.45">
      <c r="A1247" s="95">
        <v>45807</v>
      </c>
      <c r="B1247" s="96">
        <v>10881</v>
      </c>
      <c r="C1247" s="7">
        <v>7656</v>
      </c>
      <c r="D1247" s="7">
        <f t="shared" si="140"/>
        <v>3225</v>
      </c>
      <c r="E1247" s="97">
        <v>3885</v>
      </c>
      <c r="F1247" s="7">
        <v>1426</v>
      </c>
      <c r="G1247" s="7">
        <f t="shared" si="142"/>
        <v>2459</v>
      </c>
      <c r="H1247" s="98">
        <f t="shared" si="141"/>
        <v>5860</v>
      </c>
      <c r="I1247" s="7">
        <v>4360</v>
      </c>
      <c r="J1247" s="7">
        <v>1500</v>
      </c>
      <c r="K1247" s="99">
        <f t="shared" si="147"/>
        <v>20626</v>
      </c>
      <c r="L1247" s="7">
        <v>0</v>
      </c>
      <c r="M1247" s="7">
        <v>0</v>
      </c>
      <c r="N1247" s="7">
        <v>9320</v>
      </c>
      <c r="O1247" s="7">
        <v>11900</v>
      </c>
      <c r="P1247" s="7">
        <v>9170.68</v>
      </c>
      <c r="Q1247" s="7">
        <v>1153.3719999999996</v>
      </c>
      <c r="R1247" s="113">
        <f t="shared" si="143"/>
        <v>0.70361180038599391</v>
      </c>
      <c r="S1247" s="113">
        <f t="shared" si="144"/>
        <v>0.36705276705276707</v>
      </c>
      <c r="T1247" s="113">
        <f t="shared" si="145"/>
        <v>0.74402730375426618</v>
      </c>
      <c r="U1247" s="113">
        <f t="shared" si="146"/>
        <v>0.6048972903976757</v>
      </c>
    </row>
    <row r="1248" spans="1:21" x14ac:dyDescent="0.45">
      <c r="A1248" s="95">
        <v>45808</v>
      </c>
      <c r="B1248" s="96">
        <v>10881</v>
      </c>
      <c r="C1248" s="7">
        <v>7656</v>
      </c>
      <c r="D1248" s="7">
        <f t="shared" si="140"/>
        <v>3225</v>
      </c>
      <c r="E1248" s="97">
        <v>3885</v>
      </c>
      <c r="F1248" s="7">
        <v>1426</v>
      </c>
      <c r="G1248" s="7">
        <f t="shared" si="142"/>
        <v>2459</v>
      </c>
      <c r="H1248" s="98">
        <f t="shared" si="141"/>
        <v>5860</v>
      </c>
      <c r="I1248" s="7">
        <v>4360</v>
      </c>
      <c r="J1248" s="7">
        <v>1500</v>
      </c>
      <c r="K1248" s="99">
        <f t="shared" si="147"/>
        <v>20626</v>
      </c>
      <c r="L1248" s="7">
        <v>0</v>
      </c>
      <c r="M1248" s="7">
        <v>0</v>
      </c>
      <c r="N1248" s="7">
        <v>9320</v>
      </c>
      <c r="O1248" s="7">
        <v>11900</v>
      </c>
      <c r="P1248" s="7">
        <v>9170.68</v>
      </c>
      <c r="Q1248" s="7">
        <v>1153.3719999999996</v>
      </c>
      <c r="R1248" s="113">
        <f t="shared" si="143"/>
        <v>0.70361180038599391</v>
      </c>
      <c r="S1248" s="113">
        <f t="shared" si="144"/>
        <v>0.36705276705276707</v>
      </c>
      <c r="T1248" s="113">
        <f t="shared" si="145"/>
        <v>0.74402730375426618</v>
      </c>
      <c r="U1248" s="113">
        <f t="shared" si="146"/>
        <v>0.6048972903976757</v>
      </c>
    </row>
    <row r="1249" spans="1:21" x14ac:dyDescent="0.45">
      <c r="A1249" s="95">
        <v>45809</v>
      </c>
      <c r="B1249" s="96">
        <v>10881</v>
      </c>
      <c r="C1249" s="7">
        <v>7656</v>
      </c>
      <c r="D1249" s="7">
        <f t="shared" si="140"/>
        <v>3225</v>
      </c>
      <c r="E1249" s="97">
        <v>3885</v>
      </c>
      <c r="F1249" s="7">
        <v>1426</v>
      </c>
      <c r="G1249" s="7">
        <f t="shared" si="142"/>
        <v>2459</v>
      </c>
      <c r="H1249" s="98">
        <f t="shared" si="141"/>
        <v>5860</v>
      </c>
      <c r="I1249" s="7">
        <v>4360</v>
      </c>
      <c r="J1249" s="7">
        <v>1500</v>
      </c>
      <c r="K1249" s="99">
        <f t="shared" si="147"/>
        <v>20626</v>
      </c>
      <c r="L1249" s="7">
        <v>0</v>
      </c>
      <c r="M1249" s="7">
        <v>0</v>
      </c>
      <c r="N1249" s="7">
        <v>9320</v>
      </c>
      <c r="O1249" s="7">
        <v>11900</v>
      </c>
      <c r="P1249" s="7">
        <v>9170.68</v>
      </c>
      <c r="Q1249" s="7">
        <v>1153.3719999999996</v>
      </c>
      <c r="R1249" s="113">
        <f t="shared" si="143"/>
        <v>0.70361180038599391</v>
      </c>
      <c r="S1249" s="113">
        <f t="shared" si="144"/>
        <v>0.36705276705276707</v>
      </c>
      <c r="T1249" s="113">
        <f t="shared" si="145"/>
        <v>0.74402730375426618</v>
      </c>
      <c r="U1249" s="113">
        <f t="shared" si="146"/>
        <v>0.6048972903976757</v>
      </c>
    </row>
    <row r="1250" spans="1:21" x14ac:dyDescent="0.45">
      <c r="A1250" s="95">
        <v>45810</v>
      </c>
      <c r="B1250" s="96">
        <v>10881</v>
      </c>
      <c r="C1250" s="7">
        <v>7656</v>
      </c>
      <c r="D1250" s="7">
        <f t="shared" si="140"/>
        <v>3225</v>
      </c>
      <c r="E1250" s="97">
        <v>3885</v>
      </c>
      <c r="F1250" s="7">
        <v>1426</v>
      </c>
      <c r="G1250" s="7">
        <f t="shared" si="142"/>
        <v>2459</v>
      </c>
      <c r="H1250" s="98">
        <f t="shared" si="141"/>
        <v>5860</v>
      </c>
      <c r="I1250" s="7">
        <v>4360</v>
      </c>
      <c r="J1250" s="7">
        <v>1500</v>
      </c>
      <c r="K1250" s="99">
        <f t="shared" si="147"/>
        <v>20626</v>
      </c>
      <c r="L1250" s="7">
        <v>0</v>
      </c>
      <c r="M1250" s="7">
        <v>0</v>
      </c>
      <c r="N1250" s="7">
        <v>9110</v>
      </c>
      <c r="O1250" s="7">
        <v>10900</v>
      </c>
      <c r="P1250" s="7">
        <v>9170.68</v>
      </c>
      <c r="Q1250" s="7">
        <v>462.98154550999976</v>
      </c>
      <c r="R1250" s="113">
        <f t="shared" si="143"/>
        <v>0.70361180038599391</v>
      </c>
      <c r="S1250" s="113">
        <f t="shared" si="144"/>
        <v>0.36705276705276707</v>
      </c>
      <c r="T1250" s="113">
        <f t="shared" si="145"/>
        <v>0.74402730375426618</v>
      </c>
      <c r="U1250" s="113">
        <f t="shared" si="146"/>
        <v>0.6048972903976757</v>
      </c>
    </row>
    <row r="1251" spans="1:21" x14ac:dyDescent="0.45">
      <c r="A1251" s="95">
        <v>45811</v>
      </c>
      <c r="B1251" s="96">
        <v>10881</v>
      </c>
      <c r="C1251" s="7">
        <v>7656</v>
      </c>
      <c r="D1251" s="7">
        <f t="shared" si="140"/>
        <v>3225</v>
      </c>
      <c r="E1251" s="97">
        <v>3885</v>
      </c>
      <c r="F1251" s="7">
        <v>1426</v>
      </c>
      <c r="G1251" s="7">
        <f t="shared" si="142"/>
        <v>2459</v>
      </c>
      <c r="H1251" s="98">
        <f t="shared" si="141"/>
        <v>5860</v>
      </c>
      <c r="I1251" s="7">
        <v>4360</v>
      </c>
      <c r="J1251" s="7">
        <v>1500</v>
      </c>
      <c r="K1251" s="99">
        <f t="shared" si="147"/>
        <v>20626</v>
      </c>
      <c r="L1251" s="7">
        <v>0</v>
      </c>
      <c r="M1251" s="7">
        <v>0</v>
      </c>
      <c r="N1251" s="7">
        <v>8270</v>
      </c>
      <c r="O1251" s="7">
        <v>10400</v>
      </c>
      <c r="P1251" s="7">
        <v>9170.68</v>
      </c>
      <c r="Q1251" s="7">
        <v>2093.5009541900004</v>
      </c>
      <c r="R1251" s="113">
        <f t="shared" si="143"/>
        <v>0.70361180038599391</v>
      </c>
      <c r="S1251" s="113">
        <f t="shared" si="144"/>
        <v>0.36705276705276707</v>
      </c>
      <c r="T1251" s="113">
        <f t="shared" si="145"/>
        <v>0.74402730375426618</v>
      </c>
      <c r="U1251" s="113">
        <f t="shared" si="146"/>
        <v>0.6048972903976757</v>
      </c>
    </row>
    <row r="1252" spans="1:21" x14ac:dyDescent="0.45">
      <c r="A1252" s="95">
        <v>45812</v>
      </c>
      <c r="B1252" s="96">
        <v>10881</v>
      </c>
      <c r="C1252" s="7">
        <v>7656</v>
      </c>
      <c r="D1252" s="7">
        <f t="shared" si="140"/>
        <v>3225</v>
      </c>
      <c r="E1252" s="97">
        <v>3885</v>
      </c>
      <c r="F1252" s="7">
        <v>1426</v>
      </c>
      <c r="G1252" s="7">
        <f t="shared" si="142"/>
        <v>2459</v>
      </c>
      <c r="H1252" s="98">
        <f t="shared" si="141"/>
        <v>5860</v>
      </c>
      <c r="I1252" s="7">
        <v>4360</v>
      </c>
      <c r="J1252" s="7">
        <v>1500</v>
      </c>
      <c r="K1252" s="99">
        <f t="shared" si="147"/>
        <v>20626</v>
      </c>
      <c r="L1252" s="7">
        <v>0</v>
      </c>
      <c r="M1252" s="7">
        <v>0</v>
      </c>
      <c r="N1252" s="7">
        <v>8570</v>
      </c>
      <c r="O1252" s="7">
        <v>10400</v>
      </c>
      <c r="P1252" s="7">
        <v>9170.68</v>
      </c>
      <c r="Q1252" s="7">
        <v>2268.8622426399993</v>
      </c>
      <c r="R1252" s="113">
        <f t="shared" si="143"/>
        <v>0.70361180038599391</v>
      </c>
      <c r="S1252" s="113">
        <f t="shared" si="144"/>
        <v>0.36705276705276707</v>
      </c>
      <c r="T1252" s="113">
        <f t="shared" si="145"/>
        <v>0.74402730375426618</v>
      </c>
      <c r="U1252" s="113">
        <f t="shared" si="146"/>
        <v>0.6048972903976757</v>
      </c>
    </row>
    <row r="1253" spans="1:21" x14ac:dyDescent="0.45">
      <c r="A1253" s="95">
        <v>45813</v>
      </c>
      <c r="B1253" s="96">
        <v>10881</v>
      </c>
      <c r="C1253" s="7">
        <v>7723.2</v>
      </c>
      <c r="D1253" s="7">
        <f t="shared" si="140"/>
        <v>3157.8</v>
      </c>
      <c r="E1253" s="97">
        <v>3885</v>
      </c>
      <c r="F1253" s="7">
        <v>1426</v>
      </c>
      <c r="G1253" s="7">
        <f t="shared" si="142"/>
        <v>2459</v>
      </c>
      <c r="H1253" s="98">
        <f t="shared" si="141"/>
        <v>5860</v>
      </c>
      <c r="I1253" s="7">
        <v>4360</v>
      </c>
      <c r="J1253" s="7">
        <v>1500</v>
      </c>
      <c r="K1253" s="99">
        <f t="shared" si="147"/>
        <v>20626</v>
      </c>
      <c r="L1253" s="7">
        <v>0</v>
      </c>
      <c r="M1253" s="7">
        <v>0</v>
      </c>
      <c r="N1253" s="7">
        <v>7050</v>
      </c>
      <c r="O1253" s="7">
        <v>10400</v>
      </c>
      <c r="P1253" s="7">
        <v>9170.68</v>
      </c>
      <c r="Q1253" s="7">
        <v>3751.8899999999994</v>
      </c>
      <c r="R1253" s="113">
        <f t="shared" si="143"/>
        <v>0.70978770333609043</v>
      </c>
      <c r="S1253" s="113">
        <f t="shared" si="144"/>
        <v>0.36705276705276707</v>
      </c>
      <c r="T1253" s="113">
        <f t="shared" si="145"/>
        <v>0.74402730375426618</v>
      </c>
      <c r="U1253" s="113">
        <f t="shared" si="146"/>
        <v>0.60695592471437454</v>
      </c>
    </row>
    <row r="1254" spans="1:21" x14ac:dyDescent="0.45">
      <c r="A1254" s="95">
        <v>45814</v>
      </c>
      <c r="B1254" s="96">
        <v>10881</v>
      </c>
      <c r="C1254" s="7">
        <v>7723.2</v>
      </c>
      <c r="D1254" s="7">
        <f t="shared" si="140"/>
        <v>3157.8</v>
      </c>
      <c r="E1254" s="97">
        <v>3885</v>
      </c>
      <c r="F1254" s="7">
        <v>1426</v>
      </c>
      <c r="G1254" s="7">
        <f t="shared" si="142"/>
        <v>2459</v>
      </c>
      <c r="H1254" s="98">
        <f t="shared" si="141"/>
        <v>5860</v>
      </c>
      <c r="I1254" s="7">
        <v>4360</v>
      </c>
      <c r="J1254" s="7">
        <v>1500</v>
      </c>
      <c r="K1254" s="99">
        <f t="shared" si="147"/>
        <v>20626</v>
      </c>
      <c r="L1254" s="7">
        <v>0</v>
      </c>
      <c r="M1254" s="7">
        <v>0</v>
      </c>
      <c r="N1254" s="7">
        <v>9830</v>
      </c>
      <c r="O1254" s="7">
        <v>10240</v>
      </c>
      <c r="P1254" s="7">
        <v>9170.68</v>
      </c>
      <c r="Q1254" s="7">
        <v>969.43999999999983</v>
      </c>
      <c r="R1254" s="113">
        <f t="shared" si="143"/>
        <v>0.70978770333609043</v>
      </c>
      <c r="S1254" s="113">
        <f t="shared" si="144"/>
        <v>0.36705276705276707</v>
      </c>
      <c r="T1254" s="113">
        <f t="shared" si="145"/>
        <v>0.74402730375426618</v>
      </c>
      <c r="U1254" s="113">
        <f t="shared" si="146"/>
        <v>0.60695592471437454</v>
      </c>
    </row>
    <row r="1255" spans="1:21" x14ac:dyDescent="0.45">
      <c r="A1255" s="95">
        <v>45815</v>
      </c>
      <c r="B1255" s="96">
        <v>10881</v>
      </c>
      <c r="C1255" s="7">
        <v>7723.2</v>
      </c>
      <c r="D1255" s="7">
        <f t="shared" si="140"/>
        <v>3157.8</v>
      </c>
      <c r="E1255" s="97">
        <v>3885</v>
      </c>
      <c r="F1255" s="7">
        <v>1426</v>
      </c>
      <c r="G1255" s="7">
        <f t="shared" si="142"/>
        <v>2459</v>
      </c>
      <c r="H1255" s="98">
        <f t="shared" si="141"/>
        <v>5860</v>
      </c>
      <c r="I1255" s="7">
        <v>4360</v>
      </c>
      <c r="J1255" s="7">
        <v>1500</v>
      </c>
      <c r="K1255" s="99">
        <f t="shared" si="147"/>
        <v>20626</v>
      </c>
      <c r="L1255" s="7">
        <v>0</v>
      </c>
      <c r="M1255" s="7">
        <v>0</v>
      </c>
      <c r="N1255" s="7">
        <v>9830</v>
      </c>
      <c r="O1255" s="7">
        <v>10240</v>
      </c>
      <c r="P1255" s="7">
        <v>9170.68</v>
      </c>
      <c r="Q1255" s="7">
        <v>969.43999999999983</v>
      </c>
      <c r="R1255" s="113">
        <f t="shared" si="143"/>
        <v>0.70978770333609043</v>
      </c>
      <c r="S1255" s="113">
        <f t="shared" si="144"/>
        <v>0.36705276705276707</v>
      </c>
      <c r="T1255" s="113">
        <f t="shared" si="145"/>
        <v>0.74402730375426618</v>
      </c>
      <c r="U1255" s="113">
        <f t="shared" si="146"/>
        <v>0.60695592471437454</v>
      </c>
    </row>
    <row r="1256" spans="1:21" x14ac:dyDescent="0.45">
      <c r="A1256" s="95">
        <v>45816</v>
      </c>
      <c r="B1256" s="96">
        <v>10881</v>
      </c>
      <c r="C1256" s="7">
        <v>7723.2</v>
      </c>
      <c r="D1256" s="7">
        <f t="shared" si="140"/>
        <v>3157.8</v>
      </c>
      <c r="E1256" s="97">
        <v>3885</v>
      </c>
      <c r="F1256" s="7">
        <v>1426</v>
      </c>
      <c r="G1256" s="7">
        <f t="shared" si="142"/>
        <v>2459</v>
      </c>
      <c r="H1256" s="98">
        <f t="shared" si="141"/>
        <v>5860</v>
      </c>
      <c r="I1256" s="7">
        <v>4360</v>
      </c>
      <c r="J1256" s="7">
        <v>1500</v>
      </c>
      <c r="K1256" s="99">
        <f t="shared" si="147"/>
        <v>20626</v>
      </c>
      <c r="L1256" s="7">
        <v>0</v>
      </c>
      <c r="M1256" s="7">
        <v>0</v>
      </c>
      <c r="N1256" s="7">
        <v>9830</v>
      </c>
      <c r="O1256" s="7">
        <v>10240</v>
      </c>
      <c r="P1256" s="7">
        <v>9170.68</v>
      </c>
      <c r="Q1256" s="7">
        <v>969.43999999999983</v>
      </c>
      <c r="R1256" s="113">
        <f t="shared" si="143"/>
        <v>0.70978770333609043</v>
      </c>
      <c r="S1256" s="113">
        <f t="shared" si="144"/>
        <v>0.36705276705276707</v>
      </c>
      <c r="T1256" s="113">
        <f t="shared" si="145"/>
        <v>0.74402730375426618</v>
      </c>
      <c r="U1256" s="113">
        <f t="shared" si="146"/>
        <v>0.60695592471437454</v>
      </c>
    </row>
    <row r="1257" spans="1:21" x14ac:dyDescent="0.45">
      <c r="A1257" s="95">
        <v>45817</v>
      </c>
      <c r="B1257" s="96">
        <v>10881</v>
      </c>
      <c r="C1257" s="7">
        <v>7723.2</v>
      </c>
      <c r="D1257" s="7">
        <f t="shared" si="140"/>
        <v>3157.8</v>
      </c>
      <c r="E1257" s="97">
        <v>3885</v>
      </c>
      <c r="F1257" s="7">
        <v>1426</v>
      </c>
      <c r="G1257" s="7">
        <f t="shared" si="142"/>
        <v>2459</v>
      </c>
      <c r="H1257" s="98">
        <f t="shared" si="141"/>
        <v>5860</v>
      </c>
      <c r="I1257" s="7">
        <v>4360</v>
      </c>
      <c r="J1257" s="7">
        <v>1500</v>
      </c>
      <c r="K1257" s="99">
        <f t="shared" si="147"/>
        <v>20626</v>
      </c>
      <c r="L1257" s="7">
        <v>0</v>
      </c>
      <c r="M1257" s="7">
        <v>0</v>
      </c>
      <c r="N1257" s="7">
        <v>8700</v>
      </c>
      <c r="O1257" s="7">
        <v>11900</v>
      </c>
      <c r="P1257" s="7">
        <v>9269.3723962101176</v>
      </c>
      <c r="Q1257" s="7">
        <v>80.977603789882323</v>
      </c>
      <c r="R1257" s="113">
        <f t="shared" si="143"/>
        <v>0.70978770333609043</v>
      </c>
      <c r="S1257" s="113">
        <f t="shared" si="144"/>
        <v>0.36705276705276707</v>
      </c>
      <c r="T1257" s="113">
        <f t="shared" si="145"/>
        <v>0.74402730375426618</v>
      </c>
      <c r="U1257" s="113">
        <f t="shared" si="146"/>
        <v>0.60695592471437454</v>
      </c>
    </row>
    <row r="1258" spans="1:21" x14ac:dyDescent="0.45">
      <c r="A1258" s="95">
        <v>45818</v>
      </c>
      <c r="B1258" s="96">
        <v>10881</v>
      </c>
      <c r="C1258" s="7">
        <v>7723.2</v>
      </c>
      <c r="D1258" s="7">
        <f t="shared" si="140"/>
        <v>3157.8</v>
      </c>
      <c r="E1258" s="97">
        <v>3885</v>
      </c>
      <c r="F1258" s="7">
        <v>1426</v>
      </c>
      <c r="G1258" s="7">
        <f t="shared" si="142"/>
        <v>2459</v>
      </c>
      <c r="H1258" s="98">
        <f t="shared" si="141"/>
        <v>5860</v>
      </c>
      <c r="I1258" s="7">
        <v>4360</v>
      </c>
      <c r="J1258" s="7">
        <v>1500</v>
      </c>
      <c r="K1258" s="99">
        <f t="shared" si="147"/>
        <v>20626</v>
      </c>
      <c r="L1258" s="7">
        <v>0</v>
      </c>
      <c r="M1258" s="7">
        <v>0</v>
      </c>
      <c r="N1258" s="7">
        <v>8985</v>
      </c>
      <c r="O1258" s="7">
        <v>11900</v>
      </c>
      <c r="P1258" s="7">
        <v>9269.3723962101176</v>
      </c>
      <c r="Q1258" s="7">
        <v>264.54940717988251</v>
      </c>
      <c r="R1258" s="113">
        <f t="shared" si="143"/>
        <v>0.70978770333609043</v>
      </c>
      <c r="S1258" s="113">
        <f t="shared" si="144"/>
        <v>0.36705276705276707</v>
      </c>
      <c r="T1258" s="113">
        <f t="shared" si="145"/>
        <v>0.74402730375426618</v>
      </c>
      <c r="U1258" s="113">
        <f t="shared" si="146"/>
        <v>0.60695592471437454</v>
      </c>
    </row>
    <row r="1259" spans="1:21" x14ac:dyDescent="0.45">
      <c r="A1259" s="95">
        <v>45819</v>
      </c>
      <c r="B1259" s="96">
        <v>10881</v>
      </c>
      <c r="C1259" s="7">
        <v>7723.2</v>
      </c>
      <c r="D1259" s="7">
        <f t="shared" si="140"/>
        <v>3157.8</v>
      </c>
      <c r="E1259" s="97">
        <v>3885</v>
      </c>
      <c r="F1259" s="7">
        <v>1426</v>
      </c>
      <c r="G1259" s="7">
        <f t="shared" si="142"/>
        <v>2459</v>
      </c>
      <c r="H1259" s="98">
        <f t="shared" si="141"/>
        <v>5860</v>
      </c>
      <c r="I1259" s="7">
        <v>4360</v>
      </c>
      <c r="J1259" s="7">
        <v>1500</v>
      </c>
      <c r="K1259" s="99">
        <f t="shared" si="147"/>
        <v>20626</v>
      </c>
      <c r="L1259" s="7">
        <v>0</v>
      </c>
      <c r="M1259" s="7">
        <v>0</v>
      </c>
      <c r="N1259" s="7">
        <v>9255</v>
      </c>
      <c r="O1259" s="7">
        <v>11900</v>
      </c>
      <c r="P1259" s="7">
        <v>9269.3723962101176</v>
      </c>
      <c r="Q1259" s="7">
        <v>1100.7798204398823</v>
      </c>
      <c r="R1259" s="113">
        <f t="shared" si="143"/>
        <v>0.70978770333609043</v>
      </c>
      <c r="S1259" s="113">
        <f t="shared" si="144"/>
        <v>0.36705276705276707</v>
      </c>
      <c r="T1259" s="113">
        <f t="shared" si="145"/>
        <v>0.74402730375426618</v>
      </c>
      <c r="U1259" s="113">
        <f t="shared" si="146"/>
        <v>0.60695592471437454</v>
      </c>
    </row>
    <row r="1260" spans="1:21" x14ac:dyDescent="0.45">
      <c r="A1260" s="95">
        <v>45820</v>
      </c>
      <c r="B1260" s="96">
        <v>10881</v>
      </c>
      <c r="C1260" s="7">
        <v>7783.2</v>
      </c>
      <c r="D1260" s="7">
        <f t="shared" si="140"/>
        <v>3097.8</v>
      </c>
      <c r="E1260" s="97">
        <v>3885</v>
      </c>
      <c r="F1260" s="7">
        <v>1426</v>
      </c>
      <c r="G1260" s="7">
        <f t="shared" si="142"/>
        <v>2459</v>
      </c>
      <c r="H1260" s="98">
        <f t="shared" si="141"/>
        <v>5860</v>
      </c>
      <c r="I1260" s="7">
        <v>4360</v>
      </c>
      <c r="J1260" s="7">
        <v>1500</v>
      </c>
      <c r="K1260" s="99">
        <f t="shared" si="147"/>
        <v>20626</v>
      </c>
      <c r="L1260" s="7">
        <v>0</v>
      </c>
      <c r="M1260" s="7">
        <v>0</v>
      </c>
      <c r="N1260" s="7">
        <v>9270</v>
      </c>
      <c r="O1260" s="7">
        <v>12000</v>
      </c>
      <c r="P1260" s="7">
        <v>9269.3723962101176</v>
      </c>
      <c r="Q1260" s="7">
        <v>2041.8076037898823</v>
      </c>
      <c r="R1260" s="113">
        <f t="shared" si="143"/>
        <v>0.71530190239867653</v>
      </c>
      <c r="S1260" s="113">
        <f t="shared" si="144"/>
        <v>0.36705276705276707</v>
      </c>
      <c r="T1260" s="113">
        <f t="shared" si="145"/>
        <v>0.74402730375426618</v>
      </c>
      <c r="U1260" s="113">
        <f t="shared" si="146"/>
        <v>0.60879399106856991</v>
      </c>
    </row>
    <row r="1261" spans="1:21" x14ac:dyDescent="0.45">
      <c r="A1261" s="95">
        <v>45821</v>
      </c>
      <c r="B1261" s="96">
        <v>10881</v>
      </c>
      <c r="C1261" s="7">
        <v>7783.2</v>
      </c>
      <c r="D1261" s="7">
        <f t="shared" ref="D1261:D1273" si="148">B1261-C1261</f>
        <v>3097.8</v>
      </c>
      <c r="E1261" s="97">
        <v>3885</v>
      </c>
      <c r="F1261" s="7">
        <v>1426</v>
      </c>
      <c r="G1261" s="7">
        <f t="shared" si="142"/>
        <v>2459</v>
      </c>
      <c r="H1261" s="98">
        <f t="shared" si="141"/>
        <v>5860</v>
      </c>
      <c r="I1261" s="7">
        <v>4360</v>
      </c>
      <c r="J1261" s="7">
        <v>1500</v>
      </c>
      <c r="K1261" s="99">
        <f t="shared" si="147"/>
        <v>20626</v>
      </c>
      <c r="L1261" s="7">
        <v>0</v>
      </c>
      <c r="M1261" s="7">
        <v>0</v>
      </c>
      <c r="N1261" s="7">
        <v>10221</v>
      </c>
      <c r="O1261" s="7">
        <v>13000</v>
      </c>
      <c r="P1261" s="7">
        <v>9269.3723962101176</v>
      </c>
      <c r="Q1261" s="7">
        <v>-110.69239621011781</v>
      </c>
      <c r="R1261" s="113">
        <f t="shared" si="143"/>
        <v>0.71530190239867653</v>
      </c>
      <c r="S1261" s="113">
        <f t="shared" si="144"/>
        <v>0.36705276705276707</v>
      </c>
      <c r="T1261" s="113">
        <f t="shared" si="145"/>
        <v>0.74402730375426618</v>
      </c>
      <c r="U1261" s="113">
        <f t="shared" si="146"/>
        <v>0.60879399106856991</v>
      </c>
    </row>
    <row r="1262" spans="1:21" x14ac:dyDescent="0.45">
      <c r="A1262" s="95">
        <v>45822</v>
      </c>
      <c r="B1262" s="96">
        <v>10881</v>
      </c>
      <c r="C1262" s="7">
        <v>7783.2</v>
      </c>
      <c r="D1262" s="7">
        <f t="shared" si="148"/>
        <v>3097.8</v>
      </c>
      <c r="E1262" s="97">
        <v>3885</v>
      </c>
      <c r="F1262" s="7">
        <v>1426</v>
      </c>
      <c r="G1262" s="7">
        <f t="shared" si="142"/>
        <v>2459</v>
      </c>
      <c r="H1262" s="98">
        <f t="shared" si="141"/>
        <v>5860</v>
      </c>
      <c r="I1262" s="7">
        <v>4360</v>
      </c>
      <c r="J1262" s="7">
        <v>1500</v>
      </c>
      <c r="K1262" s="99">
        <f t="shared" si="147"/>
        <v>20626</v>
      </c>
      <c r="L1262" s="7">
        <v>0</v>
      </c>
      <c r="M1262" s="7">
        <v>0</v>
      </c>
      <c r="N1262" s="7">
        <v>10221</v>
      </c>
      <c r="O1262" s="7">
        <v>13000</v>
      </c>
      <c r="P1262" s="7">
        <v>9269.3723962101176</v>
      </c>
      <c r="Q1262" s="7">
        <v>-110.69239621011781</v>
      </c>
      <c r="R1262" s="113">
        <f t="shared" si="143"/>
        <v>0.71530190239867653</v>
      </c>
      <c r="S1262" s="113">
        <f t="shared" si="144"/>
        <v>0.36705276705276707</v>
      </c>
      <c r="T1262" s="113">
        <f t="shared" si="145"/>
        <v>0.74402730375426618</v>
      </c>
      <c r="U1262" s="113">
        <f t="shared" si="146"/>
        <v>0.60879399106856991</v>
      </c>
    </row>
    <row r="1263" spans="1:21" x14ac:dyDescent="0.45">
      <c r="A1263" s="95">
        <v>45823</v>
      </c>
      <c r="B1263" s="96">
        <v>10881</v>
      </c>
      <c r="C1263" s="7">
        <v>7783.2</v>
      </c>
      <c r="D1263" s="7">
        <f t="shared" si="148"/>
        <v>3097.8</v>
      </c>
      <c r="E1263" s="97">
        <v>3885</v>
      </c>
      <c r="F1263" s="7">
        <v>1426</v>
      </c>
      <c r="G1263" s="7">
        <f t="shared" si="142"/>
        <v>2459</v>
      </c>
      <c r="H1263" s="98">
        <f t="shared" si="141"/>
        <v>5860</v>
      </c>
      <c r="I1263" s="7">
        <v>4360</v>
      </c>
      <c r="J1263" s="7">
        <v>1500</v>
      </c>
      <c r="K1263" s="99">
        <f t="shared" si="147"/>
        <v>20626</v>
      </c>
      <c r="L1263" s="7">
        <v>0</v>
      </c>
      <c r="M1263" s="7">
        <v>0</v>
      </c>
      <c r="N1263" s="7">
        <v>10221</v>
      </c>
      <c r="O1263" s="7">
        <v>13000</v>
      </c>
      <c r="P1263" s="7">
        <v>9269.3723962101176</v>
      </c>
      <c r="Q1263" s="7">
        <v>-110.69239621011781</v>
      </c>
      <c r="R1263" s="113">
        <f t="shared" si="143"/>
        <v>0.71530190239867653</v>
      </c>
      <c r="S1263" s="113">
        <f t="shared" si="144"/>
        <v>0.36705276705276707</v>
      </c>
      <c r="T1263" s="113">
        <f t="shared" si="145"/>
        <v>0.74402730375426618</v>
      </c>
      <c r="U1263" s="113">
        <f t="shared" si="146"/>
        <v>0.60879399106856991</v>
      </c>
    </row>
    <row r="1264" spans="1:21" x14ac:dyDescent="0.45">
      <c r="A1264" s="95">
        <v>45824</v>
      </c>
      <c r="B1264" s="96">
        <v>10881</v>
      </c>
      <c r="C1264" s="7">
        <v>7783.2</v>
      </c>
      <c r="D1264" s="7">
        <f t="shared" si="148"/>
        <v>3097.8</v>
      </c>
      <c r="E1264" s="97">
        <v>3885</v>
      </c>
      <c r="F1264" s="7">
        <v>1426</v>
      </c>
      <c r="G1264" s="7">
        <f t="shared" si="142"/>
        <v>2459</v>
      </c>
      <c r="H1264" s="98">
        <f t="shared" si="141"/>
        <v>5860</v>
      </c>
      <c r="I1264" s="7">
        <v>4360</v>
      </c>
      <c r="J1264" s="7">
        <v>1500</v>
      </c>
      <c r="K1264" s="99">
        <f t="shared" si="147"/>
        <v>20626</v>
      </c>
      <c r="L1264" s="7">
        <v>0</v>
      </c>
      <c r="M1264" s="7">
        <v>0</v>
      </c>
      <c r="N1264" s="7">
        <v>9660</v>
      </c>
      <c r="O1264" s="7">
        <v>12900</v>
      </c>
      <c r="P1264" s="7">
        <v>9269.3723962101176</v>
      </c>
      <c r="Q1264" s="7">
        <v>-111</v>
      </c>
      <c r="R1264" s="113">
        <f t="shared" si="143"/>
        <v>0.71530190239867653</v>
      </c>
      <c r="S1264" s="113">
        <f t="shared" si="144"/>
        <v>0.36705276705276707</v>
      </c>
      <c r="T1264" s="113">
        <f t="shared" si="145"/>
        <v>0.74402730375426618</v>
      </c>
      <c r="U1264" s="113">
        <f t="shared" si="146"/>
        <v>0.60879399106856991</v>
      </c>
    </row>
    <row r="1265" spans="1:21" x14ac:dyDescent="0.45">
      <c r="A1265" s="95">
        <v>45825</v>
      </c>
      <c r="B1265" s="96">
        <v>10881</v>
      </c>
      <c r="C1265" s="7">
        <v>7783.2</v>
      </c>
      <c r="D1265" s="7">
        <f t="shared" si="148"/>
        <v>3097.8</v>
      </c>
      <c r="E1265" s="97">
        <v>3885</v>
      </c>
      <c r="F1265" s="7">
        <v>1426</v>
      </c>
      <c r="G1265" s="7">
        <f t="shared" si="142"/>
        <v>2459</v>
      </c>
      <c r="H1265" s="98">
        <f t="shared" si="141"/>
        <v>5860</v>
      </c>
      <c r="I1265" s="7">
        <v>4360</v>
      </c>
      <c r="J1265" s="7">
        <v>1500</v>
      </c>
      <c r="K1265" s="99">
        <f t="shared" si="147"/>
        <v>20626</v>
      </c>
      <c r="L1265" s="7">
        <v>0</v>
      </c>
      <c r="M1265" s="7">
        <v>0</v>
      </c>
      <c r="N1265" s="7">
        <v>9754</v>
      </c>
      <c r="O1265" s="7">
        <v>12900</v>
      </c>
      <c r="P1265" s="7">
        <v>9269.3723962101176</v>
      </c>
      <c r="Q1265" s="7">
        <v>684</v>
      </c>
      <c r="R1265" s="113">
        <f t="shared" si="143"/>
        <v>0.71530190239867653</v>
      </c>
      <c r="S1265" s="113">
        <f t="shared" si="144"/>
        <v>0.36705276705276707</v>
      </c>
      <c r="T1265" s="113">
        <f t="shared" si="145"/>
        <v>0.74402730375426618</v>
      </c>
      <c r="U1265" s="113">
        <f t="shared" si="146"/>
        <v>0.60879399106856991</v>
      </c>
    </row>
    <row r="1266" spans="1:21" x14ac:dyDescent="0.45">
      <c r="A1266" s="95">
        <v>45826</v>
      </c>
      <c r="B1266" s="96">
        <v>10881</v>
      </c>
      <c r="C1266" s="7">
        <v>7783.2</v>
      </c>
      <c r="D1266" s="7">
        <f t="shared" si="148"/>
        <v>3097.8</v>
      </c>
      <c r="E1266" s="97">
        <v>3885</v>
      </c>
      <c r="F1266" s="7">
        <v>1426</v>
      </c>
      <c r="G1266" s="7">
        <f t="shared" si="142"/>
        <v>2459</v>
      </c>
      <c r="H1266" s="98">
        <f t="shared" si="141"/>
        <v>5860</v>
      </c>
      <c r="I1266" s="7">
        <v>4360</v>
      </c>
      <c r="J1266" s="7">
        <v>1500</v>
      </c>
      <c r="K1266" s="99">
        <f t="shared" si="147"/>
        <v>20626</v>
      </c>
      <c r="L1266" s="7">
        <v>0</v>
      </c>
      <c r="M1266" s="7">
        <v>0</v>
      </c>
      <c r="N1266" s="7">
        <v>8875</v>
      </c>
      <c r="O1266" s="7">
        <v>12800</v>
      </c>
      <c r="P1266" s="7">
        <v>9269.3723962101176</v>
      </c>
      <c r="Q1266" s="7">
        <v>-237</v>
      </c>
      <c r="R1266" s="113">
        <f t="shared" si="143"/>
        <v>0.71530190239867653</v>
      </c>
      <c r="S1266" s="113">
        <f t="shared" si="144"/>
        <v>0.36705276705276707</v>
      </c>
      <c r="T1266" s="113">
        <f t="shared" si="145"/>
        <v>0.74402730375426618</v>
      </c>
      <c r="U1266" s="113">
        <f t="shared" si="146"/>
        <v>0.60879399106856991</v>
      </c>
    </row>
    <row r="1267" spans="1:21" x14ac:dyDescent="0.45">
      <c r="A1267" s="95">
        <v>45827</v>
      </c>
      <c r="B1267" s="96">
        <v>10681</v>
      </c>
      <c r="C1267" s="7">
        <v>7893.2</v>
      </c>
      <c r="D1267" s="7">
        <f t="shared" si="148"/>
        <v>2787.8</v>
      </c>
      <c r="E1267" s="97">
        <v>3885</v>
      </c>
      <c r="F1267" s="7">
        <v>1426</v>
      </c>
      <c r="G1267" s="7">
        <f t="shared" si="142"/>
        <v>2459</v>
      </c>
      <c r="H1267" s="98">
        <f t="shared" si="141"/>
        <v>5860</v>
      </c>
      <c r="I1267" s="7">
        <v>4360</v>
      </c>
      <c r="J1267" s="7">
        <v>1500</v>
      </c>
      <c r="K1267" s="99">
        <f t="shared" si="147"/>
        <v>20426</v>
      </c>
      <c r="L1267" s="7">
        <v>0</v>
      </c>
      <c r="M1267" s="7">
        <v>0</v>
      </c>
      <c r="N1267" s="7">
        <v>8214</v>
      </c>
      <c r="O1267" s="7">
        <v>12700</v>
      </c>
      <c r="P1267" s="7">
        <v>9269.3723962101176</v>
      </c>
      <c r="Q1267" s="7">
        <v>218</v>
      </c>
      <c r="R1267" s="113">
        <f t="shared" si="143"/>
        <v>0.73899447617264302</v>
      </c>
      <c r="S1267" s="113">
        <f t="shared" si="144"/>
        <v>0.36705276705276707</v>
      </c>
      <c r="T1267" s="113">
        <f t="shared" si="145"/>
        <v>0.74402730375426618</v>
      </c>
      <c r="U1267" s="113">
        <f t="shared" si="146"/>
        <v>0.61669151565989211</v>
      </c>
    </row>
    <row r="1268" spans="1:21" x14ac:dyDescent="0.45">
      <c r="A1268" s="95">
        <v>45828</v>
      </c>
      <c r="B1268" s="96">
        <v>10681</v>
      </c>
      <c r="C1268" s="7">
        <v>7893.2</v>
      </c>
      <c r="D1268" s="7">
        <f t="shared" si="148"/>
        <v>2787.8</v>
      </c>
      <c r="E1268" s="97">
        <v>3885</v>
      </c>
      <c r="F1268" s="7">
        <v>1426</v>
      </c>
      <c r="G1268" s="7">
        <f t="shared" si="142"/>
        <v>2459</v>
      </c>
      <c r="H1268" s="98">
        <f t="shared" si="141"/>
        <v>5860</v>
      </c>
      <c r="I1268" s="7">
        <v>4360</v>
      </c>
      <c r="J1268" s="7">
        <v>1500</v>
      </c>
      <c r="K1268" s="99">
        <f t="shared" si="147"/>
        <v>20426</v>
      </c>
      <c r="L1268" s="7">
        <v>0</v>
      </c>
      <c r="M1268" s="7">
        <v>0</v>
      </c>
      <c r="N1268" s="7">
        <v>8214</v>
      </c>
      <c r="O1268" s="7">
        <v>12700</v>
      </c>
      <c r="P1268" s="7">
        <v>9269.3723962101176</v>
      </c>
      <c r="Q1268" s="7">
        <v>875</v>
      </c>
      <c r="R1268" s="113">
        <f t="shared" si="143"/>
        <v>0.73899447617264302</v>
      </c>
      <c r="S1268" s="113">
        <f t="shared" si="144"/>
        <v>0.36705276705276707</v>
      </c>
      <c r="T1268" s="113">
        <f t="shared" si="145"/>
        <v>0.74402730375426618</v>
      </c>
      <c r="U1268" s="113">
        <f t="shared" si="146"/>
        <v>0.61669151565989211</v>
      </c>
    </row>
    <row r="1269" spans="1:21" x14ac:dyDescent="0.45">
      <c r="A1269" s="95">
        <v>45829</v>
      </c>
      <c r="B1269" s="96">
        <v>10681</v>
      </c>
      <c r="C1269" s="7">
        <v>7893.2</v>
      </c>
      <c r="D1269" s="7">
        <f t="shared" si="148"/>
        <v>2787.8</v>
      </c>
      <c r="E1269" s="97">
        <v>3885</v>
      </c>
      <c r="F1269" s="7">
        <v>1426</v>
      </c>
      <c r="G1269" s="7">
        <f t="shared" si="142"/>
        <v>2459</v>
      </c>
      <c r="H1269" s="98">
        <f t="shared" si="141"/>
        <v>5860</v>
      </c>
      <c r="I1269" s="7">
        <v>4360</v>
      </c>
      <c r="J1269" s="7">
        <v>1500</v>
      </c>
      <c r="K1269" s="99">
        <f t="shared" si="147"/>
        <v>20426</v>
      </c>
      <c r="L1269" s="7">
        <v>0</v>
      </c>
      <c r="M1269" s="7">
        <v>0</v>
      </c>
      <c r="N1269" s="7">
        <v>8214</v>
      </c>
      <c r="O1269" s="7">
        <v>12700</v>
      </c>
      <c r="P1269" s="7">
        <v>9269.3723962101176</v>
      </c>
      <c r="Q1269" s="7">
        <v>875</v>
      </c>
      <c r="R1269" s="113">
        <f t="shared" si="143"/>
        <v>0.73899447617264302</v>
      </c>
      <c r="S1269" s="113">
        <f t="shared" si="144"/>
        <v>0.36705276705276707</v>
      </c>
      <c r="T1269" s="113">
        <f t="shared" si="145"/>
        <v>0.74402730375426618</v>
      </c>
      <c r="U1269" s="113">
        <f t="shared" si="146"/>
        <v>0.61669151565989211</v>
      </c>
    </row>
    <row r="1270" spans="1:21" x14ac:dyDescent="0.45">
      <c r="A1270" s="95">
        <v>45830</v>
      </c>
      <c r="B1270" s="96">
        <v>10681</v>
      </c>
      <c r="C1270" s="7">
        <v>7893.2</v>
      </c>
      <c r="D1270" s="7">
        <f t="shared" si="148"/>
        <v>2787.8</v>
      </c>
      <c r="E1270" s="97">
        <v>3885</v>
      </c>
      <c r="F1270" s="7">
        <v>1426</v>
      </c>
      <c r="G1270" s="7">
        <f t="shared" si="142"/>
        <v>2459</v>
      </c>
      <c r="H1270" s="98">
        <f t="shared" si="141"/>
        <v>5860</v>
      </c>
      <c r="I1270" s="7">
        <v>4360</v>
      </c>
      <c r="J1270" s="7">
        <v>1500</v>
      </c>
      <c r="K1270" s="99">
        <f t="shared" si="147"/>
        <v>20426</v>
      </c>
      <c r="L1270" s="7">
        <v>0</v>
      </c>
      <c r="M1270" s="7">
        <v>0</v>
      </c>
      <c r="N1270" s="7">
        <v>8214</v>
      </c>
      <c r="O1270" s="7">
        <v>12700</v>
      </c>
      <c r="P1270" s="7">
        <v>9269.3723962101176</v>
      </c>
      <c r="Q1270" s="7">
        <v>875</v>
      </c>
      <c r="R1270" s="113">
        <f t="shared" si="143"/>
        <v>0.73899447617264302</v>
      </c>
      <c r="S1270" s="113">
        <f t="shared" si="144"/>
        <v>0.36705276705276707</v>
      </c>
      <c r="T1270" s="113">
        <f t="shared" si="145"/>
        <v>0.74402730375426618</v>
      </c>
      <c r="U1270" s="113">
        <f t="shared" si="146"/>
        <v>0.61669151565989211</v>
      </c>
    </row>
    <row r="1271" spans="1:21" x14ac:dyDescent="0.45">
      <c r="A1271" s="95">
        <v>45831</v>
      </c>
      <c r="B1271" s="96">
        <v>10681</v>
      </c>
      <c r="C1271" s="7">
        <v>7893.2</v>
      </c>
      <c r="D1271" s="7">
        <f t="shared" si="148"/>
        <v>2787.8</v>
      </c>
      <c r="E1271" s="97">
        <v>3885</v>
      </c>
      <c r="F1271" s="7">
        <v>1426</v>
      </c>
      <c r="G1271" s="7">
        <f t="shared" si="142"/>
        <v>2459</v>
      </c>
      <c r="H1271" s="98">
        <f t="shared" si="141"/>
        <v>5860</v>
      </c>
      <c r="I1271" s="7">
        <v>4360</v>
      </c>
      <c r="J1271" s="7">
        <v>1500</v>
      </c>
      <c r="K1271" s="99">
        <f t="shared" si="147"/>
        <v>20426</v>
      </c>
      <c r="L1271" s="7">
        <v>0</v>
      </c>
      <c r="M1271" s="7">
        <v>0</v>
      </c>
      <c r="N1271" s="7">
        <v>6600</v>
      </c>
      <c r="O1271" s="7">
        <v>11800</v>
      </c>
      <c r="P1271" s="7">
        <v>9269.3723962101176</v>
      </c>
      <c r="Q1271" s="7">
        <v>2800.2476037898828</v>
      </c>
      <c r="R1271" s="113">
        <f t="shared" si="143"/>
        <v>0.73899447617264302</v>
      </c>
      <c r="S1271" s="113">
        <f t="shared" si="144"/>
        <v>0.36705276705276707</v>
      </c>
      <c r="T1271" s="113">
        <f t="shared" si="145"/>
        <v>0.74402730375426618</v>
      </c>
      <c r="U1271" s="113">
        <f t="shared" si="146"/>
        <v>0.61669151565989211</v>
      </c>
    </row>
    <row r="1272" spans="1:21" x14ac:dyDescent="0.45">
      <c r="A1272" s="95">
        <v>45832</v>
      </c>
      <c r="B1272" s="96">
        <v>10681</v>
      </c>
      <c r="C1272" s="7">
        <v>7893.2</v>
      </c>
      <c r="D1272" s="7">
        <f t="shared" si="148"/>
        <v>2787.8</v>
      </c>
      <c r="E1272" s="97">
        <v>3885</v>
      </c>
      <c r="F1272" s="7">
        <v>1426</v>
      </c>
      <c r="G1272" s="7">
        <f t="shared" si="142"/>
        <v>2459</v>
      </c>
      <c r="H1272" s="98">
        <f t="shared" si="141"/>
        <v>5860</v>
      </c>
      <c r="I1272" s="7">
        <v>4360</v>
      </c>
      <c r="J1272" s="7">
        <v>1500</v>
      </c>
      <c r="K1272" s="99">
        <f t="shared" si="147"/>
        <v>20426</v>
      </c>
      <c r="L1272" s="7">
        <v>0</v>
      </c>
      <c r="M1272" s="7">
        <v>0</v>
      </c>
      <c r="N1272" s="7">
        <v>8340</v>
      </c>
      <c r="O1272" s="7">
        <v>11800</v>
      </c>
      <c r="P1272" s="7">
        <v>9269.3723962101176</v>
      </c>
      <c r="Q1272" s="7">
        <v>2430.947603789883</v>
      </c>
      <c r="R1272" s="113">
        <f t="shared" si="143"/>
        <v>0.73899447617264302</v>
      </c>
      <c r="S1272" s="113">
        <f t="shared" si="144"/>
        <v>0.36705276705276707</v>
      </c>
      <c r="T1272" s="113">
        <f t="shared" si="145"/>
        <v>0.74402730375426618</v>
      </c>
      <c r="U1272" s="113">
        <f t="shared" si="146"/>
        <v>0.61669151565989211</v>
      </c>
    </row>
    <row r="1273" spans="1:21" x14ac:dyDescent="0.45">
      <c r="A1273" s="95">
        <v>45833</v>
      </c>
      <c r="B1273" s="96">
        <v>10681</v>
      </c>
      <c r="C1273" s="7">
        <v>7893.2</v>
      </c>
      <c r="D1273" s="7">
        <f t="shared" si="148"/>
        <v>2787.8</v>
      </c>
      <c r="E1273" s="97">
        <v>3885</v>
      </c>
      <c r="F1273" s="7">
        <v>1426</v>
      </c>
      <c r="G1273" s="7">
        <f t="shared" si="142"/>
        <v>2459</v>
      </c>
      <c r="H1273" s="98">
        <f t="shared" si="141"/>
        <v>5860</v>
      </c>
      <c r="I1273" s="7">
        <v>4360</v>
      </c>
      <c r="J1273" s="7">
        <v>1500</v>
      </c>
      <c r="K1273" s="99">
        <f t="shared" si="147"/>
        <v>20426</v>
      </c>
      <c r="L1273" s="7">
        <v>0</v>
      </c>
      <c r="M1273" s="7">
        <v>0</v>
      </c>
      <c r="N1273" s="7">
        <v>8610</v>
      </c>
      <c r="O1273" s="7">
        <v>13000</v>
      </c>
      <c r="P1273" s="7">
        <v>9269.3723962101176</v>
      </c>
      <c r="Q1273" s="7">
        <v>1766.6416759798826</v>
      </c>
      <c r="R1273" s="113">
        <f t="shared" si="143"/>
        <v>0.73899447617264302</v>
      </c>
      <c r="S1273" s="113">
        <f t="shared" si="144"/>
        <v>0.36705276705276707</v>
      </c>
      <c r="T1273" s="113">
        <f t="shared" si="145"/>
        <v>0.74402730375426618</v>
      </c>
      <c r="U1273" s="113">
        <f t="shared" si="146"/>
        <v>0.61669151565989211</v>
      </c>
    </row>
    <row r="1274" spans="1:21" x14ac:dyDescent="0.45">
      <c r="A1274" s="95">
        <v>45834</v>
      </c>
      <c r="B1274" s="96">
        <v>10881</v>
      </c>
      <c r="C1274" s="7">
        <v>8373.2000000000007</v>
      </c>
      <c r="D1274" s="7">
        <v>2507.8000000000002</v>
      </c>
      <c r="E1274" s="97">
        <v>3485</v>
      </c>
      <c r="F1274" s="7">
        <v>1036</v>
      </c>
      <c r="G1274" s="7">
        <v>2449</v>
      </c>
      <c r="H1274" s="98">
        <f t="shared" si="141"/>
        <v>5860</v>
      </c>
      <c r="I1274" s="7">
        <v>4360</v>
      </c>
      <c r="J1274" s="7">
        <v>1500</v>
      </c>
      <c r="K1274" s="99">
        <f t="shared" si="147"/>
        <v>20226</v>
      </c>
      <c r="L1274" s="7">
        <v>0</v>
      </c>
      <c r="M1274" s="7">
        <v>0</v>
      </c>
      <c r="N1274" s="7">
        <v>8770</v>
      </c>
      <c r="O1274" s="7">
        <v>13100</v>
      </c>
      <c r="P1274" s="7">
        <v>9269.3723962101176</v>
      </c>
      <c r="Q1274" s="7">
        <v>1421.287603789882</v>
      </c>
      <c r="R1274" s="113">
        <f t="shared" si="143"/>
        <v>0.76952485984744057</v>
      </c>
      <c r="S1274" s="113">
        <f t="shared" si="144"/>
        <v>0.29727403156384508</v>
      </c>
      <c r="T1274" s="113">
        <f t="shared" si="145"/>
        <v>0.74402730375426618</v>
      </c>
      <c r="U1274" s="113">
        <f t="shared" si="146"/>
        <v>0.60360873172185059</v>
      </c>
    </row>
    <row r="1275" spans="1:21" x14ac:dyDescent="0.45">
      <c r="A1275" s="95">
        <v>45835</v>
      </c>
      <c r="B1275" s="96">
        <v>10881</v>
      </c>
      <c r="C1275" s="7">
        <v>8373.2000000000007</v>
      </c>
      <c r="D1275" s="7">
        <v>2507.8000000000002</v>
      </c>
      <c r="E1275" s="97">
        <v>3485</v>
      </c>
      <c r="F1275" s="7">
        <v>1036</v>
      </c>
      <c r="G1275" s="7">
        <v>2449</v>
      </c>
      <c r="H1275" s="98">
        <f t="shared" si="141"/>
        <v>5860</v>
      </c>
      <c r="I1275" s="7">
        <v>4360</v>
      </c>
      <c r="J1275" s="7">
        <v>1500</v>
      </c>
      <c r="K1275" s="99">
        <f t="shared" si="147"/>
        <v>20226</v>
      </c>
      <c r="L1275" s="7">
        <v>0</v>
      </c>
      <c r="M1275" s="7">
        <v>0</v>
      </c>
      <c r="N1275" s="7">
        <v>8770</v>
      </c>
      <c r="O1275" s="7">
        <v>13100</v>
      </c>
      <c r="P1275" s="7">
        <v>9269.3723962101176</v>
      </c>
      <c r="Q1275" s="7">
        <v>1421.287603789882</v>
      </c>
      <c r="R1275" s="113">
        <f t="shared" si="143"/>
        <v>0.76952485984744057</v>
      </c>
      <c r="S1275" s="113">
        <f t="shared" si="144"/>
        <v>0.29727403156384508</v>
      </c>
      <c r="T1275" s="113">
        <f t="shared" si="145"/>
        <v>0.74402730375426618</v>
      </c>
      <c r="U1275" s="113">
        <f t="shared" si="146"/>
        <v>0.60360873172185059</v>
      </c>
    </row>
    <row r="1276" spans="1:21" x14ac:dyDescent="0.45">
      <c r="A1276" s="95">
        <v>45836</v>
      </c>
      <c r="B1276" s="96">
        <v>10881</v>
      </c>
      <c r="C1276" s="7">
        <v>8373.2000000000007</v>
      </c>
      <c r="D1276" s="7">
        <v>2507.8000000000002</v>
      </c>
      <c r="E1276" s="97">
        <v>3485</v>
      </c>
      <c r="F1276" s="7">
        <v>1036</v>
      </c>
      <c r="G1276" s="7">
        <v>2449</v>
      </c>
      <c r="H1276" s="98">
        <f t="shared" si="141"/>
        <v>5860</v>
      </c>
      <c r="I1276" s="7">
        <v>4360</v>
      </c>
      <c r="J1276" s="7">
        <v>1500</v>
      </c>
      <c r="K1276" s="99">
        <f t="shared" si="147"/>
        <v>20226</v>
      </c>
      <c r="L1276" s="7">
        <v>0</v>
      </c>
      <c r="M1276" s="7">
        <v>0</v>
      </c>
      <c r="N1276" s="7">
        <v>8770</v>
      </c>
      <c r="O1276" s="7">
        <v>13100</v>
      </c>
      <c r="P1276" s="7">
        <v>9269.3723962101176</v>
      </c>
      <c r="Q1276" s="7">
        <v>1421.287603789882</v>
      </c>
      <c r="R1276" s="113">
        <f t="shared" si="143"/>
        <v>0.76952485984744057</v>
      </c>
      <c r="S1276" s="113">
        <f t="shared" si="144"/>
        <v>0.29727403156384508</v>
      </c>
      <c r="T1276" s="113">
        <f t="shared" si="145"/>
        <v>0.74402730375426618</v>
      </c>
      <c r="U1276" s="113">
        <f t="shared" si="146"/>
        <v>0.60360873172185059</v>
      </c>
    </row>
    <row r="1277" spans="1:21" x14ac:dyDescent="0.45">
      <c r="A1277" s="95">
        <v>45837</v>
      </c>
      <c r="B1277" s="96">
        <v>10881</v>
      </c>
      <c r="C1277" s="7">
        <v>8373.2000000000007</v>
      </c>
      <c r="D1277" s="7">
        <v>2507.8000000000002</v>
      </c>
      <c r="E1277" s="97">
        <v>3485</v>
      </c>
      <c r="F1277" s="7">
        <v>1036</v>
      </c>
      <c r="G1277" s="7">
        <v>2449</v>
      </c>
      <c r="H1277" s="98">
        <f t="shared" si="141"/>
        <v>5860</v>
      </c>
      <c r="I1277" s="7">
        <v>4360</v>
      </c>
      <c r="J1277" s="7">
        <v>1500</v>
      </c>
      <c r="K1277" s="99">
        <f t="shared" si="147"/>
        <v>20226</v>
      </c>
      <c r="L1277" s="7">
        <v>0</v>
      </c>
      <c r="M1277" s="7">
        <v>0</v>
      </c>
      <c r="N1277" s="7">
        <v>8770</v>
      </c>
      <c r="O1277" s="7">
        <v>13100</v>
      </c>
      <c r="P1277" s="7">
        <v>9269.3723962101176</v>
      </c>
      <c r="Q1277" s="7">
        <v>1421.287603789882</v>
      </c>
      <c r="R1277" s="113">
        <f t="shared" si="143"/>
        <v>0.76952485984744057</v>
      </c>
      <c r="S1277" s="113">
        <f t="shared" si="144"/>
        <v>0.29727403156384508</v>
      </c>
      <c r="T1277" s="113">
        <f t="shared" si="145"/>
        <v>0.74402730375426618</v>
      </c>
      <c r="U1277" s="113">
        <f t="shared" si="146"/>
        <v>0.60360873172185059</v>
      </c>
    </row>
    <row r="1278" spans="1:21" x14ac:dyDescent="0.45">
      <c r="A1278" s="95">
        <v>45838</v>
      </c>
      <c r="B1278" s="96">
        <v>10881</v>
      </c>
      <c r="C1278" s="7">
        <v>8373.2000000000007</v>
      </c>
      <c r="D1278" s="7">
        <v>2507.8000000000002</v>
      </c>
      <c r="E1278" s="97">
        <v>3485</v>
      </c>
      <c r="F1278" s="7">
        <v>1036</v>
      </c>
      <c r="G1278" s="7">
        <v>2449</v>
      </c>
      <c r="H1278" s="98">
        <f t="shared" si="141"/>
        <v>5860</v>
      </c>
      <c r="I1278" s="7">
        <v>4360</v>
      </c>
      <c r="J1278" s="7">
        <v>1500</v>
      </c>
      <c r="K1278" s="99">
        <f t="shared" si="147"/>
        <v>20226</v>
      </c>
      <c r="L1278" s="7">
        <v>0</v>
      </c>
      <c r="M1278" s="7">
        <v>0</v>
      </c>
      <c r="N1278" s="7">
        <v>8785</v>
      </c>
      <c r="O1278" s="7">
        <v>13200</v>
      </c>
      <c r="P1278" s="7">
        <v>9269.3723962101176</v>
      </c>
      <c r="Q1278" s="7">
        <v>926.00214886988238</v>
      </c>
      <c r="R1278" s="113">
        <f t="shared" si="143"/>
        <v>0.76952485984744057</v>
      </c>
      <c r="S1278" s="113">
        <f t="shared" si="144"/>
        <v>0.29727403156384508</v>
      </c>
      <c r="T1278" s="113">
        <f t="shared" si="145"/>
        <v>0.74402730375426618</v>
      </c>
      <c r="U1278" s="113">
        <f t="shared" si="146"/>
        <v>0.60360873172185059</v>
      </c>
    </row>
    <row r="1279" spans="1:21" x14ac:dyDescent="0.45">
      <c r="A1279" s="95">
        <v>45839</v>
      </c>
      <c r="B1279" s="96">
        <v>10881</v>
      </c>
      <c r="C1279" s="7">
        <v>8373.2000000000007</v>
      </c>
      <c r="D1279" s="7">
        <v>2507.8000000000002</v>
      </c>
      <c r="E1279" s="97">
        <v>3485</v>
      </c>
      <c r="F1279" s="7">
        <v>1036</v>
      </c>
      <c r="G1279" s="7">
        <v>2449</v>
      </c>
      <c r="H1279" s="98">
        <f t="shared" ref="H1279:H1297" si="149">I1279+J1279</f>
        <v>5860</v>
      </c>
      <c r="I1279" s="7">
        <v>4360</v>
      </c>
      <c r="J1279" s="7">
        <v>1500</v>
      </c>
      <c r="K1279" s="99">
        <f t="shared" si="147"/>
        <v>20226</v>
      </c>
      <c r="L1279" s="7">
        <v>0</v>
      </c>
      <c r="M1279" s="7">
        <v>0</v>
      </c>
      <c r="N1279" s="7">
        <v>9542</v>
      </c>
      <c r="O1279" s="7">
        <v>13700</v>
      </c>
      <c r="P1279" s="7">
        <v>9269.3723962101176</v>
      </c>
      <c r="Q1279" s="7">
        <v>-803.69</v>
      </c>
      <c r="R1279" s="113">
        <f t="shared" si="143"/>
        <v>0.76952485984744057</v>
      </c>
      <c r="S1279" s="113">
        <f t="shared" si="144"/>
        <v>0.29727403156384508</v>
      </c>
      <c r="T1279" s="113">
        <f t="shared" si="145"/>
        <v>0.74402730375426618</v>
      </c>
      <c r="U1279" s="113">
        <f t="shared" si="146"/>
        <v>0.60360873172185059</v>
      </c>
    </row>
    <row r="1280" spans="1:21" x14ac:dyDescent="0.45">
      <c r="A1280" s="95">
        <v>45840</v>
      </c>
      <c r="B1280" s="96">
        <v>10881</v>
      </c>
      <c r="C1280" s="7">
        <v>8373.2000000000007</v>
      </c>
      <c r="D1280" s="7">
        <v>2507.8000000000002</v>
      </c>
      <c r="E1280" s="97">
        <v>3485</v>
      </c>
      <c r="F1280" s="7">
        <v>1036</v>
      </c>
      <c r="G1280" s="7">
        <v>2449</v>
      </c>
      <c r="H1280" s="98">
        <f t="shared" si="149"/>
        <v>5860</v>
      </c>
      <c r="I1280" s="7">
        <v>4360</v>
      </c>
      <c r="J1280" s="7">
        <v>1500</v>
      </c>
      <c r="K1280" s="99">
        <f t="shared" si="147"/>
        <v>20226</v>
      </c>
      <c r="L1280" s="7">
        <v>0</v>
      </c>
      <c r="M1280" s="7">
        <v>0</v>
      </c>
      <c r="N1280" s="7">
        <v>8280</v>
      </c>
      <c r="O1280" s="7">
        <v>13100</v>
      </c>
      <c r="P1280" s="7">
        <v>9269.3723962101176</v>
      </c>
      <c r="Q1280" s="7">
        <v>694.21</v>
      </c>
      <c r="R1280" s="113">
        <f t="shared" si="143"/>
        <v>0.76952485984744057</v>
      </c>
      <c r="S1280" s="113">
        <f t="shared" si="144"/>
        <v>0.29727403156384508</v>
      </c>
      <c r="T1280" s="113">
        <f t="shared" si="145"/>
        <v>0.74402730375426618</v>
      </c>
      <c r="U1280" s="113">
        <f t="shared" si="146"/>
        <v>0.60360873172185059</v>
      </c>
    </row>
    <row r="1281" spans="1:21" x14ac:dyDescent="0.45">
      <c r="A1281" s="95">
        <v>45841</v>
      </c>
      <c r="B1281" s="96">
        <v>10881</v>
      </c>
      <c r="C1281" s="7">
        <v>8373.2000000000007</v>
      </c>
      <c r="D1281" s="7">
        <v>2507.8000000000002</v>
      </c>
      <c r="E1281" s="97">
        <v>3485</v>
      </c>
      <c r="F1281" s="7">
        <v>1036</v>
      </c>
      <c r="G1281" s="7">
        <v>2449</v>
      </c>
      <c r="H1281" s="98">
        <f t="shared" si="149"/>
        <v>5860</v>
      </c>
      <c r="I1281" s="7">
        <v>4360</v>
      </c>
      <c r="J1281" s="7">
        <v>1500</v>
      </c>
      <c r="K1281" s="99">
        <f t="shared" si="147"/>
        <v>20226</v>
      </c>
      <c r="L1281" s="7">
        <v>500</v>
      </c>
      <c r="M1281" s="7">
        <v>500</v>
      </c>
      <c r="N1281" s="7">
        <v>7244</v>
      </c>
      <c r="O1281" s="7">
        <v>13520</v>
      </c>
      <c r="P1281" s="7">
        <v>9269.3723962101176</v>
      </c>
      <c r="Q1281" s="7">
        <v>-230.48</v>
      </c>
      <c r="R1281" s="113">
        <f t="shared" si="143"/>
        <v>0.76952485984744057</v>
      </c>
      <c r="S1281" s="113">
        <f t="shared" si="144"/>
        <v>0.29727403156384508</v>
      </c>
      <c r="T1281" s="113">
        <f t="shared" si="145"/>
        <v>0.74402730375426618</v>
      </c>
      <c r="U1281" s="113">
        <f t="shared" si="146"/>
        <v>0.60360873172185059</v>
      </c>
    </row>
    <row r="1282" spans="1:21" x14ac:dyDescent="0.45">
      <c r="A1282" s="95">
        <v>45842</v>
      </c>
      <c r="B1282" s="96">
        <v>10881</v>
      </c>
      <c r="C1282" s="7">
        <v>8373.2000000000007</v>
      </c>
      <c r="D1282" s="7">
        <v>2507.8000000000002</v>
      </c>
      <c r="E1282" s="97">
        <v>3485</v>
      </c>
      <c r="F1282" s="7">
        <v>1036</v>
      </c>
      <c r="G1282" s="7">
        <v>2449</v>
      </c>
      <c r="H1282" s="98">
        <f t="shared" si="149"/>
        <v>5860</v>
      </c>
      <c r="I1282" s="7">
        <v>4360</v>
      </c>
      <c r="J1282" s="7">
        <v>1500</v>
      </c>
      <c r="K1282" s="99">
        <f t="shared" si="147"/>
        <v>20226</v>
      </c>
      <c r="L1282" s="7">
        <v>500</v>
      </c>
      <c r="M1282" s="7">
        <v>500</v>
      </c>
      <c r="N1282" s="7">
        <v>7000</v>
      </c>
      <c r="O1282" s="7">
        <v>13410</v>
      </c>
      <c r="P1282" s="7">
        <v>9269.3723962101176</v>
      </c>
      <c r="Q1282" s="7">
        <v>166</v>
      </c>
      <c r="R1282" s="113">
        <f t="shared" si="143"/>
        <v>0.76952485984744057</v>
      </c>
      <c r="S1282" s="113">
        <f t="shared" si="144"/>
        <v>0.29727403156384508</v>
      </c>
      <c r="T1282" s="113">
        <f t="shared" si="145"/>
        <v>0.74402730375426618</v>
      </c>
      <c r="U1282" s="113">
        <f t="shared" si="146"/>
        <v>0.60360873172185059</v>
      </c>
    </row>
    <row r="1283" spans="1:21" x14ac:dyDescent="0.45">
      <c r="A1283" s="95">
        <v>45843</v>
      </c>
      <c r="B1283" s="96">
        <v>10881</v>
      </c>
      <c r="C1283" s="7">
        <v>8373.2000000000007</v>
      </c>
      <c r="D1283" s="7">
        <v>2507.8000000000002</v>
      </c>
      <c r="E1283" s="97">
        <v>3485</v>
      </c>
      <c r="F1283" s="7">
        <v>1036</v>
      </c>
      <c r="G1283" s="7">
        <v>2449</v>
      </c>
      <c r="H1283" s="98">
        <f t="shared" si="149"/>
        <v>5860</v>
      </c>
      <c r="I1283" s="7">
        <v>4360</v>
      </c>
      <c r="J1283" s="7">
        <v>1500</v>
      </c>
      <c r="K1283" s="99">
        <f t="shared" si="147"/>
        <v>20226</v>
      </c>
      <c r="L1283" s="7">
        <v>500</v>
      </c>
      <c r="M1283" s="7">
        <v>500</v>
      </c>
      <c r="N1283" s="7">
        <v>7000</v>
      </c>
      <c r="O1283" s="7">
        <v>13410</v>
      </c>
      <c r="P1283" s="7">
        <v>9269.3723962101176</v>
      </c>
      <c r="Q1283" s="7">
        <v>166</v>
      </c>
      <c r="R1283" s="113">
        <f t="shared" ref="R1283:R1324" si="150">C1283/B1283</f>
        <v>0.76952485984744057</v>
      </c>
      <c r="S1283" s="113">
        <f t="shared" ref="S1283:S1325" si="151">F1283/E1283</f>
        <v>0.29727403156384508</v>
      </c>
      <c r="T1283" s="113">
        <f t="shared" ref="T1283:T1325" si="152">IF(H1283=0,0,I1283/H1283)</f>
        <v>0.74402730375426618</v>
      </c>
      <c r="U1283" s="113">
        <f t="shared" ref="U1283:U1337" si="153">AVERAGE(R1283:T1283)</f>
        <v>0.60360873172185059</v>
      </c>
    </row>
    <row r="1284" spans="1:21" x14ac:dyDescent="0.45">
      <c r="A1284" s="95">
        <v>45844</v>
      </c>
      <c r="B1284" s="96">
        <v>10881</v>
      </c>
      <c r="C1284" s="7">
        <v>8373.2000000000007</v>
      </c>
      <c r="D1284" s="7">
        <v>2507.8000000000002</v>
      </c>
      <c r="E1284" s="97">
        <v>3485</v>
      </c>
      <c r="F1284" s="7">
        <v>1036</v>
      </c>
      <c r="G1284" s="7">
        <v>2449</v>
      </c>
      <c r="H1284" s="98">
        <f t="shared" si="149"/>
        <v>5860</v>
      </c>
      <c r="I1284" s="7">
        <v>4360</v>
      </c>
      <c r="J1284" s="7">
        <v>1500</v>
      </c>
      <c r="K1284" s="99">
        <f t="shared" ref="K1284:K1299" si="154">B1284+E1284+H1284</f>
        <v>20226</v>
      </c>
      <c r="L1284" s="7">
        <v>500</v>
      </c>
      <c r="M1284" s="7">
        <v>500</v>
      </c>
      <c r="N1284" s="7">
        <v>7000</v>
      </c>
      <c r="O1284" s="7">
        <v>13410</v>
      </c>
      <c r="P1284" s="7">
        <v>9269.3723962101176</v>
      </c>
      <c r="Q1284" s="7">
        <v>166</v>
      </c>
      <c r="R1284" s="113">
        <f t="shared" si="150"/>
        <v>0.76952485984744057</v>
      </c>
      <c r="S1284" s="113">
        <f t="shared" si="151"/>
        <v>0.29727403156384508</v>
      </c>
      <c r="T1284" s="113">
        <f t="shared" si="152"/>
        <v>0.74402730375426618</v>
      </c>
      <c r="U1284" s="113">
        <f t="shared" si="153"/>
        <v>0.60360873172185059</v>
      </c>
    </row>
    <row r="1285" spans="1:21" x14ac:dyDescent="0.45">
      <c r="A1285" s="95">
        <v>45845</v>
      </c>
      <c r="B1285" s="96">
        <v>10881</v>
      </c>
      <c r="C1285" s="7">
        <v>8373.2000000000007</v>
      </c>
      <c r="D1285" s="7">
        <v>2507.8000000000002</v>
      </c>
      <c r="E1285" s="97">
        <v>3485</v>
      </c>
      <c r="F1285" s="7">
        <v>1036</v>
      </c>
      <c r="G1285" s="7">
        <v>2449</v>
      </c>
      <c r="H1285" s="98">
        <f t="shared" si="149"/>
        <v>5860</v>
      </c>
      <c r="I1285" s="7">
        <v>4360</v>
      </c>
      <c r="J1285" s="7">
        <v>1500</v>
      </c>
      <c r="K1285" s="99">
        <f t="shared" si="154"/>
        <v>20226</v>
      </c>
      <c r="L1285" s="7">
        <v>500</v>
      </c>
      <c r="M1285" s="7">
        <v>500</v>
      </c>
      <c r="N1285" s="7">
        <v>6780</v>
      </c>
      <c r="O1285" s="7">
        <v>14130</v>
      </c>
      <c r="P1285" s="7">
        <v>9470.34</v>
      </c>
      <c r="Q1285" s="7">
        <v>-301.66793347219232</v>
      </c>
      <c r="R1285" s="113">
        <f t="shared" si="150"/>
        <v>0.76952485984744057</v>
      </c>
      <c r="S1285" s="113">
        <f t="shared" si="151"/>
        <v>0.29727403156384508</v>
      </c>
      <c r="T1285" s="113">
        <f t="shared" si="152"/>
        <v>0.74402730375426618</v>
      </c>
      <c r="U1285" s="113">
        <f t="shared" si="153"/>
        <v>0.60360873172185059</v>
      </c>
    </row>
    <row r="1286" spans="1:21" x14ac:dyDescent="0.45">
      <c r="A1286" s="95">
        <v>45846</v>
      </c>
      <c r="B1286" s="96">
        <v>10881</v>
      </c>
      <c r="C1286" s="7">
        <v>8373.2000000000007</v>
      </c>
      <c r="D1286" s="7">
        <v>2507.8000000000002</v>
      </c>
      <c r="E1286" s="97">
        <v>3485</v>
      </c>
      <c r="F1286" s="7">
        <v>1036</v>
      </c>
      <c r="G1286" s="7">
        <v>2449</v>
      </c>
      <c r="H1286" s="98">
        <f t="shared" si="149"/>
        <v>5860</v>
      </c>
      <c r="I1286" s="7">
        <v>4360</v>
      </c>
      <c r="J1286" s="7">
        <v>1500</v>
      </c>
      <c r="K1286" s="99">
        <f t="shared" si="154"/>
        <v>20226</v>
      </c>
      <c r="L1286" s="7">
        <v>500</v>
      </c>
      <c r="M1286" s="7">
        <v>500</v>
      </c>
      <c r="N1286" s="7">
        <v>6310</v>
      </c>
      <c r="O1286" s="7">
        <v>14500</v>
      </c>
      <c r="P1286" s="7">
        <v>9470.34</v>
      </c>
      <c r="Q1286" s="7">
        <v>-6.8984865621924882</v>
      </c>
      <c r="R1286" s="113">
        <f t="shared" si="150"/>
        <v>0.76952485984744057</v>
      </c>
      <c r="S1286" s="113">
        <f t="shared" si="151"/>
        <v>0.29727403156384508</v>
      </c>
      <c r="T1286" s="113">
        <f t="shared" si="152"/>
        <v>0.74402730375426618</v>
      </c>
      <c r="U1286" s="113">
        <f t="shared" si="153"/>
        <v>0.60360873172185059</v>
      </c>
    </row>
    <row r="1287" spans="1:21" x14ac:dyDescent="0.45">
      <c r="A1287" s="95">
        <v>45847</v>
      </c>
      <c r="B1287" s="96">
        <v>10881</v>
      </c>
      <c r="C1287" s="7">
        <v>8373.2000000000007</v>
      </c>
      <c r="D1287" s="7">
        <v>2507.8000000000002</v>
      </c>
      <c r="E1287" s="97">
        <v>3485</v>
      </c>
      <c r="F1287" s="7">
        <v>1036</v>
      </c>
      <c r="G1287" s="7">
        <v>2449</v>
      </c>
      <c r="H1287" s="98">
        <f t="shared" si="149"/>
        <v>5860</v>
      </c>
      <c r="I1287" s="7">
        <v>4360</v>
      </c>
      <c r="J1287" s="7">
        <v>1500</v>
      </c>
      <c r="K1287" s="99">
        <f t="shared" si="154"/>
        <v>20226</v>
      </c>
      <c r="L1287" s="7">
        <v>500</v>
      </c>
      <c r="M1287" s="7">
        <v>500</v>
      </c>
      <c r="N1287" s="7">
        <v>6306</v>
      </c>
      <c r="O1287" s="7">
        <v>14500</v>
      </c>
      <c r="P1287" s="7">
        <v>9470.34</v>
      </c>
      <c r="Q1287" s="7">
        <v>-207.87051134219254</v>
      </c>
      <c r="R1287" s="113">
        <f t="shared" si="150"/>
        <v>0.76952485984744057</v>
      </c>
      <c r="S1287" s="113">
        <f t="shared" si="151"/>
        <v>0.29727403156384508</v>
      </c>
      <c r="T1287" s="113">
        <f t="shared" si="152"/>
        <v>0.74402730375426618</v>
      </c>
      <c r="U1287" s="113">
        <f t="shared" si="153"/>
        <v>0.60360873172185059</v>
      </c>
    </row>
    <row r="1288" spans="1:21" x14ac:dyDescent="0.45">
      <c r="A1288" s="95">
        <v>45848</v>
      </c>
      <c r="B1288" s="96">
        <v>10881</v>
      </c>
      <c r="C1288" s="7">
        <v>8473.2000000000007</v>
      </c>
      <c r="D1288" s="7">
        <v>2407.8000000000002</v>
      </c>
      <c r="E1288" s="97">
        <v>3485</v>
      </c>
      <c r="F1288" s="7">
        <v>1036</v>
      </c>
      <c r="G1288" s="7">
        <v>2449</v>
      </c>
      <c r="H1288" s="98">
        <f t="shared" si="149"/>
        <v>5860</v>
      </c>
      <c r="I1288" s="7">
        <v>4360</v>
      </c>
      <c r="J1288" s="7">
        <v>1500</v>
      </c>
      <c r="K1288" s="99">
        <f t="shared" si="154"/>
        <v>20226</v>
      </c>
      <c r="L1288" s="7">
        <v>500</v>
      </c>
      <c r="M1288" s="7">
        <v>500</v>
      </c>
      <c r="N1288" s="7">
        <v>4480</v>
      </c>
      <c r="O1288" s="7">
        <v>14100</v>
      </c>
      <c r="P1288" s="7">
        <v>9470.34</v>
      </c>
      <c r="Q1288" s="7">
        <v>-209.28429404219264</v>
      </c>
      <c r="R1288" s="113">
        <f t="shared" si="150"/>
        <v>0.77871519161841751</v>
      </c>
      <c r="S1288" s="113">
        <f t="shared" si="151"/>
        <v>0.29727403156384508</v>
      </c>
      <c r="T1288" s="113">
        <f t="shared" si="152"/>
        <v>0.74402730375426618</v>
      </c>
      <c r="U1288" s="113">
        <f t="shared" si="153"/>
        <v>0.60667217564550957</v>
      </c>
    </row>
    <row r="1289" spans="1:21" x14ac:dyDescent="0.45">
      <c r="A1289" s="95">
        <v>45849</v>
      </c>
      <c r="B1289" s="96">
        <v>10881</v>
      </c>
      <c r="C1289" s="7">
        <v>8473.2000000000007</v>
      </c>
      <c r="D1289" s="7">
        <v>2407.8000000000002</v>
      </c>
      <c r="E1289" s="97">
        <v>3485</v>
      </c>
      <c r="F1289" s="7">
        <v>1036</v>
      </c>
      <c r="G1289" s="7">
        <v>2449</v>
      </c>
      <c r="H1289" s="98">
        <f t="shared" si="149"/>
        <v>5860</v>
      </c>
      <c r="I1289" s="7">
        <v>4360</v>
      </c>
      <c r="J1289" s="7">
        <v>1500</v>
      </c>
      <c r="K1289" s="99">
        <f t="shared" si="154"/>
        <v>20226</v>
      </c>
      <c r="L1289" s="7">
        <v>500</v>
      </c>
      <c r="M1289" s="7">
        <v>500</v>
      </c>
      <c r="N1289" s="7">
        <v>5680</v>
      </c>
      <c r="O1289" s="7">
        <v>14150</v>
      </c>
      <c r="P1289" s="7">
        <v>9470.34</v>
      </c>
      <c r="Q1289" s="7">
        <v>257.4415595178076</v>
      </c>
      <c r="R1289" s="113">
        <f t="shared" si="150"/>
        <v>0.77871519161841751</v>
      </c>
      <c r="S1289" s="113">
        <f t="shared" si="151"/>
        <v>0.29727403156384508</v>
      </c>
      <c r="T1289" s="113">
        <f t="shared" si="152"/>
        <v>0.74402730375426618</v>
      </c>
      <c r="U1289" s="113">
        <f t="shared" si="153"/>
        <v>0.60667217564550957</v>
      </c>
    </row>
    <row r="1290" spans="1:21" x14ac:dyDescent="0.45">
      <c r="A1290" s="95">
        <v>45850</v>
      </c>
      <c r="B1290" s="96">
        <v>10881</v>
      </c>
      <c r="C1290" s="7">
        <v>8473.2000000000007</v>
      </c>
      <c r="D1290" s="7">
        <v>2407.8000000000002</v>
      </c>
      <c r="E1290" s="97">
        <v>3485</v>
      </c>
      <c r="F1290" s="7">
        <v>1036</v>
      </c>
      <c r="G1290" s="7">
        <v>2449</v>
      </c>
      <c r="H1290" s="98">
        <f t="shared" si="149"/>
        <v>5860</v>
      </c>
      <c r="I1290" s="7">
        <v>4360</v>
      </c>
      <c r="J1290" s="7">
        <v>1500</v>
      </c>
      <c r="K1290" s="99">
        <f t="shared" si="154"/>
        <v>20226</v>
      </c>
      <c r="L1290" s="7">
        <v>500</v>
      </c>
      <c r="M1290" s="7">
        <v>500</v>
      </c>
      <c r="N1290" s="7">
        <v>5680</v>
      </c>
      <c r="O1290" s="7">
        <v>14150</v>
      </c>
      <c r="P1290" s="7">
        <v>9470.34</v>
      </c>
      <c r="Q1290" s="7">
        <v>257.4415595178076</v>
      </c>
      <c r="R1290" s="113">
        <f t="shared" si="150"/>
        <v>0.77871519161841751</v>
      </c>
      <c r="S1290" s="113">
        <f t="shared" si="151"/>
        <v>0.29727403156384508</v>
      </c>
      <c r="T1290" s="113">
        <f t="shared" si="152"/>
        <v>0.74402730375426618</v>
      </c>
      <c r="U1290" s="113">
        <f t="shared" si="153"/>
        <v>0.60667217564550957</v>
      </c>
    </row>
    <row r="1291" spans="1:21" x14ac:dyDescent="0.45">
      <c r="A1291" s="95">
        <v>45851</v>
      </c>
      <c r="B1291" s="96">
        <v>10881</v>
      </c>
      <c r="C1291" s="7">
        <v>8473.2000000000007</v>
      </c>
      <c r="D1291" s="7">
        <v>2407.8000000000002</v>
      </c>
      <c r="E1291" s="97">
        <v>3485</v>
      </c>
      <c r="F1291" s="7">
        <v>1036</v>
      </c>
      <c r="G1291" s="7">
        <v>2449</v>
      </c>
      <c r="H1291" s="98">
        <f t="shared" si="149"/>
        <v>5860</v>
      </c>
      <c r="I1291" s="7">
        <v>4360</v>
      </c>
      <c r="J1291" s="7">
        <v>1500</v>
      </c>
      <c r="K1291" s="99">
        <f t="shared" si="154"/>
        <v>20226</v>
      </c>
      <c r="L1291" s="7">
        <v>500</v>
      </c>
      <c r="M1291" s="7">
        <v>500</v>
      </c>
      <c r="N1291" s="7">
        <v>5680</v>
      </c>
      <c r="O1291" s="7">
        <v>14150</v>
      </c>
      <c r="P1291" s="7">
        <v>9470.34</v>
      </c>
      <c r="Q1291" s="7">
        <v>257.4415595178076</v>
      </c>
      <c r="R1291" s="113">
        <f t="shared" si="150"/>
        <v>0.77871519161841751</v>
      </c>
      <c r="S1291" s="113">
        <f t="shared" si="151"/>
        <v>0.29727403156384508</v>
      </c>
      <c r="T1291" s="113">
        <f t="shared" si="152"/>
        <v>0.74402730375426618</v>
      </c>
      <c r="U1291" s="113">
        <f t="shared" si="153"/>
        <v>0.60667217564550957</v>
      </c>
    </row>
    <row r="1292" spans="1:21" x14ac:dyDescent="0.45">
      <c r="A1292" s="95">
        <v>45852</v>
      </c>
      <c r="B1292" s="96">
        <v>10881</v>
      </c>
      <c r="C1292" s="7">
        <v>8473.2000000000007</v>
      </c>
      <c r="D1292" s="7">
        <v>2407.8000000000002</v>
      </c>
      <c r="E1292" s="97">
        <v>3485</v>
      </c>
      <c r="F1292" s="7">
        <v>1036</v>
      </c>
      <c r="G1292" s="7">
        <v>2449</v>
      </c>
      <c r="H1292" s="98">
        <f t="shared" si="149"/>
        <v>5860</v>
      </c>
      <c r="I1292" s="7">
        <v>4360</v>
      </c>
      <c r="J1292" s="7">
        <v>1500</v>
      </c>
      <c r="K1292" s="99">
        <f t="shared" si="154"/>
        <v>20226</v>
      </c>
      <c r="L1292" s="7">
        <v>500</v>
      </c>
      <c r="M1292" s="7">
        <v>500</v>
      </c>
      <c r="N1292" s="7">
        <v>5350</v>
      </c>
      <c r="O1292" s="7">
        <v>13900</v>
      </c>
      <c r="P1292" s="7">
        <v>9470.34</v>
      </c>
      <c r="Q1292" s="7">
        <v>772.62968312780777</v>
      </c>
      <c r="R1292" s="113">
        <f t="shared" si="150"/>
        <v>0.77871519161841751</v>
      </c>
      <c r="S1292" s="113">
        <f t="shared" si="151"/>
        <v>0.29727403156384508</v>
      </c>
      <c r="T1292" s="113">
        <f t="shared" si="152"/>
        <v>0.74402730375426618</v>
      </c>
      <c r="U1292" s="113">
        <f t="shared" si="153"/>
        <v>0.60667217564550957</v>
      </c>
    </row>
    <row r="1293" spans="1:21" x14ac:dyDescent="0.45">
      <c r="A1293" s="95">
        <v>45853</v>
      </c>
      <c r="B1293" s="96">
        <v>10881</v>
      </c>
      <c r="C1293" s="7">
        <v>8473.2000000000007</v>
      </c>
      <c r="D1293" s="7">
        <v>2407.8000000000002</v>
      </c>
      <c r="E1293" s="97">
        <v>3485</v>
      </c>
      <c r="F1293" s="7">
        <v>1036</v>
      </c>
      <c r="G1293" s="7">
        <v>2449</v>
      </c>
      <c r="H1293" s="98">
        <f t="shared" si="149"/>
        <v>5860</v>
      </c>
      <c r="I1293" s="7">
        <v>4360</v>
      </c>
      <c r="J1293" s="7">
        <v>1500</v>
      </c>
      <c r="K1293" s="99">
        <f t="shared" si="154"/>
        <v>20226</v>
      </c>
      <c r="L1293" s="7">
        <v>500</v>
      </c>
      <c r="M1293" s="7">
        <v>500</v>
      </c>
      <c r="N1293" s="7">
        <v>6501</v>
      </c>
      <c r="O1293" s="7">
        <v>14000</v>
      </c>
      <c r="P1293" s="7">
        <v>9470.34</v>
      </c>
      <c r="Q1293" s="7">
        <v>-197.37570001219237</v>
      </c>
      <c r="R1293" s="113">
        <f t="shared" si="150"/>
        <v>0.77871519161841751</v>
      </c>
      <c r="S1293" s="113">
        <f t="shared" si="151"/>
        <v>0.29727403156384508</v>
      </c>
      <c r="T1293" s="113">
        <f t="shared" si="152"/>
        <v>0.74402730375426618</v>
      </c>
      <c r="U1293" s="113">
        <f t="shared" si="153"/>
        <v>0.60667217564550957</v>
      </c>
    </row>
    <row r="1294" spans="1:21" x14ac:dyDescent="0.45">
      <c r="A1294" s="95">
        <v>45854</v>
      </c>
      <c r="B1294" s="96">
        <v>10881</v>
      </c>
      <c r="C1294" s="7">
        <v>8473.2000000000007</v>
      </c>
      <c r="D1294" s="7">
        <v>2407.8000000000002</v>
      </c>
      <c r="E1294" s="97">
        <v>3485</v>
      </c>
      <c r="F1294" s="7">
        <v>1036</v>
      </c>
      <c r="G1294" s="7">
        <v>2449</v>
      </c>
      <c r="H1294" s="98">
        <f t="shared" si="149"/>
        <v>5860</v>
      </c>
      <c r="I1294" s="7">
        <v>4360</v>
      </c>
      <c r="J1294" s="7">
        <v>1500</v>
      </c>
      <c r="K1294" s="99">
        <f t="shared" si="154"/>
        <v>20226</v>
      </c>
      <c r="L1294" s="7">
        <v>500</v>
      </c>
      <c r="M1294" s="7">
        <v>500</v>
      </c>
      <c r="N1294" s="7">
        <v>6090</v>
      </c>
      <c r="O1294" s="7">
        <v>14700</v>
      </c>
      <c r="P1294" s="7">
        <v>9470.34</v>
      </c>
      <c r="Q1294" s="7">
        <v>-598.90542195219234</v>
      </c>
      <c r="R1294" s="113">
        <f t="shared" si="150"/>
        <v>0.77871519161841751</v>
      </c>
      <c r="S1294" s="113">
        <f t="shared" si="151"/>
        <v>0.29727403156384508</v>
      </c>
      <c r="T1294" s="113">
        <f t="shared" si="152"/>
        <v>0.74402730375426618</v>
      </c>
      <c r="U1294" s="113">
        <f t="shared" si="153"/>
        <v>0.60667217564550957</v>
      </c>
    </row>
    <row r="1295" spans="1:21" x14ac:dyDescent="0.45">
      <c r="A1295" s="95">
        <v>45855</v>
      </c>
      <c r="B1295" s="96">
        <v>10881</v>
      </c>
      <c r="C1295" s="7">
        <v>8373.2999999999993</v>
      </c>
      <c r="D1295" s="7">
        <v>2507.8000000000002</v>
      </c>
      <c r="E1295" s="97">
        <v>3485</v>
      </c>
      <c r="F1295" s="7">
        <v>1036</v>
      </c>
      <c r="G1295" s="7">
        <v>2449</v>
      </c>
      <c r="H1295" s="98">
        <f t="shared" si="149"/>
        <v>5860</v>
      </c>
      <c r="I1295" s="7">
        <v>4360</v>
      </c>
      <c r="J1295" s="7">
        <v>1500</v>
      </c>
      <c r="K1295" s="99">
        <f t="shared" si="154"/>
        <v>20226</v>
      </c>
      <c r="L1295" s="7">
        <v>500</v>
      </c>
      <c r="M1295" s="7">
        <v>500</v>
      </c>
      <c r="N1295" s="7">
        <v>5970</v>
      </c>
      <c r="O1295" s="7">
        <v>14250</v>
      </c>
      <c r="P1295" s="7">
        <v>9470.34</v>
      </c>
      <c r="Q1295" s="7">
        <v>-351.59187531219254</v>
      </c>
      <c r="R1295" s="113">
        <f t="shared" si="150"/>
        <v>0.76953405017921139</v>
      </c>
      <c r="S1295" s="113">
        <f t="shared" si="151"/>
        <v>0.29727403156384508</v>
      </c>
      <c r="T1295" s="113">
        <f t="shared" si="152"/>
        <v>0.74402730375426618</v>
      </c>
      <c r="U1295" s="113">
        <f t="shared" si="153"/>
        <v>0.60361179516577423</v>
      </c>
    </row>
    <row r="1296" spans="1:21" x14ac:dyDescent="0.45">
      <c r="A1296" s="95">
        <v>45856</v>
      </c>
      <c r="B1296" s="96">
        <v>10881</v>
      </c>
      <c r="C1296" s="7">
        <v>8373.2999999999993</v>
      </c>
      <c r="D1296" s="7">
        <v>2507.8000000000002</v>
      </c>
      <c r="E1296" s="97">
        <v>3485</v>
      </c>
      <c r="F1296" s="7">
        <v>1036</v>
      </c>
      <c r="G1296" s="7">
        <v>2449</v>
      </c>
      <c r="H1296" s="98">
        <f t="shared" si="149"/>
        <v>5860</v>
      </c>
      <c r="I1296" s="7">
        <v>4360</v>
      </c>
      <c r="J1296" s="7">
        <v>1500</v>
      </c>
      <c r="K1296" s="99">
        <f t="shared" si="154"/>
        <v>20226</v>
      </c>
      <c r="L1296" s="7">
        <v>500</v>
      </c>
      <c r="M1296" s="7">
        <v>500</v>
      </c>
      <c r="N1296" s="7">
        <v>5000</v>
      </c>
      <c r="O1296" s="7">
        <v>14300</v>
      </c>
      <c r="P1296" s="7">
        <v>9470.34</v>
      </c>
      <c r="Q1296" s="7">
        <v>626.5681246878072</v>
      </c>
      <c r="R1296" s="113">
        <f t="shared" si="150"/>
        <v>0.76953405017921139</v>
      </c>
      <c r="S1296" s="113">
        <f t="shared" si="151"/>
        <v>0.29727403156384508</v>
      </c>
      <c r="T1296" s="113">
        <f t="shared" si="152"/>
        <v>0.74402730375426618</v>
      </c>
      <c r="U1296" s="113">
        <f t="shared" si="153"/>
        <v>0.60361179516577423</v>
      </c>
    </row>
    <row r="1297" spans="1:21" x14ac:dyDescent="0.45">
      <c r="A1297" s="95">
        <v>45857</v>
      </c>
      <c r="B1297" s="96">
        <v>10881</v>
      </c>
      <c r="C1297" s="7">
        <v>8373.2999999999993</v>
      </c>
      <c r="D1297" s="7">
        <v>2507.8000000000002</v>
      </c>
      <c r="E1297" s="97">
        <v>3485</v>
      </c>
      <c r="F1297" s="7">
        <v>1036</v>
      </c>
      <c r="G1297" s="7">
        <v>2449</v>
      </c>
      <c r="H1297" s="98">
        <f t="shared" si="149"/>
        <v>5860</v>
      </c>
      <c r="I1297" s="7">
        <v>4360</v>
      </c>
      <c r="J1297" s="7">
        <v>1500</v>
      </c>
      <c r="K1297" s="99">
        <f t="shared" si="154"/>
        <v>20226</v>
      </c>
      <c r="L1297" s="7">
        <v>500</v>
      </c>
      <c r="M1297" s="7">
        <v>500</v>
      </c>
      <c r="N1297" s="7">
        <v>5000</v>
      </c>
      <c r="O1297" s="7">
        <v>14300</v>
      </c>
      <c r="P1297" s="7">
        <v>9470.34</v>
      </c>
      <c r="Q1297" s="7">
        <v>626.5681246878072</v>
      </c>
      <c r="R1297" s="113">
        <f t="shared" si="150"/>
        <v>0.76953405017921139</v>
      </c>
      <c r="S1297" s="113">
        <f t="shared" si="151"/>
        <v>0.29727403156384508</v>
      </c>
      <c r="T1297" s="113">
        <f t="shared" si="152"/>
        <v>0.74402730375426618</v>
      </c>
      <c r="U1297" s="113">
        <f t="shared" si="153"/>
        <v>0.60361179516577423</v>
      </c>
    </row>
    <row r="1298" spans="1:21" x14ac:dyDescent="0.45">
      <c r="A1298" s="95">
        <v>45858</v>
      </c>
      <c r="B1298" s="96">
        <v>10881</v>
      </c>
      <c r="C1298" s="7">
        <v>8373.2999999999993</v>
      </c>
      <c r="D1298" s="7">
        <v>2507.8000000000002</v>
      </c>
      <c r="E1298" s="97">
        <v>3485</v>
      </c>
      <c r="F1298" s="7">
        <v>1036</v>
      </c>
      <c r="G1298" s="7">
        <v>2449</v>
      </c>
      <c r="H1298" s="98">
        <v>5860</v>
      </c>
      <c r="I1298" s="7">
        <v>4360</v>
      </c>
      <c r="J1298" s="7">
        <v>1500</v>
      </c>
      <c r="K1298" s="99">
        <f t="shared" si="154"/>
        <v>20226</v>
      </c>
      <c r="L1298" s="7">
        <v>500</v>
      </c>
      <c r="M1298" s="7">
        <v>500</v>
      </c>
      <c r="N1298" s="7">
        <v>5000</v>
      </c>
      <c r="O1298" s="7">
        <v>14300</v>
      </c>
      <c r="P1298" s="7">
        <v>9470.34</v>
      </c>
      <c r="Q1298" s="7">
        <v>626.5681246878072</v>
      </c>
      <c r="R1298" s="113">
        <f t="shared" si="150"/>
        <v>0.76953405017921139</v>
      </c>
      <c r="S1298" s="113">
        <f t="shared" si="151"/>
        <v>0.29727403156384508</v>
      </c>
      <c r="T1298" s="113">
        <f t="shared" si="152"/>
        <v>0.74402730375426618</v>
      </c>
      <c r="U1298" s="113">
        <f t="shared" si="153"/>
        <v>0.60361179516577423</v>
      </c>
    </row>
    <row r="1299" spans="1:21" x14ac:dyDescent="0.45">
      <c r="A1299" s="95">
        <v>45859</v>
      </c>
      <c r="B1299" s="96">
        <v>10881</v>
      </c>
      <c r="C1299" s="7">
        <v>8373.2999999999993</v>
      </c>
      <c r="D1299" s="7">
        <v>2507.8000000000002</v>
      </c>
      <c r="E1299" s="97">
        <v>3485</v>
      </c>
      <c r="F1299" s="7">
        <v>1036</v>
      </c>
      <c r="G1299" s="7">
        <v>2449</v>
      </c>
      <c r="H1299" s="98">
        <v>5860</v>
      </c>
      <c r="I1299" s="7">
        <v>4360</v>
      </c>
      <c r="J1299" s="7">
        <v>1500</v>
      </c>
      <c r="K1299" s="99">
        <f t="shared" si="154"/>
        <v>20226</v>
      </c>
      <c r="L1299" s="7">
        <v>500</v>
      </c>
      <c r="M1299" s="7">
        <v>500</v>
      </c>
      <c r="N1299" s="7">
        <v>6630</v>
      </c>
      <c r="O1299" s="7">
        <v>13700</v>
      </c>
      <c r="P1299" s="7">
        <v>9470.34</v>
      </c>
      <c r="Q1299" s="7">
        <v>-688.38</v>
      </c>
      <c r="R1299" s="113">
        <f t="shared" si="150"/>
        <v>0.76953405017921139</v>
      </c>
      <c r="S1299" s="113">
        <f t="shared" si="151"/>
        <v>0.29727403156384508</v>
      </c>
      <c r="T1299" s="113">
        <f t="shared" si="152"/>
        <v>0.74402730375426618</v>
      </c>
      <c r="U1299" s="113">
        <f t="shared" si="153"/>
        <v>0.60361179516577423</v>
      </c>
    </row>
    <row r="1300" spans="1:21" x14ac:dyDescent="0.45">
      <c r="A1300" s="95">
        <v>45860</v>
      </c>
      <c r="B1300" s="96">
        <v>10881</v>
      </c>
      <c r="C1300" s="7">
        <v>8373.2999999999993</v>
      </c>
      <c r="D1300" s="7">
        <v>2507.8000000000002</v>
      </c>
      <c r="E1300" s="97">
        <v>3485</v>
      </c>
      <c r="F1300" s="7">
        <v>1036</v>
      </c>
      <c r="G1300" s="7">
        <v>2449</v>
      </c>
      <c r="H1300" s="98">
        <v>5860</v>
      </c>
      <c r="I1300" s="7">
        <v>4360</v>
      </c>
      <c r="J1300" s="7">
        <v>1500</v>
      </c>
      <c r="K1300" s="99">
        <f t="shared" ref="K1300:K1301" si="155">B1300+E1300+H1300</f>
        <v>20226</v>
      </c>
      <c r="L1300" s="7">
        <v>500</v>
      </c>
      <c r="M1300" s="7">
        <v>500</v>
      </c>
      <c r="N1300" s="7">
        <v>6390</v>
      </c>
      <c r="O1300" s="7">
        <v>14050</v>
      </c>
      <c r="P1300" s="7">
        <v>9470.34</v>
      </c>
      <c r="Q1300" s="7">
        <v>-570.69000000000005</v>
      </c>
      <c r="R1300" s="113">
        <f t="shared" si="150"/>
        <v>0.76953405017921139</v>
      </c>
      <c r="S1300" s="113">
        <f t="shared" si="151"/>
        <v>0.29727403156384508</v>
      </c>
      <c r="T1300" s="113">
        <f t="shared" si="152"/>
        <v>0.74402730375426618</v>
      </c>
      <c r="U1300" s="113">
        <f t="shared" si="153"/>
        <v>0.60361179516577423</v>
      </c>
    </row>
    <row r="1301" spans="1:21" x14ac:dyDescent="0.45">
      <c r="A1301" s="95">
        <v>45861</v>
      </c>
      <c r="B1301" s="96">
        <v>10881</v>
      </c>
      <c r="C1301" s="7">
        <v>8373.2999999999993</v>
      </c>
      <c r="D1301" s="7">
        <v>2507.8000000000002</v>
      </c>
      <c r="E1301" s="97">
        <v>3485</v>
      </c>
      <c r="F1301" s="7">
        <v>1036</v>
      </c>
      <c r="G1301" s="7">
        <v>2449</v>
      </c>
      <c r="H1301" s="98">
        <v>5860</v>
      </c>
      <c r="I1301" s="7">
        <v>4360</v>
      </c>
      <c r="J1301" s="7">
        <v>1500</v>
      </c>
      <c r="K1301" s="99">
        <f t="shared" si="155"/>
        <v>20226</v>
      </c>
      <c r="L1301" s="7">
        <v>500</v>
      </c>
      <c r="M1301" s="7">
        <v>500</v>
      </c>
      <c r="N1301" s="7">
        <v>5900</v>
      </c>
      <c r="O1301" s="7">
        <v>13650</v>
      </c>
      <c r="P1301" s="7">
        <v>9470.34</v>
      </c>
      <c r="Q1301" s="7">
        <v>2152.11</v>
      </c>
      <c r="R1301" s="113">
        <f t="shared" si="150"/>
        <v>0.76953405017921139</v>
      </c>
      <c r="S1301" s="113">
        <f t="shared" si="151"/>
        <v>0.29727403156384508</v>
      </c>
      <c r="T1301" s="113">
        <f t="shared" si="152"/>
        <v>0.74402730375426618</v>
      </c>
      <c r="U1301" s="113">
        <f t="shared" si="153"/>
        <v>0.60361179516577423</v>
      </c>
    </row>
    <row r="1302" spans="1:21" x14ac:dyDescent="0.45">
      <c r="A1302" s="95">
        <v>45862</v>
      </c>
      <c r="B1302" s="96">
        <v>10781</v>
      </c>
      <c r="C1302" s="7">
        <v>8253.2000000000007</v>
      </c>
      <c r="D1302" s="7">
        <v>2527.8000000000002</v>
      </c>
      <c r="E1302" s="97">
        <v>3485</v>
      </c>
      <c r="F1302" s="7">
        <v>1036</v>
      </c>
      <c r="G1302" s="7">
        <v>2449</v>
      </c>
      <c r="H1302" s="98">
        <v>5860</v>
      </c>
      <c r="I1302" s="7">
        <v>4360</v>
      </c>
      <c r="J1302" s="7">
        <v>1500</v>
      </c>
      <c r="K1302" s="99">
        <f t="shared" ref="K1302" si="156">B1302+E1302+H1302</f>
        <v>20126</v>
      </c>
      <c r="L1302" s="7">
        <v>1000</v>
      </c>
      <c r="M1302" s="7">
        <v>1000</v>
      </c>
      <c r="N1302" s="7">
        <v>7334</v>
      </c>
      <c r="O1302" s="7">
        <v>13650</v>
      </c>
      <c r="P1302" s="7">
        <v>9470.34</v>
      </c>
      <c r="Q1302" s="7">
        <v>-438.79</v>
      </c>
      <c r="R1302" s="113">
        <f t="shared" si="150"/>
        <v>0.76553195436415922</v>
      </c>
      <c r="S1302" s="113">
        <f t="shared" si="151"/>
        <v>0.29727403156384508</v>
      </c>
      <c r="T1302" s="113">
        <f t="shared" si="152"/>
        <v>0.74402730375426618</v>
      </c>
      <c r="U1302" s="113">
        <f t="shared" si="153"/>
        <v>0.60227776322742355</v>
      </c>
    </row>
    <row r="1303" spans="1:21" x14ac:dyDescent="0.45">
      <c r="A1303" s="95">
        <v>45863</v>
      </c>
      <c r="B1303" s="96">
        <v>10781</v>
      </c>
      <c r="C1303" s="7">
        <v>8253.2000000000007</v>
      </c>
      <c r="D1303" s="7">
        <v>2527.8000000000002</v>
      </c>
      <c r="E1303" s="97">
        <v>3485</v>
      </c>
      <c r="F1303" s="7">
        <v>1036</v>
      </c>
      <c r="G1303" s="7">
        <v>2449</v>
      </c>
      <c r="H1303" s="98">
        <v>5860</v>
      </c>
      <c r="I1303" s="7">
        <v>4360</v>
      </c>
      <c r="J1303" s="7">
        <v>1500</v>
      </c>
      <c r="K1303" s="99">
        <f t="shared" ref="K1303:K1305" si="157">B1303+E1303+H1303</f>
        <v>20126</v>
      </c>
      <c r="L1303" s="7">
        <v>1000</v>
      </c>
      <c r="M1303" s="7">
        <v>1000</v>
      </c>
      <c r="N1303" s="7">
        <v>7278</v>
      </c>
      <c r="O1303" s="7">
        <v>13700</v>
      </c>
      <c r="P1303" s="7">
        <v>9470.34</v>
      </c>
      <c r="Q1303" s="7">
        <v>-584.12</v>
      </c>
      <c r="R1303" s="113">
        <f t="shared" si="150"/>
        <v>0.76553195436415922</v>
      </c>
      <c r="S1303" s="113">
        <f t="shared" si="151"/>
        <v>0.29727403156384508</v>
      </c>
      <c r="T1303" s="113">
        <f t="shared" si="152"/>
        <v>0.74402730375426618</v>
      </c>
      <c r="U1303" s="113">
        <f t="shared" si="153"/>
        <v>0.60227776322742355</v>
      </c>
    </row>
    <row r="1304" spans="1:21" x14ac:dyDescent="0.45">
      <c r="A1304" s="95">
        <v>45864</v>
      </c>
      <c r="B1304" s="96">
        <v>10781</v>
      </c>
      <c r="C1304" s="7">
        <v>8253.2000000000007</v>
      </c>
      <c r="D1304" s="7">
        <v>2527.8000000000002</v>
      </c>
      <c r="E1304" s="97">
        <v>3485</v>
      </c>
      <c r="F1304" s="7">
        <v>1036</v>
      </c>
      <c r="G1304" s="7">
        <v>2449</v>
      </c>
      <c r="H1304" s="98">
        <v>5860</v>
      </c>
      <c r="I1304" s="7">
        <v>4360</v>
      </c>
      <c r="J1304" s="7">
        <v>1500</v>
      </c>
      <c r="K1304" s="99">
        <f t="shared" si="157"/>
        <v>20126</v>
      </c>
      <c r="L1304" s="7">
        <v>1000</v>
      </c>
      <c r="M1304" s="7">
        <v>1000</v>
      </c>
      <c r="N1304" s="7">
        <v>7278</v>
      </c>
      <c r="O1304" s="7">
        <v>13700</v>
      </c>
      <c r="P1304" s="7">
        <v>9470.34</v>
      </c>
      <c r="Q1304" s="7">
        <v>-584.12</v>
      </c>
      <c r="R1304" s="113">
        <f t="shared" si="150"/>
        <v>0.76553195436415922</v>
      </c>
      <c r="S1304" s="113">
        <f t="shared" si="151"/>
        <v>0.29727403156384508</v>
      </c>
      <c r="T1304" s="113">
        <f t="shared" si="152"/>
        <v>0.74402730375426618</v>
      </c>
      <c r="U1304" s="113">
        <f t="shared" si="153"/>
        <v>0.60227776322742355</v>
      </c>
    </row>
    <row r="1305" spans="1:21" x14ac:dyDescent="0.45">
      <c r="A1305" s="95">
        <v>45865</v>
      </c>
      <c r="B1305" s="96">
        <v>10781</v>
      </c>
      <c r="C1305" s="7">
        <v>8253.2000000000007</v>
      </c>
      <c r="D1305" s="7">
        <v>2527.8000000000002</v>
      </c>
      <c r="E1305" s="97">
        <v>3485</v>
      </c>
      <c r="F1305" s="7">
        <v>1036</v>
      </c>
      <c r="G1305" s="7">
        <v>2449</v>
      </c>
      <c r="H1305" s="98">
        <v>5860</v>
      </c>
      <c r="I1305" s="7">
        <v>4360</v>
      </c>
      <c r="J1305" s="7">
        <v>1500</v>
      </c>
      <c r="K1305" s="99">
        <f t="shared" si="157"/>
        <v>20126</v>
      </c>
      <c r="L1305" s="7">
        <v>1000</v>
      </c>
      <c r="M1305" s="7">
        <v>1000</v>
      </c>
      <c r="N1305" s="7">
        <v>7278</v>
      </c>
      <c r="O1305" s="7">
        <v>13700</v>
      </c>
      <c r="P1305" s="7">
        <v>9470.34</v>
      </c>
      <c r="Q1305" s="7">
        <v>-584.12</v>
      </c>
      <c r="R1305" s="113">
        <f t="shared" si="150"/>
        <v>0.76553195436415922</v>
      </c>
      <c r="S1305" s="113">
        <f t="shared" si="151"/>
        <v>0.29727403156384508</v>
      </c>
      <c r="T1305" s="113">
        <f t="shared" si="152"/>
        <v>0.74402730375426618</v>
      </c>
      <c r="U1305" s="113">
        <f t="shared" si="153"/>
        <v>0.60227776322742355</v>
      </c>
    </row>
    <row r="1306" spans="1:21" x14ac:dyDescent="0.45">
      <c r="A1306" s="95">
        <v>45866</v>
      </c>
      <c r="B1306" s="96">
        <v>10781</v>
      </c>
      <c r="C1306" s="7">
        <v>8253.2000000000007</v>
      </c>
      <c r="D1306" s="7">
        <v>2527.8000000000002</v>
      </c>
      <c r="E1306" s="97">
        <v>3485</v>
      </c>
      <c r="F1306" s="7">
        <v>1036</v>
      </c>
      <c r="G1306" s="7">
        <v>2449</v>
      </c>
      <c r="H1306" s="98">
        <v>5860</v>
      </c>
      <c r="I1306" s="7">
        <v>4360</v>
      </c>
      <c r="J1306" s="7">
        <v>1500</v>
      </c>
      <c r="K1306" s="99">
        <f t="shared" ref="K1306:K1315" si="158">B1306+E1306+H1306</f>
        <v>20126</v>
      </c>
      <c r="L1306" s="7">
        <v>1000</v>
      </c>
      <c r="M1306" s="7">
        <v>1000</v>
      </c>
      <c r="N1306" s="103">
        <v>7220</v>
      </c>
      <c r="O1306" s="7">
        <v>13000</v>
      </c>
      <c r="P1306" s="7">
        <v>9470.34</v>
      </c>
      <c r="Q1306" s="7">
        <v>123.57812468780725</v>
      </c>
      <c r="R1306" s="113">
        <f t="shared" si="150"/>
        <v>0.76553195436415922</v>
      </c>
      <c r="S1306" s="113">
        <f t="shared" si="151"/>
        <v>0.29727403156384508</v>
      </c>
      <c r="T1306" s="113">
        <f t="shared" si="152"/>
        <v>0.74402730375426618</v>
      </c>
      <c r="U1306" s="113">
        <f t="shared" si="153"/>
        <v>0.60227776322742355</v>
      </c>
    </row>
    <row r="1307" spans="1:21" x14ac:dyDescent="0.45">
      <c r="A1307" s="95">
        <v>45867</v>
      </c>
      <c r="B1307" s="96">
        <v>10781</v>
      </c>
      <c r="C1307" s="7">
        <v>8253.2000000000007</v>
      </c>
      <c r="D1307" s="7">
        <v>2527.8000000000002</v>
      </c>
      <c r="E1307" s="97">
        <v>3485</v>
      </c>
      <c r="F1307" s="7">
        <v>1036</v>
      </c>
      <c r="G1307" s="7">
        <v>2449</v>
      </c>
      <c r="H1307" s="98">
        <v>5860</v>
      </c>
      <c r="I1307" s="7">
        <v>4360</v>
      </c>
      <c r="J1307" s="7">
        <v>1500</v>
      </c>
      <c r="K1307" s="99">
        <f t="shared" si="158"/>
        <v>20126</v>
      </c>
      <c r="L1307" s="7">
        <v>1000</v>
      </c>
      <c r="M1307" s="7">
        <v>1000</v>
      </c>
      <c r="N1307" s="103">
        <v>7340</v>
      </c>
      <c r="O1307" s="7">
        <v>13100</v>
      </c>
      <c r="P1307" s="7">
        <v>9470.34</v>
      </c>
      <c r="Q1307" s="7">
        <v>215.83812468780735</v>
      </c>
      <c r="R1307" s="113">
        <f t="shared" si="150"/>
        <v>0.76553195436415922</v>
      </c>
      <c r="S1307" s="113">
        <f t="shared" si="151"/>
        <v>0.29727403156384508</v>
      </c>
      <c r="T1307" s="113">
        <f t="shared" si="152"/>
        <v>0.74402730375426618</v>
      </c>
      <c r="U1307" s="113">
        <f t="shared" si="153"/>
        <v>0.60227776322742355</v>
      </c>
    </row>
    <row r="1308" spans="1:21" x14ac:dyDescent="0.45">
      <c r="A1308" s="95">
        <v>45868</v>
      </c>
      <c r="B1308" s="96">
        <v>10781</v>
      </c>
      <c r="C1308" s="7">
        <v>8253.2000000000007</v>
      </c>
      <c r="D1308" s="7">
        <v>2527.8000000000002</v>
      </c>
      <c r="E1308" s="97">
        <v>3485</v>
      </c>
      <c r="F1308" s="7">
        <v>1036</v>
      </c>
      <c r="G1308" s="7">
        <v>2449</v>
      </c>
      <c r="H1308" s="98">
        <v>5860</v>
      </c>
      <c r="I1308" s="7">
        <v>4360</v>
      </c>
      <c r="J1308" s="7">
        <v>1500</v>
      </c>
      <c r="K1308" s="99">
        <f t="shared" si="158"/>
        <v>20126</v>
      </c>
      <c r="L1308" s="7">
        <v>1000</v>
      </c>
      <c r="M1308" s="7">
        <v>1000</v>
      </c>
      <c r="N1308" s="7">
        <v>7395</v>
      </c>
      <c r="O1308" s="7">
        <v>13000</v>
      </c>
      <c r="P1308" s="7">
        <v>9470.34</v>
      </c>
      <c r="Q1308" s="7">
        <v>504.44812468780765</v>
      </c>
      <c r="R1308" s="113">
        <f t="shared" si="150"/>
        <v>0.76553195436415922</v>
      </c>
      <c r="S1308" s="113">
        <f t="shared" si="151"/>
        <v>0.29727403156384508</v>
      </c>
      <c r="T1308" s="113">
        <f t="shared" si="152"/>
        <v>0.74402730375426618</v>
      </c>
      <c r="U1308" s="113">
        <f t="shared" si="153"/>
        <v>0.60227776322742355</v>
      </c>
    </row>
    <row r="1309" spans="1:21" x14ac:dyDescent="0.45">
      <c r="A1309" s="95">
        <v>45869</v>
      </c>
      <c r="B1309" s="96">
        <v>10781</v>
      </c>
      <c r="C1309" s="7">
        <v>8093.2</v>
      </c>
      <c r="D1309" s="7">
        <v>2687.8</v>
      </c>
      <c r="E1309" s="97">
        <v>3485</v>
      </c>
      <c r="F1309" s="7">
        <v>1036</v>
      </c>
      <c r="G1309" s="7">
        <v>2449</v>
      </c>
      <c r="H1309" s="98">
        <v>5860</v>
      </c>
      <c r="I1309" s="7">
        <v>4360</v>
      </c>
      <c r="J1309" s="7">
        <v>1500</v>
      </c>
      <c r="K1309" s="99">
        <f t="shared" si="158"/>
        <v>20126</v>
      </c>
      <c r="L1309" s="7">
        <v>1620</v>
      </c>
      <c r="M1309" s="7">
        <v>3380</v>
      </c>
      <c r="N1309" s="7">
        <v>5700</v>
      </c>
      <c r="O1309" s="7">
        <v>13300</v>
      </c>
      <c r="P1309" s="7">
        <v>9470.34</v>
      </c>
      <c r="Q1309" s="7">
        <v>-991.15527026219297</v>
      </c>
      <c r="R1309" s="113">
        <f t="shared" si="150"/>
        <v>0.75069103051664965</v>
      </c>
      <c r="S1309" s="113">
        <f t="shared" si="151"/>
        <v>0.29727403156384508</v>
      </c>
      <c r="T1309" s="113">
        <f t="shared" si="152"/>
        <v>0.74402730375426618</v>
      </c>
      <c r="U1309" s="113">
        <f t="shared" si="153"/>
        <v>0.59733078861158695</v>
      </c>
    </row>
    <row r="1310" spans="1:21" x14ac:dyDescent="0.45">
      <c r="A1310" s="95">
        <v>45870</v>
      </c>
      <c r="B1310" s="96">
        <v>10781</v>
      </c>
      <c r="C1310" s="7">
        <v>8093.2</v>
      </c>
      <c r="D1310" s="7">
        <v>2687.8</v>
      </c>
      <c r="E1310" s="97">
        <v>3485</v>
      </c>
      <c r="F1310" s="7">
        <v>1036</v>
      </c>
      <c r="G1310" s="7">
        <v>2449</v>
      </c>
      <c r="H1310" s="98">
        <v>5860</v>
      </c>
      <c r="I1310" s="7">
        <v>4360</v>
      </c>
      <c r="J1310" s="7">
        <v>1500</v>
      </c>
      <c r="K1310" s="99">
        <f t="shared" si="158"/>
        <v>20126</v>
      </c>
      <c r="L1310" s="7">
        <v>1620</v>
      </c>
      <c r="M1310" s="7">
        <v>3380</v>
      </c>
      <c r="N1310" s="7">
        <v>5805</v>
      </c>
      <c r="O1310" s="7">
        <v>10770</v>
      </c>
      <c r="P1310" s="7">
        <v>9470.34</v>
      </c>
      <c r="Q1310" s="7">
        <v>778.30248978780742</v>
      </c>
      <c r="R1310" s="113">
        <f t="shared" si="150"/>
        <v>0.75069103051664965</v>
      </c>
      <c r="S1310" s="113">
        <f t="shared" si="151"/>
        <v>0.29727403156384508</v>
      </c>
      <c r="T1310" s="113">
        <f t="shared" si="152"/>
        <v>0.74402730375426618</v>
      </c>
      <c r="U1310" s="113">
        <f t="shared" si="153"/>
        <v>0.59733078861158695</v>
      </c>
    </row>
    <row r="1311" spans="1:21" x14ac:dyDescent="0.45">
      <c r="A1311" s="95">
        <v>45871</v>
      </c>
      <c r="B1311" s="96">
        <v>10781</v>
      </c>
      <c r="C1311" s="7">
        <v>8093.2</v>
      </c>
      <c r="D1311" s="7">
        <v>2687.8</v>
      </c>
      <c r="E1311" s="97">
        <v>3485</v>
      </c>
      <c r="F1311" s="7">
        <v>1036</v>
      </c>
      <c r="G1311" s="7">
        <v>2449</v>
      </c>
      <c r="H1311" s="98">
        <v>5860</v>
      </c>
      <c r="I1311" s="7">
        <v>4360</v>
      </c>
      <c r="J1311" s="7">
        <v>1500</v>
      </c>
      <c r="K1311" s="99">
        <f t="shared" si="158"/>
        <v>20126</v>
      </c>
      <c r="L1311" s="7">
        <v>1620</v>
      </c>
      <c r="M1311" s="7">
        <v>3380</v>
      </c>
      <c r="N1311" s="7">
        <v>5805</v>
      </c>
      <c r="O1311" s="7">
        <v>10770</v>
      </c>
      <c r="P1311" s="7">
        <v>9470.34</v>
      </c>
      <c r="Q1311" s="7">
        <v>778.30248978780742</v>
      </c>
      <c r="R1311" s="113">
        <f t="shared" si="150"/>
        <v>0.75069103051664965</v>
      </c>
      <c r="S1311" s="113">
        <f t="shared" si="151"/>
        <v>0.29727403156384508</v>
      </c>
      <c r="T1311" s="113">
        <f t="shared" si="152"/>
        <v>0.74402730375426618</v>
      </c>
      <c r="U1311" s="113">
        <f t="shared" si="153"/>
        <v>0.59733078861158695</v>
      </c>
    </row>
    <row r="1312" spans="1:21" x14ac:dyDescent="0.45">
      <c r="A1312" s="95">
        <v>45872</v>
      </c>
      <c r="B1312" s="96">
        <v>10781</v>
      </c>
      <c r="C1312" s="7">
        <v>8093.2</v>
      </c>
      <c r="D1312" s="7">
        <v>2687.8</v>
      </c>
      <c r="E1312" s="97">
        <v>3485</v>
      </c>
      <c r="F1312" s="7">
        <v>1036</v>
      </c>
      <c r="G1312" s="7">
        <v>2449</v>
      </c>
      <c r="H1312" s="98">
        <v>5860</v>
      </c>
      <c r="I1312" s="7">
        <v>4360</v>
      </c>
      <c r="J1312" s="7">
        <v>1500</v>
      </c>
      <c r="K1312" s="99">
        <f t="shared" si="158"/>
        <v>20126</v>
      </c>
      <c r="L1312" s="7">
        <v>1620</v>
      </c>
      <c r="M1312" s="7">
        <v>3380</v>
      </c>
      <c r="N1312" s="7">
        <v>5805</v>
      </c>
      <c r="O1312" s="7">
        <v>10770</v>
      </c>
      <c r="P1312" s="7">
        <v>9470.34</v>
      </c>
      <c r="Q1312" s="7">
        <v>778.30248978780742</v>
      </c>
      <c r="R1312" s="113">
        <f t="shared" si="150"/>
        <v>0.75069103051664965</v>
      </c>
      <c r="S1312" s="113">
        <f t="shared" si="151"/>
        <v>0.29727403156384508</v>
      </c>
      <c r="T1312" s="113">
        <f t="shared" si="152"/>
        <v>0.74402730375426618</v>
      </c>
      <c r="U1312" s="113">
        <f t="shared" si="153"/>
        <v>0.59733078861158695</v>
      </c>
    </row>
    <row r="1313" spans="1:21" x14ac:dyDescent="0.45">
      <c r="A1313" s="95">
        <v>45873</v>
      </c>
      <c r="B1313" s="96">
        <v>10781</v>
      </c>
      <c r="C1313" s="7">
        <v>8093.2</v>
      </c>
      <c r="D1313" s="7">
        <v>2687.8</v>
      </c>
      <c r="E1313" s="97">
        <v>3485</v>
      </c>
      <c r="F1313" s="7">
        <v>1036</v>
      </c>
      <c r="G1313" s="7">
        <v>2449</v>
      </c>
      <c r="H1313" s="98">
        <v>5860</v>
      </c>
      <c r="I1313" s="7">
        <v>4360</v>
      </c>
      <c r="J1313" s="7">
        <v>1500</v>
      </c>
      <c r="K1313" s="99">
        <f t="shared" si="158"/>
        <v>20126</v>
      </c>
      <c r="L1313" s="7">
        <v>1620</v>
      </c>
      <c r="M1313" s="7">
        <v>3380</v>
      </c>
      <c r="N1313" s="7">
        <v>5600</v>
      </c>
      <c r="O1313" s="103">
        <v>11210</v>
      </c>
      <c r="P1313" s="7">
        <v>9571.8950851390382</v>
      </c>
      <c r="Q1313" s="7">
        <v>400.51491486096205</v>
      </c>
      <c r="R1313" s="113">
        <f t="shared" si="150"/>
        <v>0.75069103051664965</v>
      </c>
      <c r="S1313" s="113">
        <f t="shared" si="151"/>
        <v>0.29727403156384508</v>
      </c>
      <c r="T1313" s="113">
        <f t="shared" si="152"/>
        <v>0.74402730375426618</v>
      </c>
      <c r="U1313" s="113">
        <f t="shared" si="153"/>
        <v>0.59733078861158695</v>
      </c>
    </row>
    <row r="1314" spans="1:21" x14ac:dyDescent="0.45">
      <c r="A1314" s="95">
        <v>45874</v>
      </c>
      <c r="B1314" s="96">
        <v>10781</v>
      </c>
      <c r="C1314" s="7">
        <v>8093.2</v>
      </c>
      <c r="D1314" s="7">
        <v>2687.8</v>
      </c>
      <c r="E1314" s="97">
        <v>3485</v>
      </c>
      <c r="F1314" s="7">
        <v>1036</v>
      </c>
      <c r="G1314" s="7">
        <v>2449</v>
      </c>
      <c r="H1314" s="98">
        <v>5860</v>
      </c>
      <c r="I1314" s="7">
        <v>4360</v>
      </c>
      <c r="J1314" s="7">
        <v>1500</v>
      </c>
      <c r="K1314" s="99">
        <f t="shared" si="158"/>
        <v>20126</v>
      </c>
      <c r="L1314" s="7">
        <v>1620</v>
      </c>
      <c r="M1314" s="7">
        <v>3380</v>
      </c>
      <c r="N1314" s="7">
        <v>5600</v>
      </c>
      <c r="O1314" s="7">
        <v>10770</v>
      </c>
      <c r="P1314" s="7">
        <v>9572</v>
      </c>
      <c r="Q1314" s="7">
        <v>401</v>
      </c>
      <c r="R1314" s="113">
        <f t="shared" si="150"/>
        <v>0.75069103051664965</v>
      </c>
      <c r="S1314" s="113">
        <f t="shared" si="151"/>
        <v>0.29727403156384508</v>
      </c>
      <c r="T1314" s="113">
        <f t="shared" si="152"/>
        <v>0.74402730375426618</v>
      </c>
      <c r="U1314" s="113">
        <f t="shared" si="153"/>
        <v>0.59733078861158695</v>
      </c>
    </row>
    <row r="1315" spans="1:21" x14ac:dyDescent="0.45">
      <c r="A1315" s="95">
        <v>45875</v>
      </c>
      <c r="B1315" s="96">
        <v>10781</v>
      </c>
      <c r="C1315" s="7">
        <v>8093.2</v>
      </c>
      <c r="D1315" s="7">
        <v>2687.8</v>
      </c>
      <c r="E1315" s="97">
        <v>3485</v>
      </c>
      <c r="F1315" s="7">
        <v>1036</v>
      </c>
      <c r="G1315" s="7">
        <v>2449</v>
      </c>
      <c r="H1315" s="98">
        <v>5860</v>
      </c>
      <c r="I1315" s="7">
        <v>4360</v>
      </c>
      <c r="J1315" s="7">
        <v>1500</v>
      </c>
      <c r="K1315" s="99">
        <f t="shared" si="158"/>
        <v>20126</v>
      </c>
      <c r="L1315" s="7">
        <v>1620</v>
      </c>
      <c r="M1315" s="7">
        <v>3380</v>
      </c>
      <c r="N1315" s="7">
        <v>6060</v>
      </c>
      <c r="O1315" s="7">
        <v>11310</v>
      </c>
      <c r="P1315" s="7">
        <v>9572</v>
      </c>
      <c r="Q1315" s="7">
        <v>-61</v>
      </c>
      <c r="R1315" s="113">
        <f t="shared" si="150"/>
        <v>0.75069103051664965</v>
      </c>
      <c r="S1315" s="113">
        <f t="shared" si="151"/>
        <v>0.29727403156384508</v>
      </c>
      <c r="T1315" s="113">
        <f t="shared" si="152"/>
        <v>0.74402730375426618</v>
      </c>
      <c r="U1315" s="113">
        <f t="shared" si="153"/>
        <v>0.59733078861158695</v>
      </c>
    </row>
    <row r="1316" spans="1:21" x14ac:dyDescent="0.45">
      <c r="A1316" s="95">
        <v>45876</v>
      </c>
      <c r="B1316" s="96">
        <v>10781</v>
      </c>
      <c r="C1316" s="7">
        <v>8093.2</v>
      </c>
      <c r="D1316" s="7">
        <v>2687.8</v>
      </c>
      <c r="E1316" s="97">
        <v>3485</v>
      </c>
      <c r="F1316" s="7">
        <v>1036</v>
      </c>
      <c r="G1316" s="7">
        <v>2449</v>
      </c>
      <c r="H1316" s="98">
        <v>5860</v>
      </c>
      <c r="I1316" s="7">
        <v>4360</v>
      </c>
      <c r="J1316" s="7">
        <v>1500</v>
      </c>
      <c r="K1316" s="99">
        <f t="shared" ref="K1316:K1317" si="159">B1316+E1316+H1316</f>
        <v>20126</v>
      </c>
      <c r="L1316" s="7">
        <v>1900</v>
      </c>
      <c r="M1316" s="7">
        <v>6100</v>
      </c>
      <c r="N1316" s="7">
        <v>5800</v>
      </c>
      <c r="O1316" s="7">
        <v>6030</v>
      </c>
      <c r="P1316" s="7">
        <v>9572</v>
      </c>
      <c r="Q1316" s="7">
        <v>-353</v>
      </c>
      <c r="R1316" s="113">
        <f t="shared" si="150"/>
        <v>0.75069103051664965</v>
      </c>
      <c r="S1316" s="113">
        <f t="shared" si="151"/>
        <v>0.29727403156384508</v>
      </c>
      <c r="T1316" s="113">
        <f t="shared" si="152"/>
        <v>0.74402730375426618</v>
      </c>
      <c r="U1316" s="113">
        <f t="shared" si="153"/>
        <v>0.59733078861158695</v>
      </c>
    </row>
    <row r="1317" spans="1:21" x14ac:dyDescent="0.45">
      <c r="A1317" s="95">
        <v>45877</v>
      </c>
      <c r="B1317" s="96">
        <v>10781</v>
      </c>
      <c r="C1317" s="7">
        <v>8093.2</v>
      </c>
      <c r="D1317" s="7">
        <v>2687.8</v>
      </c>
      <c r="E1317" s="97">
        <v>3485</v>
      </c>
      <c r="F1317" s="7">
        <v>1036</v>
      </c>
      <c r="G1317" s="7">
        <v>2449</v>
      </c>
      <c r="H1317" s="98">
        <v>5860</v>
      </c>
      <c r="I1317" s="7">
        <v>4360</v>
      </c>
      <c r="J1317" s="7">
        <v>1500</v>
      </c>
      <c r="K1317" s="99">
        <f t="shared" si="159"/>
        <v>20126</v>
      </c>
      <c r="L1317" s="7">
        <v>1900</v>
      </c>
      <c r="M1317" s="7">
        <v>6100</v>
      </c>
      <c r="N1317" s="7">
        <v>4220</v>
      </c>
      <c r="O1317" s="7">
        <v>8300</v>
      </c>
      <c r="P1317" s="7">
        <v>9572</v>
      </c>
      <c r="Q1317" s="7">
        <v>2230</v>
      </c>
      <c r="R1317" s="113">
        <f t="shared" si="150"/>
        <v>0.75069103051664965</v>
      </c>
      <c r="S1317" s="113">
        <f t="shared" si="151"/>
        <v>0.29727403156384508</v>
      </c>
      <c r="T1317" s="113">
        <f t="shared" si="152"/>
        <v>0.74402730375426618</v>
      </c>
      <c r="U1317" s="113">
        <f t="shared" si="153"/>
        <v>0.59733078861158695</v>
      </c>
    </row>
    <row r="1318" spans="1:21" x14ac:dyDescent="0.45">
      <c r="A1318" s="95">
        <v>45878</v>
      </c>
      <c r="B1318" s="96">
        <v>10781</v>
      </c>
      <c r="C1318" s="7">
        <v>8093.2</v>
      </c>
      <c r="D1318" s="7">
        <v>2687.8</v>
      </c>
      <c r="E1318" s="97">
        <v>3485</v>
      </c>
      <c r="F1318" s="7">
        <v>1036</v>
      </c>
      <c r="G1318" s="7">
        <v>2449</v>
      </c>
      <c r="H1318" s="98">
        <v>5860</v>
      </c>
      <c r="I1318" s="7">
        <v>4360</v>
      </c>
      <c r="J1318" s="7">
        <v>1500</v>
      </c>
      <c r="K1318" s="99">
        <f t="shared" ref="K1318:K1319" si="160">B1318+E1318+H1318</f>
        <v>20126</v>
      </c>
      <c r="L1318" s="7">
        <v>1900</v>
      </c>
      <c r="M1318" s="7">
        <v>6100</v>
      </c>
      <c r="N1318" s="7">
        <v>4220</v>
      </c>
      <c r="O1318" s="7">
        <v>8300</v>
      </c>
      <c r="P1318" s="7">
        <v>9572</v>
      </c>
      <c r="Q1318" s="7">
        <v>2230</v>
      </c>
      <c r="R1318" s="113">
        <f t="shared" si="150"/>
        <v>0.75069103051664965</v>
      </c>
      <c r="S1318" s="113">
        <f t="shared" si="151"/>
        <v>0.29727403156384508</v>
      </c>
      <c r="T1318" s="113">
        <f t="shared" si="152"/>
        <v>0.74402730375426618</v>
      </c>
      <c r="U1318" s="113">
        <f t="shared" si="153"/>
        <v>0.59733078861158695</v>
      </c>
    </row>
    <row r="1319" spans="1:21" x14ac:dyDescent="0.45">
      <c r="A1319" s="95">
        <v>45879</v>
      </c>
      <c r="B1319" s="96">
        <v>10781</v>
      </c>
      <c r="C1319" s="7">
        <v>8093.2</v>
      </c>
      <c r="D1319" s="7">
        <v>2687.8</v>
      </c>
      <c r="E1319" s="97">
        <v>3485</v>
      </c>
      <c r="F1319" s="7">
        <v>1036</v>
      </c>
      <c r="G1319" s="7">
        <v>2449</v>
      </c>
      <c r="H1319" s="98">
        <v>5860</v>
      </c>
      <c r="I1319" s="7">
        <v>4360</v>
      </c>
      <c r="J1319" s="7">
        <v>1500</v>
      </c>
      <c r="K1319" s="99">
        <f t="shared" si="160"/>
        <v>20126</v>
      </c>
      <c r="L1319" s="7">
        <v>1900</v>
      </c>
      <c r="M1319" s="7">
        <v>6100</v>
      </c>
      <c r="N1319" s="7">
        <v>4220</v>
      </c>
      <c r="O1319" s="7">
        <v>8300</v>
      </c>
      <c r="P1319" s="7">
        <v>9572</v>
      </c>
      <c r="Q1319" s="7">
        <v>2230</v>
      </c>
      <c r="R1319" s="113">
        <f t="shared" si="150"/>
        <v>0.75069103051664965</v>
      </c>
      <c r="S1319" s="113">
        <f t="shared" si="151"/>
        <v>0.29727403156384508</v>
      </c>
      <c r="T1319" s="113">
        <f t="shared" si="152"/>
        <v>0.74402730375426618</v>
      </c>
      <c r="U1319" s="113">
        <f t="shared" si="153"/>
        <v>0.59733078861158695</v>
      </c>
    </row>
    <row r="1320" spans="1:21" x14ac:dyDescent="0.45">
      <c r="A1320" s="95">
        <v>45880</v>
      </c>
      <c r="B1320" s="96">
        <v>10781</v>
      </c>
      <c r="C1320" s="7">
        <v>8093.2</v>
      </c>
      <c r="D1320" s="7">
        <v>2687.8</v>
      </c>
      <c r="E1320" s="97">
        <v>3485</v>
      </c>
      <c r="F1320" s="7">
        <v>1036</v>
      </c>
      <c r="G1320" s="7">
        <v>2449</v>
      </c>
      <c r="H1320" s="98">
        <v>5860</v>
      </c>
      <c r="I1320" s="7">
        <v>4360</v>
      </c>
      <c r="J1320" s="7">
        <v>1500</v>
      </c>
      <c r="K1320" s="99">
        <f t="shared" ref="K1320:K1337" si="161">B1320+E1320+H1320</f>
        <v>20126</v>
      </c>
      <c r="L1320" s="7">
        <v>1900</v>
      </c>
      <c r="M1320" s="7">
        <v>6100</v>
      </c>
      <c r="N1320" s="7">
        <v>5260</v>
      </c>
      <c r="O1320" s="7">
        <v>9200</v>
      </c>
      <c r="P1320" s="7">
        <v>9572</v>
      </c>
      <c r="Q1320" s="7">
        <v>110.9</v>
      </c>
      <c r="R1320" s="113">
        <f t="shared" si="150"/>
        <v>0.75069103051664965</v>
      </c>
      <c r="S1320" s="113">
        <f t="shared" si="151"/>
        <v>0.29727403156384508</v>
      </c>
      <c r="T1320" s="113">
        <f t="shared" si="152"/>
        <v>0.74402730375426618</v>
      </c>
      <c r="U1320" s="113">
        <f t="shared" si="153"/>
        <v>0.59733078861158695</v>
      </c>
    </row>
    <row r="1321" spans="1:21" x14ac:dyDescent="0.45">
      <c r="A1321" s="95">
        <v>45881</v>
      </c>
      <c r="B1321" s="96">
        <v>10781</v>
      </c>
      <c r="C1321" s="7">
        <v>8093.2</v>
      </c>
      <c r="D1321" s="7">
        <v>2687.8</v>
      </c>
      <c r="E1321" s="97">
        <v>3485</v>
      </c>
      <c r="F1321" s="7">
        <v>1036</v>
      </c>
      <c r="G1321" s="7">
        <v>2449</v>
      </c>
      <c r="H1321" s="98">
        <v>5860</v>
      </c>
      <c r="I1321" s="7">
        <v>4360</v>
      </c>
      <c r="J1321" s="7">
        <v>1500</v>
      </c>
      <c r="K1321" s="99">
        <f t="shared" si="161"/>
        <v>20126</v>
      </c>
      <c r="L1321" s="7">
        <v>1900</v>
      </c>
      <c r="M1321" s="7">
        <v>6100</v>
      </c>
      <c r="N1321" s="7">
        <v>5190</v>
      </c>
      <c r="O1321" s="7">
        <v>9050</v>
      </c>
      <c r="P1321" s="7">
        <v>9572</v>
      </c>
      <c r="Q1321" s="7">
        <v>240.9</v>
      </c>
      <c r="R1321" s="113">
        <f>C1321/B1321</f>
        <v>0.75069103051664965</v>
      </c>
      <c r="S1321" s="113">
        <f t="shared" si="151"/>
        <v>0.29727403156384508</v>
      </c>
      <c r="T1321" s="113">
        <f t="shared" si="152"/>
        <v>0.74402730375426618</v>
      </c>
      <c r="U1321" s="113">
        <f t="shared" si="153"/>
        <v>0.59733078861158695</v>
      </c>
    </row>
    <row r="1322" spans="1:21" x14ac:dyDescent="0.45">
      <c r="A1322" s="95">
        <v>45882</v>
      </c>
      <c r="B1322" s="96">
        <v>10781</v>
      </c>
      <c r="C1322" s="7">
        <v>8093.2</v>
      </c>
      <c r="D1322" s="7">
        <v>2687.8</v>
      </c>
      <c r="E1322" s="97">
        <v>3485</v>
      </c>
      <c r="F1322" s="7">
        <v>1036</v>
      </c>
      <c r="G1322" s="7">
        <v>2449</v>
      </c>
      <c r="H1322" s="98">
        <v>5860</v>
      </c>
      <c r="I1322" s="7">
        <v>4360</v>
      </c>
      <c r="J1322" s="7">
        <v>1500</v>
      </c>
      <c r="K1322" s="99">
        <f t="shared" si="161"/>
        <v>20126</v>
      </c>
      <c r="L1322" s="7">
        <v>1900</v>
      </c>
      <c r="M1322" s="7">
        <v>6100</v>
      </c>
      <c r="N1322" s="7">
        <v>5475</v>
      </c>
      <c r="O1322" s="7">
        <v>9100</v>
      </c>
      <c r="P1322" s="7">
        <v>9572</v>
      </c>
      <c r="Q1322" s="7">
        <v>110.1</v>
      </c>
      <c r="R1322" s="113">
        <f t="shared" si="150"/>
        <v>0.75069103051664965</v>
      </c>
      <c r="S1322" s="113">
        <f t="shared" si="151"/>
        <v>0.29727403156384508</v>
      </c>
      <c r="T1322" s="113">
        <f t="shared" si="152"/>
        <v>0.74402730375426618</v>
      </c>
      <c r="U1322" s="113">
        <f t="shared" si="153"/>
        <v>0.59733078861158695</v>
      </c>
    </row>
    <row r="1323" spans="1:21" x14ac:dyDescent="0.45">
      <c r="A1323" s="95">
        <v>45883</v>
      </c>
      <c r="B1323" s="96">
        <v>10781</v>
      </c>
      <c r="C1323" s="7">
        <v>7868.2</v>
      </c>
      <c r="D1323" s="114">
        <v>2912.8</v>
      </c>
      <c r="E1323" s="97">
        <v>3485</v>
      </c>
      <c r="F1323" s="7">
        <v>1036</v>
      </c>
      <c r="G1323" s="7">
        <v>2449</v>
      </c>
      <c r="H1323" s="98">
        <v>5860</v>
      </c>
      <c r="I1323" s="7">
        <v>4360</v>
      </c>
      <c r="J1323" s="7">
        <v>1500</v>
      </c>
      <c r="K1323" s="99">
        <f t="shared" si="161"/>
        <v>20126</v>
      </c>
      <c r="L1323" s="7">
        <v>3600</v>
      </c>
      <c r="M1323" s="7">
        <v>6400</v>
      </c>
      <c r="N1323" s="7">
        <v>4901</v>
      </c>
      <c r="O1323" s="7">
        <v>8800</v>
      </c>
      <c r="P1323" s="7">
        <v>9572</v>
      </c>
      <c r="Q1323" s="7">
        <v>-646.1</v>
      </c>
      <c r="R1323" s="113">
        <f t="shared" si="150"/>
        <v>0.72982098135608942</v>
      </c>
      <c r="S1323" s="113">
        <f t="shared" si="151"/>
        <v>0.29727403156384508</v>
      </c>
      <c r="T1323" s="113">
        <f t="shared" si="152"/>
        <v>0.74402730375426618</v>
      </c>
      <c r="U1323" s="113">
        <f t="shared" si="153"/>
        <v>0.59037410555806691</v>
      </c>
    </row>
    <row r="1324" spans="1:21" x14ac:dyDescent="0.45">
      <c r="A1324" s="95">
        <v>45884</v>
      </c>
      <c r="B1324" s="96">
        <v>10781</v>
      </c>
      <c r="C1324" s="7">
        <v>7868.2</v>
      </c>
      <c r="D1324" s="114">
        <v>2912.8</v>
      </c>
      <c r="E1324" s="97">
        <v>3485</v>
      </c>
      <c r="F1324" s="7">
        <v>1036</v>
      </c>
      <c r="G1324" s="7">
        <v>2449</v>
      </c>
      <c r="H1324" s="98">
        <v>5860</v>
      </c>
      <c r="I1324" s="7">
        <v>4360</v>
      </c>
      <c r="J1324" s="7">
        <v>1500</v>
      </c>
      <c r="K1324" s="99">
        <f t="shared" si="161"/>
        <v>20126</v>
      </c>
      <c r="L1324" s="7">
        <v>3600</v>
      </c>
      <c r="M1324" s="7">
        <v>6400</v>
      </c>
      <c r="N1324" s="7">
        <v>4990</v>
      </c>
      <c r="O1324" s="7">
        <v>8850</v>
      </c>
      <c r="P1324" s="7">
        <v>9572</v>
      </c>
      <c r="Q1324" s="7">
        <v>-457.2</v>
      </c>
      <c r="R1324" s="113">
        <f t="shared" si="150"/>
        <v>0.72982098135608942</v>
      </c>
      <c r="S1324" s="113">
        <f t="shared" si="151"/>
        <v>0.29727403156384508</v>
      </c>
      <c r="T1324" s="113">
        <f t="shared" si="152"/>
        <v>0.74402730375426618</v>
      </c>
      <c r="U1324" s="113">
        <f t="shared" si="153"/>
        <v>0.59037410555806691</v>
      </c>
    </row>
    <row r="1325" spans="1:21" x14ac:dyDescent="0.45">
      <c r="A1325" s="95">
        <v>45885</v>
      </c>
      <c r="B1325" s="96">
        <v>10781</v>
      </c>
      <c r="C1325" s="7">
        <v>7868.2</v>
      </c>
      <c r="D1325" s="114">
        <v>2912.8</v>
      </c>
      <c r="E1325" s="97">
        <v>3485</v>
      </c>
      <c r="F1325" s="7">
        <v>1036</v>
      </c>
      <c r="G1325" s="7">
        <v>2449</v>
      </c>
      <c r="H1325" s="98">
        <v>5860</v>
      </c>
      <c r="I1325" s="7">
        <v>4360</v>
      </c>
      <c r="J1325" s="7">
        <v>1500</v>
      </c>
      <c r="K1325" s="99">
        <f t="shared" si="161"/>
        <v>20126</v>
      </c>
      <c r="L1325" s="7">
        <v>3600</v>
      </c>
      <c r="M1325" s="7">
        <v>6400</v>
      </c>
      <c r="N1325" s="7">
        <v>4990</v>
      </c>
      <c r="O1325" s="7">
        <v>8850</v>
      </c>
      <c r="P1325" s="7">
        <v>9572</v>
      </c>
      <c r="Q1325" s="7">
        <v>-457.2</v>
      </c>
      <c r="R1325" s="113">
        <f>C1325/B1325</f>
        <v>0.72982098135608942</v>
      </c>
      <c r="S1325" s="113">
        <f t="shared" si="151"/>
        <v>0.29727403156384508</v>
      </c>
      <c r="T1325" s="113">
        <f t="shared" si="152"/>
        <v>0.74402730375426618</v>
      </c>
      <c r="U1325" s="113">
        <f t="shared" si="153"/>
        <v>0.59037410555806691</v>
      </c>
    </row>
    <row r="1326" spans="1:21" x14ac:dyDescent="0.45">
      <c r="A1326" s="95">
        <v>45886</v>
      </c>
      <c r="B1326" s="96">
        <v>10781</v>
      </c>
      <c r="C1326" s="7">
        <v>7868.2</v>
      </c>
      <c r="D1326" s="114">
        <v>2912.8</v>
      </c>
      <c r="E1326" s="97">
        <v>3485</v>
      </c>
      <c r="F1326" s="7">
        <v>1036</v>
      </c>
      <c r="G1326" s="7">
        <v>2449</v>
      </c>
      <c r="H1326" s="98">
        <v>5860</v>
      </c>
      <c r="I1326" s="7">
        <v>4360</v>
      </c>
      <c r="J1326" s="7">
        <v>1500</v>
      </c>
      <c r="K1326" s="99">
        <f t="shared" si="161"/>
        <v>20126</v>
      </c>
      <c r="L1326" s="7">
        <v>3600</v>
      </c>
      <c r="M1326" s="7">
        <v>6400</v>
      </c>
      <c r="N1326" s="7">
        <v>4990</v>
      </c>
      <c r="O1326" s="7">
        <v>8850</v>
      </c>
      <c r="P1326" s="7">
        <v>9572</v>
      </c>
      <c r="Q1326" s="7">
        <v>-457.2</v>
      </c>
      <c r="R1326" s="113">
        <f t="shared" ref="R1326:R1337" si="162">C1326/B1326</f>
        <v>0.72982098135608942</v>
      </c>
      <c r="S1326" s="113">
        <f t="shared" ref="S1326:S1337" si="163">F1326/E1326</f>
        <v>0.29727403156384508</v>
      </c>
      <c r="T1326" s="113">
        <f t="shared" ref="T1326:T1336" si="164">IF(H1326=0,0,I1326/H1326)</f>
        <v>0.74402730375426618</v>
      </c>
      <c r="U1326" s="113">
        <f t="shared" si="153"/>
        <v>0.59037410555806691</v>
      </c>
    </row>
    <row r="1327" spans="1:21" x14ac:dyDescent="0.45">
      <c r="A1327" s="95">
        <v>45887</v>
      </c>
      <c r="B1327" s="96">
        <v>10781</v>
      </c>
      <c r="C1327" s="7">
        <v>7868.2</v>
      </c>
      <c r="D1327" s="114">
        <v>2912.8</v>
      </c>
      <c r="E1327" s="97">
        <v>3485</v>
      </c>
      <c r="F1327" s="7">
        <v>1036</v>
      </c>
      <c r="G1327" s="7">
        <v>2449</v>
      </c>
      <c r="H1327" s="98">
        <v>5860</v>
      </c>
      <c r="I1327" s="7">
        <v>4360</v>
      </c>
      <c r="J1327" s="7">
        <v>1500</v>
      </c>
      <c r="K1327" s="99">
        <f t="shared" si="161"/>
        <v>20126</v>
      </c>
      <c r="L1327" s="7">
        <v>3600</v>
      </c>
      <c r="M1327" s="7">
        <v>6400</v>
      </c>
      <c r="N1327" s="7">
        <v>5143</v>
      </c>
      <c r="O1327" s="7">
        <v>8250</v>
      </c>
      <c r="P1327" s="7">
        <v>9572</v>
      </c>
      <c r="Q1327" s="7">
        <v>-232.3</v>
      </c>
      <c r="R1327" s="113">
        <f t="shared" si="162"/>
        <v>0.72982098135608942</v>
      </c>
      <c r="S1327" s="113">
        <f t="shared" si="163"/>
        <v>0.29727403156384508</v>
      </c>
      <c r="T1327" s="113">
        <f t="shared" si="164"/>
        <v>0.74402730375426618</v>
      </c>
      <c r="U1327" s="113">
        <f t="shared" si="153"/>
        <v>0.59037410555806691</v>
      </c>
    </row>
    <row r="1328" spans="1:21" x14ac:dyDescent="0.45">
      <c r="A1328" s="95">
        <v>45888</v>
      </c>
      <c r="B1328" s="96">
        <v>10781</v>
      </c>
      <c r="C1328" s="7">
        <v>7868.2</v>
      </c>
      <c r="D1328" s="114">
        <v>2912.8</v>
      </c>
      <c r="E1328" s="97">
        <v>3485</v>
      </c>
      <c r="F1328" s="7">
        <v>1036</v>
      </c>
      <c r="G1328" s="7">
        <v>2449</v>
      </c>
      <c r="H1328" s="98">
        <v>5860</v>
      </c>
      <c r="I1328" s="7">
        <v>4360</v>
      </c>
      <c r="J1328" s="7">
        <v>1500</v>
      </c>
      <c r="K1328" s="99">
        <f t="shared" si="161"/>
        <v>20126</v>
      </c>
      <c r="L1328" s="7">
        <v>3600</v>
      </c>
      <c r="M1328" s="7">
        <v>6400</v>
      </c>
      <c r="N1328" s="7">
        <v>3220</v>
      </c>
      <c r="O1328" s="7">
        <v>8400</v>
      </c>
      <c r="P1328" s="7">
        <v>9572</v>
      </c>
      <c r="Q1328" s="7">
        <v>1322.1</v>
      </c>
      <c r="R1328" s="113">
        <f t="shared" si="162"/>
        <v>0.72982098135608942</v>
      </c>
      <c r="S1328" s="113">
        <f t="shared" si="163"/>
        <v>0.29727403156384508</v>
      </c>
      <c r="T1328" s="113">
        <f t="shared" si="164"/>
        <v>0.74402730375426618</v>
      </c>
      <c r="U1328" s="113">
        <f t="shared" si="153"/>
        <v>0.59037410555806691</v>
      </c>
    </row>
    <row r="1329" spans="1:21" x14ac:dyDescent="0.45">
      <c r="A1329" s="95">
        <v>45889</v>
      </c>
      <c r="B1329" s="96">
        <v>10781</v>
      </c>
      <c r="C1329" s="7">
        <v>7868.2</v>
      </c>
      <c r="D1329" s="114">
        <v>2912.8</v>
      </c>
      <c r="E1329" s="97">
        <v>3485</v>
      </c>
      <c r="F1329" s="7">
        <v>1036</v>
      </c>
      <c r="G1329" s="7">
        <v>2449</v>
      </c>
      <c r="H1329" s="98">
        <v>5860</v>
      </c>
      <c r="I1329" s="7">
        <v>4360</v>
      </c>
      <c r="J1329" s="7">
        <v>1500</v>
      </c>
      <c r="K1329" s="99">
        <f t="shared" si="161"/>
        <v>20126</v>
      </c>
      <c r="L1329" s="7">
        <v>3600</v>
      </c>
      <c r="M1329" s="7">
        <v>6400</v>
      </c>
      <c r="N1329" s="7">
        <v>4550</v>
      </c>
      <c r="O1329" s="7">
        <v>8250</v>
      </c>
      <c r="P1329" s="7">
        <v>9572</v>
      </c>
      <c r="Q1329" s="7">
        <v>54.1</v>
      </c>
      <c r="R1329" s="113">
        <f t="shared" si="162"/>
        <v>0.72982098135608942</v>
      </c>
      <c r="S1329" s="113">
        <f t="shared" si="163"/>
        <v>0.29727403156384508</v>
      </c>
      <c r="T1329" s="113">
        <f t="shared" si="164"/>
        <v>0.74402730375426618</v>
      </c>
      <c r="U1329" s="113">
        <f t="shared" si="153"/>
        <v>0.59037410555806691</v>
      </c>
    </row>
    <row r="1330" spans="1:21" x14ac:dyDescent="0.45">
      <c r="A1330" s="95">
        <v>45890</v>
      </c>
      <c r="B1330" s="96">
        <v>10781</v>
      </c>
      <c r="C1330" s="103">
        <v>7815.2</v>
      </c>
      <c r="D1330" s="114">
        <v>2965.8</v>
      </c>
      <c r="E1330" s="97">
        <v>3485</v>
      </c>
      <c r="F1330" s="7">
        <v>1036</v>
      </c>
      <c r="G1330" s="7">
        <v>2449</v>
      </c>
      <c r="H1330" s="98">
        <v>5860</v>
      </c>
      <c r="I1330" s="7">
        <v>4360</v>
      </c>
      <c r="J1330" s="7">
        <v>1500</v>
      </c>
      <c r="K1330" s="99">
        <f t="shared" si="161"/>
        <v>20126</v>
      </c>
      <c r="L1330" s="7">
        <v>5000</v>
      </c>
      <c r="M1330" s="7">
        <v>7000</v>
      </c>
      <c r="N1330" s="7">
        <v>3000</v>
      </c>
      <c r="O1330" s="7">
        <v>250</v>
      </c>
      <c r="P1330" s="7">
        <v>9572</v>
      </c>
      <c r="Q1330" s="7">
        <v>7839.6</v>
      </c>
      <c r="R1330" s="113">
        <f t="shared" si="162"/>
        <v>0.72490492533160189</v>
      </c>
      <c r="S1330" s="113">
        <f t="shared" si="163"/>
        <v>0.29727403156384508</v>
      </c>
      <c r="T1330" s="113">
        <f t="shared" si="164"/>
        <v>0.74402730375426618</v>
      </c>
      <c r="U1330" s="113">
        <f t="shared" si="153"/>
        <v>0.58873542021657099</v>
      </c>
    </row>
    <row r="1331" spans="1:21" x14ac:dyDescent="0.45">
      <c r="A1331" s="95">
        <v>45891</v>
      </c>
      <c r="B1331" s="96">
        <v>10781</v>
      </c>
      <c r="C1331" s="103">
        <v>7815.2</v>
      </c>
      <c r="D1331" s="114">
        <v>2965.8</v>
      </c>
      <c r="E1331" s="97">
        <v>3485</v>
      </c>
      <c r="F1331" s="7">
        <v>1036</v>
      </c>
      <c r="G1331" s="7">
        <v>2449</v>
      </c>
      <c r="H1331" s="98">
        <v>5860</v>
      </c>
      <c r="I1331" s="7">
        <v>4360</v>
      </c>
      <c r="J1331" s="7">
        <v>1500</v>
      </c>
      <c r="K1331" s="99">
        <f t="shared" si="161"/>
        <v>20126</v>
      </c>
      <c r="L1331" s="7">
        <v>5000</v>
      </c>
      <c r="M1331" s="7">
        <v>7000</v>
      </c>
      <c r="N1331" s="7">
        <v>3730</v>
      </c>
      <c r="O1331" s="7">
        <v>8600</v>
      </c>
      <c r="P1331" s="7">
        <v>9572</v>
      </c>
      <c r="Q1331" s="7">
        <v>-187</v>
      </c>
      <c r="R1331" s="113">
        <f t="shared" si="162"/>
        <v>0.72490492533160189</v>
      </c>
      <c r="S1331" s="113">
        <f t="shared" si="163"/>
        <v>0.29727403156384508</v>
      </c>
      <c r="T1331" s="113">
        <f t="shared" si="164"/>
        <v>0.74402730375426618</v>
      </c>
      <c r="U1331" s="113">
        <f t="shared" si="153"/>
        <v>0.58873542021657099</v>
      </c>
    </row>
    <row r="1332" spans="1:21" x14ac:dyDescent="0.45">
      <c r="A1332" s="95">
        <v>45892</v>
      </c>
      <c r="B1332" s="96">
        <v>10781</v>
      </c>
      <c r="C1332" s="103">
        <v>7815.2</v>
      </c>
      <c r="D1332" s="114">
        <v>2965.8</v>
      </c>
      <c r="E1332" s="97">
        <v>3485</v>
      </c>
      <c r="F1332" s="7">
        <v>1036</v>
      </c>
      <c r="G1332" s="7">
        <v>2449</v>
      </c>
      <c r="H1332" s="98">
        <v>5860</v>
      </c>
      <c r="I1332" s="7">
        <v>4360</v>
      </c>
      <c r="J1332" s="7">
        <v>1500</v>
      </c>
      <c r="K1332" s="99">
        <f t="shared" si="161"/>
        <v>20126</v>
      </c>
      <c r="L1332" s="7">
        <v>5000</v>
      </c>
      <c r="M1332" s="7">
        <v>7000</v>
      </c>
      <c r="N1332" s="7">
        <v>3730</v>
      </c>
      <c r="O1332" s="7">
        <v>8600</v>
      </c>
      <c r="P1332" s="7">
        <v>9572</v>
      </c>
      <c r="Q1332" s="7">
        <v>-187</v>
      </c>
      <c r="R1332" s="113">
        <f t="shared" si="162"/>
        <v>0.72490492533160189</v>
      </c>
      <c r="S1332" s="113">
        <f t="shared" si="163"/>
        <v>0.29727403156384508</v>
      </c>
      <c r="T1332" s="113">
        <f t="shared" si="164"/>
        <v>0.74402730375426618</v>
      </c>
      <c r="U1332" s="113">
        <f t="shared" si="153"/>
        <v>0.58873542021657099</v>
      </c>
    </row>
    <row r="1333" spans="1:21" x14ac:dyDescent="0.45">
      <c r="A1333" s="95">
        <v>45893</v>
      </c>
      <c r="B1333" s="96">
        <v>10781</v>
      </c>
      <c r="C1333" s="103">
        <v>7815.2</v>
      </c>
      <c r="D1333" s="114">
        <v>2965.8</v>
      </c>
      <c r="E1333" s="97">
        <v>3485</v>
      </c>
      <c r="F1333" s="7">
        <v>1036</v>
      </c>
      <c r="G1333" s="7">
        <v>2449</v>
      </c>
      <c r="H1333" s="98">
        <v>5860</v>
      </c>
      <c r="I1333" s="7">
        <v>4360</v>
      </c>
      <c r="J1333" s="7">
        <v>1500</v>
      </c>
      <c r="K1333" s="99">
        <f t="shared" si="161"/>
        <v>20126</v>
      </c>
      <c r="L1333" s="7">
        <v>5000</v>
      </c>
      <c r="M1333" s="7">
        <v>7000</v>
      </c>
      <c r="N1333" s="7">
        <v>3730</v>
      </c>
      <c r="O1333" s="7">
        <v>8600</v>
      </c>
      <c r="P1333" s="7">
        <v>9572</v>
      </c>
      <c r="Q1333" s="7">
        <v>-187</v>
      </c>
      <c r="R1333" s="113">
        <f t="shared" si="162"/>
        <v>0.72490492533160189</v>
      </c>
      <c r="S1333" s="113">
        <f t="shared" si="163"/>
        <v>0.29727403156384508</v>
      </c>
      <c r="T1333" s="113">
        <f t="shared" si="164"/>
        <v>0.74402730375426618</v>
      </c>
      <c r="U1333" s="113">
        <f t="shared" si="153"/>
        <v>0.58873542021657099</v>
      </c>
    </row>
    <row r="1334" spans="1:21" x14ac:dyDescent="0.45">
      <c r="A1334" s="95">
        <v>45894</v>
      </c>
      <c r="B1334" s="96">
        <v>10781</v>
      </c>
      <c r="C1334" s="103">
        <v>7815.2</v>
      </c>
      <c r="D1334" s="114">
        <v>2965.8</v>
      </c>
      <c r="E1334" s="97">
        <v>3485</v>
      </c>
      <c r="F1334" s="7">
        <v>1036</v>
      </c>
      <c r="G1334" s="7">
        <v>2449</v>
      </c>
      <c r="H1334" s="98">
        <v>5860</v>
      </c>
      <c r="I1334" s="7">
        <v>4360</v>
      </c>
      <c r="J1334" s="7">
        <v>1500</v>
      </c>
      <c r="K1334" s="99">
        <f t="shared" si="161"/>
        <v>20126</v>
      </c>
      <c r="L1334" s="7">
        <v>5000</v>
      </c>
      <c r="M1334" s="7">
        <v>7000</v>
      </c>
      <c r="N1334" s="7">
        <v>4554</v>
      </c>
      <c r="O1334" s="7">
        <v>8600</v>
      </c>
      <c r="P1334" s="7">
        <v>9572</v>
      </c>
      <c r="Q1334" s="7">
        <v>-908.6</v>
      </c>
      <c r="R1334" s="113">
        <f t="shared" si="162"/>
        <v>0.72490492533160189</v>
      </c>
      <c r="S1334" s="113">
        <f t="shared" si="163"/>
        <v>0.29727403156384508</v>
      </c>
      <c r="T1334" s="113">
        <f t="shared" si="164"/>
        <v>0.74402730375426618</v>
      </c>
      <c r="U1334" s="113">
        <f t="shared" si="153"/>
        <v>0.58873542021657099</v>
      </c>
    </row>
    <row r="1335" spans="1:21" x14ac:dyDescent="0.45">
      <c r="A1335" s="95">
        <v>45895</v>
      </c>
      <c r="B1335" s="96">
        <v>10781</v>
      </c>
      <c r="C1335" s="103">
        <v>7815.2</v>
      </c>
      <c r="D1335" s="114">
        <v>2965.8</v>
      </c>
      <c r="E1335" s="97">
        <v>3485</v>
      </c>
      <c r="F1335" s="7">
        <v>1036</v>
      </c>
      <c r="G1335" s="7">
        <v>2449</v>
      </c>
      <c r="H1335" s="98">
        <v>5860</v>
      </c>
      <c r="I1335" s="7">
        <v>4360</v>
      </c>
      <c r="J1335" s="7">
        <v>1500</v>
      </c>
      <c r="K1335" s="99">
        <f t="shared" si="161"/>
        <v>20126</v>
      </c>
      <c r="L1335" s="7">
        <v>5000</v>
      </c>
      <c r="M1335" s="7">
        <v>7000</v>
      </c>
      <c r="N1335" s="7">
        <v>4800</v>
      </c>
      <c r="O1335" s="7">
        <v>8650</v>
      </c>
      <c r="P1335" s="7">
        <v>9572</v>
      </c>
      <c r="Q1335" s="7">
        <v>230.1</v>
      </c>
      <c r="R1335" s="113">
        <f t="shared" si="162"/>
        <v>0.72490492533160189</v>
      </c>
      <c r="S1335" s="113">
        <f t="shared" si="163"/>
        <v>0.29727403156384508</v>
      </c>
      <c r="T1335" s="113">
        <f t="shared" si="164"/>
        <v>0.74402730375426618</v>
      </c>
      <c r="U1335" s="113">
        <f t="shared" si="153"/>
        <v>0.58873542021657099</v>
      </c>
    </row>
    <row r="1336" spans="1:21" x14ac:dyDescent="0.45">
      <c r="A1336" s="95">
        <v>45896</v>
      </c>
      <c r="B1336" s="96">
        <v>10881</v>
      </c>
      <c r="C1336" s="103">
        <v>7815.2</v>
      </c>
      <c r="D1336" s="114">
        <v>2965.8</v>
      </c>
      <c r="E1336" s="97">
        <v>3485</v>
      </c>
      <c r="F1336" s="7">
        <v>1036</v>
      </c>
      <c r="G1336" s="7">
        <v>2449</v>
      </c>
      <c r="H1336" s="98">
        <v>11875</v>
      </c>
      <c r="I1336" s="7">
        <v>10375</v>
      </c>
      <c r="J1336" s="7">
        <v>1500</v>
      </c>
      <c r="K1336" s="99">
        <f t="shared" si="161"/>
        <v>26241</v>
      </c>
      <c r="L1336" s="7">
        <v>5000</v>
      </c>
      <c r="M1336" s="7">
        <v>7000</v>
      </c>
      <c r="N1336" s="7">
        <v>6200</v>
      </c>
      <c r="O1336" s="7">
        <v>3600</v>
      </c>
      <c r="P1336" s="7">
        <v>9572</v>
      </c>
      <c r="Q1336" s="7">
        <v>-1881.3</v>
      </c>
      <c r="R1336" s="113">
        <f t="shared" si="162"/>
        <v>0.71824280856538925</v>
      </c>
      <c r="S1336" s="113">
        <f t="shared" si="163"/>
        <v>0.29727403156384508</v>
      </c>
      <c r="T1336" s="113">
        <f t="shared" si="164"/>
        <v>0.87368421052631584</v>
      </c>
      <c r="U1336" s="113">
        <f t="shared" si="153"/>
        <v>0.62973368355185</v>
      </c>
    </row>
    <row r="1337" spans="1:21" x14ac:dyDescent="0.45">
      <c r="A1337" s="95">
        <v>45897</v>
      </c>
      <c r="B1337" s="96">
        <v>10881</v>
      </c>
      <c r="C1337" s="103">
        <v>7915.2</v>
      </c>
      <c r="D1337" s="114">
        <v>2965.8</v>
      </c>
      <c r="E1337" s="97">
        <v>3485</v>
      </c>
      <c r="F1337" s="7">
        <v>1049</v>
      </c>
      <c r="G1337" s="7">
        <v>2436</v>
      </c>
      <c r="H1337" s="98">
        <v>11875</v>
      </c>
      <c r="I1337" s="7">
        <v>10375</v>
      </c>
      <c r="J1337" s="7">
        <v>1500</v>
      </c>
      <c r="K1337" s="99">
        <f t="shared" si="161"/>
        <v>26241</v>
      </c>
      <c r="L1337" s="7">
        <v>3000</v>
      </c>
      <c r="M1337" s="7">
        <v>7000</v>
      </c>
      <c r="N1337" s="7">
        <v>6200</v>
      </c>
      <c r="O1337" s="7">
        <v>4150</v>
      </c>
      <c r="P1337" s="7">
        <v>9572</v>
      </c>
      <c r="Q1337" s="7">
        <v>-791.17</v>
      </c>
      <c r="R1337" s="113">
        <f t="shared" si="162"/>
        <v>0.72743314033636608</v>
      </c>
      <c r="S1337" s="113">
        <f t="shared" si="163"/>
        <v>0.30100430416068868</v>
      </c>
      <c r="T1337" s="113">
        <f>IF(H1337=0,0,I1337/H1337)</f>
        <v>0.87368421052631584</v>
      </c>
      <c r="U1337" s="113">
        <f t="shared" si="153"/>
        <v>0.63404055167445683</v>
      </c>
    </row>
    <row r="1338" spans="1:21" x14ac:dyDescent="0.45">
      <c r="A1338" s="95">
        <v>45898</v>
      </c>
      <c r="B1338" s="96">
        <v>10881</v>
      </c>
      <c r="C1338" s="103">
        <v>7915.2</v>
      </c>
      <c r="D1338" s="114">
        <v>2965.8</v>
      </c>
      <c r="E1338" s="97">
        <v>3485</v>
      </c>
      <c r="F1338" s="7">
        <v>1049</v>
      </c>
      <c r="G1338" s="7">
        <v>2436</v>
      </c>
      <c r="H1338" s="98">
        <v>11875</v>
      </c>
      <c r="I1338" s="7">
        <v>10375</v>
      </c>
      <c r="J1338" s="7">
        <v>1500</v>
      </c>
      <c r="K1338" s="99">
        <f t="shared" ref="K1338:K1344" si="165">B1338+E1338+H1338</f>
        <v>26241</v>
      </c>
      <c r="L1338" s="7">
        <v>3000</v>
      </c>
      <c r="M1338" s="7">
        <v>7000</v>
      </c>
      <c r="N1338" s="7">
        <v>6456</v>
      </c>
      <c r="O1338" s="7">
        <v>3000</v>
      </c>
      <c r="P1338" s="7">
        <v>9572</v>
      </c>
      <c r="Q1338" s="7">
        <v>-217.63</v>
      </c>
      <c r="R1338" s="113">
        <f t="shared" ref="R1338:R1344" si="166">C1338/B1338</f>
        <v>0.72743314033636608</v>
      </c>
      <c r="S1338" s="113">
        <f t="shared" ref="S1338:S1344" si="167">F1338/E1338</f>
        <v>0.30100430416068868</v>
      </c>
      <c r="T1338" s="113">
        <f t="shared" ref="T1338:T1344" si="168">IF(H1338=0,0,I1338/H1338)</f>
        <v>0.87368421052631584</v>
      </c>
      <c r="U1338" s="113">
        <f t="shared" ref="U1338:U1344" si="169">AVERAGE(R1338:T1338)</f>
        <v>0.63404055167445683</v>
      </c>
    </row>
    <row r="1339" spans="1:21" x14ac:dyDescent="0.45">
      <c r="A1339" s="95">
        <v>45899</v>
      </c>
      <c r="B1339" s="96">
        <v>10881</v>
      </c>
      <c r="C1339" s="103">
        <v>7915.2</v>
      </c>
      <c r="D1339" s="114">
        <v>2965.8</v>
      </c>
      <c r="E1339" s="97">
        <v>3485</v>
      </c>
      <c r="F1339" s="7">
        <v>1049</v>
      </c>
      <c r="G1339" s="7">
        <v>2436</v>
      </c>
      <c r="H1339" s="98">
        <v>11875</v>
      </c>
      <c r="I1339" s="7">
        <v>10375</v>
      </c>
      <c r="J1339" s="7">
        <v>1500</v>
      </c>
      <c r="K1339" s="99">
        <f t="shared" si="165"/>
        <v>26241</v>
      </c>
      <c r="L1339" s="7">
        <v>3000</v>
      </c>
      <c r="M1339" s="7">
        <v>7000</v>
      </c>
      <c r="N1339" s="7">
        <v>6456</v>
      </c>
      <c r="O1339" s="7">
        <v>3000</v>
      </c>
      <c r="P1339" s="7">
        <v>9572</v>
      </c>
      <c r="Q1339" s="7">
        <v>-217.63</v>
      </c>
      <c r="R1339" s="113">
        <f t="shared" si="166"/>
        <v>0.72743314033636608</v>
      </c>
      <c r="S1339" s="113">
        <f t="shared" si="167"/>
        <v>0.30100430416068868</v>
      </c>
      <c r="T1339" s="113">
        <f t="shared" si="168"/>
        <v>0.87368421052631584</v>
      </c>
      <c r="U1339" s="113">
        <f t="shared" si="169"/>
        <v>0.63404055167445683</v>
      </c>
    </row>
    <row r="1340" spans="1:21" x14ac:dyDescent="0.45">
      <c r="A1340" s="95">
        <v>45900</v>
      </c>
      <c r="B1340" s="96">
        <v>10881</v>
      </c>
      <c r="C1340" s="103">
        <v>7915.2</v>
      </c>
      <c r="D1340" s="114">
        <v>2965.8</v>
      </c>
      <c r="E1340" s="97">
        <v>3485</v>
      </c>
      <c r="F1340" s="7">
        <v>1049</v>
      </c>
      <c r="G1340" s="7">
        <v>2436</v>
      </c>
      <c r="H1340" s="98">
        <v>11875</v>
      </c>
      <c r="I1340" s="7">
        <v>10375</v>
      </c>
      <c r="J1340" s="7">
        <v>1500</v>
      </c>
      <c r="K1340" s="99">
        <f t="shared" si="165"/>
        <v>26241</v>
      </c>
      <c r="L1340" s="7">
        <v>3000</v>
      </c>
      <c r="M1340" s="7">
        <v>7000</v>
      </c>
      <c r="N1340" s="7">
        <v>6456</v>
      </c>
      <c r="O1340" s="7">
        <v>3000</v>
      </c>
      <c r="P1340" s="7">
        <v>9572</v>
      </c>
      <c r="Q1340" s="7">
        <v>-217.63</v>
      </c>
      <c r="R1340" s="113">
        <f t="shared" si="166"/>
        <v>0.72743314033636608</v>
      </c>
      <c r="S1340" s="113">
        <f t="shared" si="167"/>
        <v>0.30100430416068868</v>
      </c>
      <c r="T1340" s="113">
        <f t="shared" si="168"/>
        <v>0.87368421052631584</v>
      </c>
      <c r="U1340" s="113">
        <f t="shared" si="169"/>
        <v>0.63404055167445683</v>
      </c>
    </row>
    <row r="1341" spans="1:21" x14ac:dyDescent="0.45">
      <c r="A1341" s="95">
        <v>45901</v>
      </c>
      <c r="B1341" s="96">
        <v>10881</v>
      </c>
      <c r="C1341" s="103">
        <v>7915.2</v>
      </c>
      <c r="D1341" s="114">
        <v>2965.8</v>
      </c>
      <c r="E1341" s="97">
        <v>3485</v>
      </c>
      <c r="F1341" s="7">
        <v>1049</v>
      </c>
      <c r="G1341" s="7">
        <v>2436</v>
      </c>
      <c r="H1341" s="98">
        <v>11875</v>
      </c>
      <c r="I1341" s="7">
        <v>10375</v>
      </c>
      <c r="J1341" s="7">
        <v>1500</v>
      </c>
      <c r="K1341" s="99">
        <f t="shared" si="165"/>
        <v>26241</v>
      </c>
      <c r="L1341" s="7">
        <v>3000</v>
      </c>
      <c r="M1341" s="7">
        <v>7000</v>
      </c>
      <c r="N1341" s="7">
        <v>5120</v>
      </c>
      <c r="O1341" s="7">
        <v>3300</v>
      </c>
      <c r="P1341" s="7">
        <v>9711.8700000000008</v>
      </c>
      <c r="Q1341" s="7">
        <v>475.17</v>
      </c>
      <c r="R1341" s="113">
        <f t="shared" si="166"/>
        <v>0.72743314033636608</v>
      </c>
      <c r="S1341" s="113">
        <f t="shared" si="167"/>
        <v>0.30100430416068868</v>
      </c>
      <c r="T1341" s="113">
        <f t="shared" si="168"/>
        <v>0.87368421052631584</v>
      </c>
      <c r="U1341" s="113">
        <f t="shared" si="169"/>
        <v>0.63404055167445683</v>
      </c>
    </row>
    <row r="1342" spans="1:21" x14ac:dyDescent="0.45">
      <c r="A1342" s="95">
        <v>45902</v>
      </c>
      <c r="B1342" s="96">
        <v>10881</v>
      </c>
      <c r="C1342" s="103">
        <v>7915.2</v>
      </c>
      <c r="D1342" s="114">
        <v>2965.8</v>
      </c>
      <c r="E1342" s="97">
        <v>3485</v>
      </c>
      <c r="F1342" s="7">
        <v>1049</v>
      </c>
      <c r="G1342" s="7">
        <v>2436</v>
      </c>
      <c r="H1342" s="98">
        <v>11875</v>
      </c>
      <c r="I1342" s="7">
        <v>10375</v>
      </c>
      <c r="J1342" s="7">
        <v>1500</v>
      </c>
      <c r="K1342" s="99">
        <f t="shared" si="165"/>
        <v>26241</v>
      </c>
      <c r="L1342" s="7">
        <v>3000</v>
      </c>
      <c r="M1342" s="7">
        <v>7000</v>
      </c>
      <c r="N1342" s="7">
        <v>5570</v>
      </c>
      <c r="O1342" s="7">
        <v>3900</v>
      </c>
      <c r="P1342" s="7">
        <v>9711.8700000000008</v>
      </c>
      <c r="Q1342" s="7">
        <v>-527.01</v>
      </c>
      <c r="R1342" s="113">
        <f t="shared" si="166"/>
        <v>0.72743314033636608</v>
      </c>
      <c r="S1342" s="113">
        <f t="shared" si="167"/>
        <v>0.30100430416068868</v>
      </c>
      <c r="T1342" s="113">
        <f t="shared" si="168"/>
        <v>0.87368421052631584</v>
      </c>
      <c r="U1342" s="113">
        <f t="shared" si="169"/>
        <v>0.63404055167445683</v>
      </c>
    </row>
    <row r="1343" spans="1:21" x14ac:dyDescent="0.45">
      <c r="A1343" s="95">
        <v>45903</v>
      </c>
      <c r="B1343" s="96">
        <v>10881</v>
      </c>
      <c r="C1343" s="103">
        <v>7915.2</v>
      </c>
      <c r="D1343" s="114">
        <v>2965.8</v>
      </c>
      <c r="E1343" s="97">
        <v>3485</v>
      </c>
      <c r="F1343" s="7">
        <v>1049</v>
      </c>
      <c r="G1343" s="7">
        <v>2436</v>
      </c>
      <c r="H1343" s="98">
        <v>11875</v>
      </c>
      <c r="I1343" s="7">
        <v>10375</v>
      </c>
      <c r="J1343" s="7">
        <v>1500</v>
      </c>
      <c r="K1343" s="99">
        <f t="shared" si="165"/>
        <v>26241</v>
      </c>
      <c r="L1343" s="7">
        <v>3000</v>
      </c>
      <c r="M1343" s="7">
        <v>7000</v>
      </c>
      <c r="N1343" s="7">
        <v>5520</v>
      </c>
      <c r="O1343" s="7">
        <v>3900</v>
      </c>
      <c r="P1343" s="7">
        <v>9711.8700000000008</v>
      </c>
      <c r="Q1343" s="7">
        <v>-705.4</v>
      </c>
      <c r="R1343" s="113">
        <f t="shared" si="166"/>
        <v>0.72743314033636608</v>
      </c>
      <c r="S1343" s="113">
        <f t="shared" si="167"/>
        <v>0.30100430416068868</v>
      </c>
      <c r="T1343" s="113">
        <f t="shared" si="168"/>
        <v>0.87368421052631584</v>
      </c>
      <c r="U1343" s="113">
        <f t="shared" si="169"/>
        <v>0.63404055167445683</v>
      </c>
    </row>
    <row r="1344" spans="1:21" x14ac:dyDescent="0.45">
      <c r="A1344" s="95">
        <v>45904</v>
      </c>
      <c r="B1344" s="96">
        <v>10881</v>
      </c>
      <c r="C1344" s="103">
        <v>7898.5</v>
      </c>
      <c r="D1344" s="114">
        <v>2982.5</v>
      </c>
      <c r="E1344" s="97">
        <v>3485</v>
      </c>
      <c r="F1344" s="7">
        <v>1049</v>
      </c>
      <c r="G1344" s="7">
        <v>2436</v>
      </c>
      <c r="H1344" s="98">
        <v>11875</v>
      </c>
      <c r="I1344" s="7">
        <v>10375</v>
      </c>
      <c r="J1344" s="7">
        <v>1500</v>
      </c>
      <c r="K1344" s="99">
        <f t="shared" si="165"/>
        <v>26241</v>
      </c>
      <c r="L1344" s="7">
        <v>2900</v>
      </c>
      <c r="M1344" s="7">
        <v>8100</v>
      </c>
      <c r="N1344" s="7">
        <v>5340</v>
      </c>
      <c r="O1344" s="7">
        <v>2800</v>
      </c>
      <c r="P1344" s="7">
        <v>9711.8700000000008</v>
      </c>
      <c r="Q1344" s="7">
        <v>-655.04</v>
      </c>
      <c r="R1344" s="113">
        <f t="shared" si="166"/>
        <v>0.72589835493061294</v>
      </c>
      <c r="S1344" s="113">
        <f t="shared" si="167"/>
        <v>0.30100430416068868</v>
      </c>
      <c r="T1344" s="113">
        <f t="shared" si="168"/>
        <v>0.87368421052631584</v>
      </c>
      <c r="U1344" s="113">
        <f t="shared" si="169"/>
        <v>0.63352895653920582</v>
      </c>
    </row>
    <row r="1345" spans="1:21" x14ac:dyDescent="0.45">
      <c r="A1345" s="95">
        <v>45905</v>
      </c>
      <c r="B1345" s="96">
        <v>10881</v>
      </c>
      <c r="C1345" s="103">
        <v>7898.5</v>
      </c>
      <c r="D1345" s="114">
        <v>2982.5</v>
      </c>
      <c r="E1345" s="97">
        <v>3485</v>
      </c>
      <c r="F1345" s="7">
        <v>1049</v>
      </c>
      <c r="G1345" s="7">
        <v>2436</v>
      </c>
      <c r="H1345" s="98">
        <v>11875</v>
      </c>
      <c r="I1345" s="7">
        <v>10375</v>
      </c>
      <c r="J1345" s="7">
        <v>1500</v>
      </c>
      <c r="K1345" s="99">
        <f t="shared" ref="K1345:K1350" si="170">B1345+E1345+H1345</f>
        <v>26241</v>
      </c>
      <c r="L1345" s="7">
        <v>2900</v>
      </c>
      <c r="M1345" s="7">
        <v>8100</v>
      </c>
      <c r="N1345" s="7">
        <v>5340</v>
      </c>
      <c r="O1345" s="7">
        <v>2800</v>
      </c>
      <c r="P1345" s="7">
        <v>9711.8700000000008</v>
      </c>
      <c r="Q1345" s="7">
        <v>-655.04131633397674</v>
      </c>
      <c r="R1345" s="113">
        <f t="shared" ref="R1345:R1357" si="171">C1345/B1345</f>
        <v>0.72589835493061294</v>
      </c>
      <c r="S1345" s="113">
        <f t="shared" ref="S1345:S1357" si="172">F1345/E1345</f>
        <v>0.30100430416068868</v>
      </c>
      <c r="T1345" s="113">
        <f t="shared" ref="T1345:T1357" si="173">IF(H1345=0,0,I1345/H1345)</f>
        <v>0.87368421052631584</v>
      </c>
      <c r="U1345" s="113">
        <f t="shared" ref="U1345:U1357" si="174">AVERAGE(R1345:T1345)</f>
        <v>0.63352895653920582</v>
      </c>
    </row>
    <row r="1346" spans="1:21" x14ac:dyDescent="0.45">
      <c r="A1346" s="95">
        <v>45906</v>
      </c>
      <c r="B1346" s="96">
        <v>10881</v>
      </c>
      <c r="C1346" s="103">
        <v>7898.5</v>
      </c>
      <c r="D1346" s="114">
        <v>2982.5</v>
      </c>
      <c r="E1346" s="97">
        <v>3485</v>
      </c>
      <c r="F1346" s="7">
        <v>1049</v>
      </c>
      <c r="G1346" s="7">
        <v>2436</v>
      </c>
      <c r="H1346" s="98">
        <v>11875</v>
      </c>
      <c r="I1346" s="7">
        <v>10375</v>
      </c>
      <c r="J1346" s="7">
        <v>1500</v>
      </c>
      <c r="K1346" s="99">
        <f t="shared" si="170"/>
        <v>26241</v>
      </c>
      <c r="L1346" s="7">
        <v>2900</v>
      </c>
      <c r="M1346" s="7">
        <v>8100</v>
      </c>
      <c r="N1346" s="7">
        <v>5340</v>
      </c>
      <c r="O1346" s="7">
        <v>2800</v>
      </c>
      <c r="P1346" s="7">
        <v>9711.8700000000008</v>
      </c>
      <c r="Q1346" s="7">
        <v>-655.04131633397674</v>
      </c>
      <c r="R1346" s="113">
        <f t="shared" si="171"/>
        <v>0.72589835493061294</v>
      </c>
      <c r="S1346" s="113">
        <f t="shared" si="172"/>
        <v>0.30100430416068868</v>
      </c>
      <c r="T1346" s="113">
        <f t="shared" si="173"/>
        <v>0.87368421052631584</v>
      </c>
      <c r="U1346" s="113">
        <f t="shared" si="174"/>
        <v>0.63352895653920582</v>
      </c>
    </row>
    <row r="1347" spans="1:21" x14ac:dyDescent="0.45">
      <c r="A1347" s="95">
        <v>45907</v>
      </c>
      <c r="B1347" s="96">
        <v>10881</v>
      </c>
      <c r="C1347" s="103">
        <v>7898.5</v>
      </c>
      <c r="D1347" s="114">
        <v>2982.5</v>
      </c>
      <c r="E1347" s="97">
        <v>3485</v>
      </c>
      <c r="F1347" s="7">
        <v>1049</v>
      </c>
      <c r="G1347" s="7">
        <v>2436</v>
      </c>
      <c r="H1347" s="98">
        <v>11875</v>
      </c>
      <c r="I1347" s="7">
        <v>10375</v>
      </c>
      <c r="J1347" s="7">
        <v>1500</v>
      </c>
      <c r="K1347" s="99">
        <f t="shared" si="170"/>
        <v>26241</v>
      </c>
      <c r="L1347" s="7">
        <v>2900</v>
      </c>
      <c r="M1347" s="7">
        <v>8100</v>
      </c>
      <c r="N1347" s="7">
        <v>5340</v>
      </c>
      <c r="O1347" s="7">
        <v>2800</v>
      </c>
      <c r="P1347" s="7">
        <v>9711.8700000000008</v>
      </c>
      <c r="Q1347" s="7">
        <v>-655.04131633397674</v>
      </c>
      <c r="R1347" s="113">
        <f t="shared" si="171"/>
        <v>0.72589835493061294</v>
      </c>
      <c r="S1347" s="113">
        <f t="shared" si="172"/>
        <v>0.30100430416068868</v>
      </c>
      <c r="T1347" s="113">
        <f t="shared" si="173"/>
        <v>0.87368421052631584</v>
      </c>
      <c r="U1347" s="113">
        <f t="shared" si="174"/>
        <v>0.63352895653920582</v>
      </c>
    </row>
    <row r="1348" spans="1:21" x14ac:dyDescent="0.45">
      <c r="A1348" s="95">
        <v>45908</v>
      </c>
      <c r="B1348" s="96">
        <v>10881</v>
      </c>
      <c r="C1348" s="103">
        <v>7898.5</v>
      </c>
      <c r="D1348" s="114">
        <v>2982.5</v>
      </c>
      <c r="E1348" s="97">
        <v>3485</v>
      </c>
      <c r="F1348" s="7">
        <v>1049</v>
      </c>
      <c r="G1348" s="7">
        <v>2436</v>
      </c>
      <c r="H1348" s="98">
        <v>11875</v>
      </c>
      <c r="I1348" s="7">
        <v>10375</v>
      </c>
      <c r="J1348" s="7">
        <v>1500</v>
      </c>
      <c r="K1348" s="99">
        <f t="shared" si="170"/>
        <v>26241</v>
      </c>
      <c r="L1348" s="7">
        <v>2900</v>
      </c>
      <c r="M1348" s="7">
        <v>8100</v>
      </c>
      <c r="N1348" s="7">
        <v>4270</v>
      </c>
      <c r="O1348" s="7">
        <v>3300</v>
      </c>
      <c r="P1348" s="7">
        <v>9711.8700000000008</v>
      </c>
      <c r="Q1348" s="7">
        <v>303.61029287602366</v>
      </c>
      <c r="R1348" s="113">
        <f t="shared" si="171"/>
        <v>0.72589835493061294</v>
      </c>
      <c r="S1348" s="113">
        <f t="shared" si="172"/>
        <v>0.30100430416068868</v>
      </c>
      <c r="T1348" s="113">
        <f t="shared" si="173"/>
        <v>0.87368421052631584</v>
      </c>
      <c r="U1348" s="113">
        <f t="shared" si="174"/>
        <v>0.63352895653920582</v>
      </c>
    </row>
    <row r="1349" spans="1:21" x14ac:dyDescent="0.45">
      <c r="A1349" s="95">
        <v>45909</v>
      </c>
      <c r="B1349" s="96">
        <v>10881</v>
      </c>
      <c r="C1349" s="103">
        <v>7898.5</v>
      </c>
      <c r="D1349" s="114">
        <v>2982.5</v>
      </c>
      <c r="E1349" s="97">
        <v>3485</v>
      </c>
      <c r="F1349" s="7">
        <v>1049</v>
      </c>
      <c r="G1349" s="7">
        <v>2436</v>
      </c>
      <c r="H1349" s="98">
        <v>11875</v>
      </c>
      <c r="I1349" s="7">
        <v>10375</v>
      </c>
      <c r="J1349" s="7">
        <v>1500</v>
      </c>
      <c r="K1349" s="99">
        <f t="shared" si="170"/>
        <v>26241</v>
      </c>
      <c r="L1349" s="7">
        <v>2900</v>
      </c>
      <c r="M1349" s="7">
        <v>8100</v>
      </c>
      <c r="N1349" s="7">
        <v>4820</v>
      </c>
      <c r="O1349" s="7">
        <v>4300</v>
      </c>
      <c r="P1349" s="7">
        <v>9711.8700000000008</v>
      </c>
      <c r="Q1349" s="7">
        <v>-823.96840711397658</v>
      </c>
      <c r="R1349" s="113">
        <f t="shared" si="171"/>
        <v>0.72589835493061294</v>
      </c>
      <c r="S1349" s="113">
        <f t="shared" si="172"/>
        <v>0.30100430416068868</v>
      </c>
      <c r="T1349" s="113">
        <f t="shared" si="173"/>
        <v>0.87368421052631584</v>
      </c>
      <c r="U1349" s="113">
        <f t="shared" si="174"/>
        <v>0.63352895653920582</v>
      </c>
    </row>
    <row r="1350" spans="1:21" x14ac:dyDescent="0.45">
      <c r="A1350" s="95">
        <v>45910</v>
      </c>
      <c r="B1350" s="96">
        <v>10881</v>
      </c>
      <c r="C1350" s="103">
        <v>7898.5</v>
      </c>
      <c r="D1350" s="114">
        <v>2982.5</v>
      </c>
      <c r="E1350" s="97">
        <v>3485</v>
      </c>
      <c r="F1350" s="7">
        <v>1049</v>
      </c>
      <c r="G1350" s="7">
        <v>2436</v>
      </c>
      <c r="H1350" s="98">
        <v>11875</v>
      </c>
      <c r="I1350" s="7">
        <v>10375</v>
      </c>
      <c r="J1350" s="7">
        <v>1500</v>
      </c>
      <c r="K1350" s="99">
        <f t="shared" si="170"/>
        <v>26241</v>
      </c>
      <c r="L1350" s="7">
        <v>2900</v>
      </c>
      <c r="M1350" s="7">
        <v>8100</v>
      </c>
      <c r="N1350" s="7">
        <v>4720</v>
      </c>
      <c r="O1350" s="7">
        <v>4300</v>
      </c>
      <c r="P1350" s="7">
        <v>9711.8700000000008</v>
      </c>
      <c r="Q1350" s="7">
        <v>-955.35772603397652</v>
      </c>
      <c r="R1350" s="113">
        <f t="shared" si="171"/>
        <v>0.72589835493061294</v>
      </c>
      <c r="S1350" s="113">
        <f t="shared" si="172"/>
        <v>0.30100430416068868</v>
      </c>
      <c r="T1350" s="113">
        <f t="shared" si="173"/>
        <v>0.87368421052631584</v>
      </c>
      <c r="U1350" s="113">
        <f t="shared" si="174"/>
        <v>0.63352895653920582</v>
      </c>
    </row>
    <row r="1351" spans="1:21" x14ac:dyDescent="0.45">
      <c r="A1351" s="95">
        <v>45911</v>
      </c>
      <c r="B1351" s="96">
        <v>10881</v>
      </c>
      <c r="C1351" s="103">
        <v>7833.5</v>
      </c>
      <c r="D1351" s="114">
        <v>3047.5</v>
      </c>
      <c r="E1351" s="97">
        <v>3485</v>
      </c>
      <c r="F1351" s="7">
        <v>1049</v>
      </c>
      <c r="G1351" s="7">
        <v>2436</v>
      </c>
      <c r="H1351" s="98">
        <v>11875</v>
      </c>
      <c r="I1351" s="7">
        <v>10375</v>
      </c>
      <c r="J1351" s="7">
        <v>1500</v>
      </c>
      <c r="K1351" s="99">
        <f t="shared" ref="K1351" si="175">B1351+E1351+H1351</f>
        <v>26241</v>
      </c>
      <c r="L1351" s="7">
        <v>4000</v>
      </c>
      <c r="M1351" s="7">
        <v>6000</v>
      </c>
      <c r="N1351" s="7">
        <v>3840</v>
      </c>
      <c r="O1351" s="7">
        <v>6100</v>
      </c>
      <c r="P1351" s="7">
        <v>9711.8700000000008</v>
      </c>
      <c r="Q1351" s="7">
        <v>-148.99974200397668</v>
      </c>
      <c r="R1351" s="113">
        <f t="shared" si="171"/>
        <v>0.71992463927947803</v>
      </c>
      <c r="S1351" s="113">
        <f t="shared" si="172"/>
        <v>0.30100430416068868</v>
      </c>
      <c r="T1351" s="113">
        <f t="shared" si="173"/>
        <v>0.87368421052631584</v>
      </c>
      <c r="U1351" s="113">
        <f t="shared" si="174"/>
        <v>0.63153771798882752</v>
      </c>
    </row>
    <row r="1352" spans="1:21" x14ac:dyDescent="0.45">
      <c r="A1352" s="95">
        <v>45912</v>
      </c>
      <c r="B1352" s="96">
        <v>10881</v>
      </c>
      <c r="C1352" s="103">
        <v>7833.5</v>
      </c>
      <c r="D1352" s="114">
        <v>3047.5</v>
      </c>
      <c r="E1352" s="97">
        <v>3485</v>
      </c>
      <c r="F1352" s="7">
        <v>1049</v>
      </c>
      <c r="G1352" s="7">
        <v>2436</v>
      </c>
      <c r="H1352" s="98">
        <v>11875</v>
      </c>
      <c r="I1352" s="7">
        <v>10375</v>
      </c>
      <c r="J1352" s="7">
        <v>1500</v>
      </c>
      <c r="K1352" s="99">
        <f t="shared" ref="K1352:K1372" si="176">B1352+E1352+H1352</f>
        <v>26241</v>
      </c>
      <c r="L1352" s="7">
        <v>4000</v>
      </c>
      <c r="M1352" s="7">
        <v>6000</v>
      </c>
      <c r="N1352" s="7">
        <v>3930</v>
      </c>
      <c r="O1352" s="7">
        <v>7050</v>
      </c>
      <c r="P1352" s="7">
        <v>9711.8700000000008</v>
      </c>
      <c r="Q1352" s="7">
        <v>-1468.8741265839767</v>
      </c>
      <c r="R1352" s="113">
        <f t="shared" si="171"/>
        <v>0.71992463927947803</v>
      </c>
      <c r="S1352" s="113">
        <f t="shared" si="172"/>
        <v>0.30100430416068868</v>
      </c>
      <c r="T1352" s="113">
        <f t="shared" si="173"/>
        <v>0.87368421052631584</v>
      </c>
      <c r="U1352" s="113">
        <f t="shared" si="174"/>
        <v>0.63153771798882752</v>
      </c>
    </row>
    <row r="1353" spans="1:21" x14ac:dyDescent="0.45">
      <c r="A1353" s="95">
        <v>45913</v>
      </c>
      <c r="B1353" s="96">
        <v>10881</v>
      </c>
      <c r="C1353" s="103">
        <v>7833.5</v>
      </c>
      <c r="D1353" s="114">
        <v>3047.5</v>
      </c>
      <c r="E1353" s="97">
        <v>3485</v>
      </c>
      <c r="F1353" s="7">
        <v>1049</v>
      </c>
      <c r="G1353" s="7">
        <v>2436</v>
      </c>
      <c r="H1353" s="98">
        <v>11875</v>
      </c>
      <c r="I1353" s="7">
        <v>10375</v>
      </c>
      <c r="J1353" s="7">
        <v>1500</v>
      </c>
      <c r="K1353" s="99">
        <f t="shared" si="176"/>
        <v>26241</v>
      </c>
      <c r="L1353" s="7">
        <v>4000</v>
      </c>
      <c r="M1353" s="7">
        <v>6000</v>
      </c>
      <c r="N1353" s="7">
        <v>3930</v>
      </c>
      <c r="O1353" s="7">
        <v>7050</v>
      </c>
      <c r="P1353" s="7">
        <v>9711.8700000000008</v>
      </c>
      <c r="Q1353" s="7">
        <v>-1468.8741265839767</v>
      </c>
      <c r="R1353" s="113">
        <f t="shared" si="171"/>
        <v>0.71992463927947803</v>
      </c>
      <c r="S1353" s="113">
        <f t="shared" si="172"/>
        <v>0.30100430416068868</v>
      </c>
      <c r="T1353" s="113">
        <f t="shared" si="173"/>
        <v>0.87368421052631584</v>
      </c>
      <c r="U1353" s="113">
        <f t="shared" si="174"/>
        <v>0.63153771798882752</v>
      </c>
    </row>
    <row r="1354" spans="1:21" x14ac:dyDescent="0.45">
      <c r="A1354" s="95">
        <v>45914</v>
      </c>
      <c r="B1354" s="96">
        <v>10881</v>
      </c>
      <c r="C1354" s="103">
        <v>7833.5</v>
      </c>
      <c r="D1354" s="114">
        <v>3047.5</v>
      </c>
      <c r="E1354" s="97">
        <v>3485</v>
      </c>
      <c r="F1354" s="7">
        <v>1049</v>
      </c>
      <c r="G1354" s="7">
        <v>2436</v>
      </c>
      <c r="H1354" s="98">
        <v>11875</v>
      </c>
      <c r="I1354" s="7">
        <v>10375</v>
      </c>
      <c r="J1354" s="7">
        <v>1500</v>
      </c>
      <c r="K1354" s="99">
        <f t="shared" si="176"/>
        <v>26241</v>
      </c>
      <c r="L1354" s="7">
        <v>4000</v>
      </c>
      <c r="M1354" s="7">
        <v>6000</v>
      </c>
      <c r="N1354" s="7">
        <v>3930</v>
      </c>
      <c r="O1354" s="7">
        <v>7050</v>
      </c>
      <c r="P1354" s="7">
        <v>9711.8700000000008</v>
      </c>
      <c r="Q1354" s="7">
        <v>-1468.8741265839767</v>
      </c>
      <c r="R1354" s="113">
        <f t="shared" si="171"/>
        <v>0.71992463927947803</v>
      </c>
      <c r="S1354" s="113">
        <f t="shared" si="172"/>
        <v>0.30100430416068868</v>
      </c>
      <c r="T1354" s="113">
        <f t="shared" si="173"/>
        <v>0.87368421052631584</v>
      </c>
      <c r="U1354" s="113">
        <f t="shared" si="174"/>
        <v>0.63153771798882752</v>
      </c>
    </row>
    <row r="1355" spans="1:21" x14ac:dyDescent="0.45">
      <c r="A1355" s="95">
        <v>45915</v>
      </c>
      <c r="B1355" s="96">
        <v>10881</v>
      </c>
      <c r="C1355" s="103">
        <v>7833.5</v>
      </c>
      <c r="D1355" s="114">
        <v>3047.5</v>
      </c>
      <c r="E1355" s="97">
        <v>3485</v>
      </c>
      <c r="F1355" s="7">
        <v>1049</v>
      </c>
      <c r="G1355" s="7">
        <v>2436</v>
      </c>
      <c r="H1355" s="98">
        <v>11875</v>
      </c>
      <c r="I1355" s="7">
        <v>10375</v>
      </c>
      <c r="J1355" s="7">
        <v>1500</v>
      </c>
      <c r="K1355" s="99">
        <f t="shared" si="176"/>
        <v>26241</v>
      </c>
      <c r="L1355" s="7">
        <v>4000</v>
      </c>
      <c r="M1355" s="7">
        <v>6000</v>
      </c>
      <c r="N1355" s="7">
        <v>3231</v>
      </c>
      <c r="O1355" s="7">
        <v>50</v>
      </c>
      <c r="P1355" s="7">
        <v>9711.8700000000008</v>
      </c>
      <c r="Q1355" s="7">
        <v>6253.6</v>
      </c>
      <c r="R1355" s="113">
        <f t="shared" si="171"/>
        <v>0.71992463927947803</v>
      </c>
      <c r="S1355" s="113">
        <f t="shared" si="172"/>
        <v>0.30100430416068868</v>
      </c>
      <c r="T1355" s="113">
        <f t="shared" si="173"/>
        <v>0.87368421052631584</v>
      </c>
      <c r="U1355" s="113">
        <f t="shared" si="174"/>
        <v>0.63153771798882752</v>
      </c>
    </row>
    <row r="1356" spans="1:21" x14ac:dyDescent="0.45">
      <c r="A1356" s="95">
        <v>45916</v>
      </c>
      <c r="B1356" s="96">
        <v>10881</v>
      </c>
      <c r="C1356" s="103">
        <v>7833.5</v>
      </c>
      <c r="D1356" s="114">
        <v>3047.5</v>
      </c>
      <c r="E1356" s="97">
        <v>3485</v>
      </c>
      <c r="F1356" s="7">
        <v>1049</v>
      </c>
      <c r="G1356" s="7">
        <v>2436</v>
      </c>
      <c r="H1356" s="98">
        <v>11875</v>
      </c>
      <c r="I1356" s="7">
        <v>10375</v>
      </c>
      <c r="J1356" s="7">
        <v>1500</v>
      </c>
      <c r="K1356" s="99">
        <f t="shared" si="176"/>
        <v>26241</v>
      </c>
      <c r="L1356" s="7">
        <v>4000</v>
      </c>
      <c r="M1356" s="7">
        <v>6000</v>
      </c>
      <c r="N1356" s="7">
        <v>3450</v>
      </c>
      <c r="O1356" s="7">
        <v>50</v>
      </c>
      <c r="P1356" s="7">
        <v>9711.8700000000008</v>
      </c>
      <c r="Q1356" s="7">
        <v>6233.55</v>
      </c>
      <c r="R1356" s="113">
        <f t="shared" si="171"/>
        <v>0.71992463927947803</v>
      </c>
      <c r="S1356" s="113">
        <f t="shared" si="172"/>
        <v>0.30100430416068868</v>
      </c>
      <c r="T1356" s="113">
        <f t="shared" si="173"/>
        <v>0.87368421052631584</v>
      </c>
      <c r="U1356" s="113">
        <f t="shared" si="174"/>
        <v>0.63153771798882752</v>
      </c>
    </row>
    <row r="1357" spans="1:21" x14ac:dyDescent="0.45">
      <c r="A1357" s="95">
        <v>45917</v>
      </c>
      <c r="B1357" s="96">
        <v>10881</v>
      </c>
      <c r="C1357" s="103">
        <v>7833.5</v>
      </c>
      <c r="D1357" s="114">
        <v>3047.5</v>
      </c>
      <c r="E1357" s="97">
        <v>3485</v>
      </c>
      <c r="F1357" s="7">
        <v>1049</v>
      </c>
      <c r="G1357" s="7">
        <v>2436</v>
      </c>
      <c r="H1357" s="98">
        <v>11875</v>
      </c>
      <c r="I1357" s="7">
        <v>10375</v>
      </c>
      <c r="J1357" s="7">
        <v>1500</v>
      </c>
      <c r="K1357" s="99">
        <f t="shared" si="176"/>
        <v>26241</v>
      </c>
      <c r="L1357" s="7">
        <v>4000</v>
      </c>
      <c r="M1357" s="7">
        <v>6000</v>
      </c>
      <c r="N1357" s="7">
        <v>3482</v>
      </c>
      <c r="O1357" s="7">
        <v>30</v>
      </c>
      <c r="P1357" s="7">
        <v>9711.8700000000008</v>
      </c>
      <c r="Q1357" s="7">
        <v>5922.79</v>
      </c>
      <c r="R1357" s="113">
        <f t="shared" si="171"/>
        <v>0.71992463927947803</v>
      </c>
      <c r="S1357" s="113">
        <f t="shared" si="172"/>
        <v>0.30100430416068868</v>
      </c>
      <c r="T1357" s="113">
        <f t="shared" si="173"/>
        <v>0.87368421052631584</v>
      </c>
      <c r="U1357" s="113">
        <f t="shared" si="174"/>
        <v>0.63153771798882752</v>
      </c>
    </row>
    <row r="1358" spans="1:21" x14ac:dyDescent="0.45">
      <c r="A1358" s="95">
        <v>45918</v>
      </c>
      <c r="B1358" s="96">
        <f>C1358+D1358</f>
        <v>10881.5</v>
      </c>
      <c r="C1358" s="103">
        <v>7623</v>
      </c>
      <c r="D1358" s="114">
        <v>3258.5</v>
      </c>
      <c r="E1358" s="97">
        <v>3485</v>
      </c>
      <c r="F1358" s="7">
        <v>1049</v>
      </c>
      <c r="G1358" s="7">
        <v>2436</v>
      </c>
      <c r="H1358" s="98">
        <v>11875</v>
      </c>
      <c r="I1358" s="7">
        <v>10375</v>
      </c>
      <c r="J1358" s="7">
        <v>1500</v>
      </c>
      <c r="K1358" s="99">
        <f t="shared" si="176"/>
        <v>26241.5</v>
      </c>
      <c r="L1358" s="7">
        <v>5000</v>
      </c>
      <c r="M1358" s="7">
        <v>9000</v>
      </c>
      <c r="N1358" s="7">
        <v>2501</v>
      </c>
      <c r="O1358" s="7">
        <v>5020</v>
      </c>
      <c r="P1358" s="7">
        <v>9711.8700000000008</v>
      </c>
      <c r="Q1358" s="7">
        <v>-1852.36</v>
      </c>
      <c r="R1358" s="113">
        <f t="shared" ref="R1358:R1361" si="177">C1358/B1358</f>
        <v>0.70054679961402377</v>
      </c>
      <c r="S1358" s="113">
        <f t="shared" ref="S1358:S1361" si="178">F1358/E1358</f>
        <v>0.30100430416068868</v>
      </c>
      <c r="T1358" s="113">
        <f t="shared" ref="T1358:T1361" si="179">IF(H1358=0,0,I1358/H1358)</f>
        <v>0.87368421052631584</v>
      </c>
      <c r="U1358" s="113">
        <f t="shared" ref="U1358:U1361" si="180">AVERAGE(R1358:T1358)</f>
        <v>0.6250784381003428</v>
      </c>
    </row>
    <row r="1359" spans="1:21" x14ac:dyDescent="0.45">
      <c r="A1359" s="95">
        <v>45919</v>
      </c>
      <c r="B1359" s="96">
        <f t="shared" ref="B1359:B1372" si="181">C1359+D1359</f>
        <v>10881.5</v>
      </c>
      <c r="C1359" s="103">
        <v>7623</v>
      </c>
      <c r="D1359" s="114">
        <v>3258.5</v>
      </c>
      <c r="E1359" s="97">
        <v>3485</v>
      </c>
      <c r="F1359" s="7">
        <v>1049</v>
      </c>
      <c r="G1359" s="7">
        <v>2436</v>
      </c>
      <c r="H1359" s="98">
        <v>11875</v>
      </c>
      <c r="I1359" s="7">
        <v>10375</v>
      </c>
      <c r="J1359" s="7">
        <v>1500</v>
      </c>
      <c r="K1359" s="99">
        <f t="shared" si="176"/>
        <v>26241.5</v>
      </c>
      <c r="L1359" s="7">
        <v>5000</v>
      </c>
      <c r="M1359" s="7">
        <v>9000</v>
      </c>
      <c r="N1359" s="7">
        <v>2350</v>
      </c>
      <c r="O1359" s="7">
        <v>5330</v>
      </c>
      <c r="P1359" s="7">
        <v>9711.8700000000008</v>
      </c>
      <c r="Q1359" s="7">
        <v>-1904.76</v>
      </c>
      <c r="R1359" s="113">
        <f t="shared" si="177"/>
        <v>0.70054679961402377</v>
      </c>
      <c r="S1359" s="113">
        <f t="shared" si="178"/>
        <v>0.30100430416068868</v>
      </c>
      <c r="T1359" s="113">
        <f t="shared" si="179"/>
        <v>0.87368421052631584</v>
      </c>
      <c r="U1359" s="113">
        <f t="shared" si="180"/>
        <v>0.6250784381003428</v>
      </c>
    </row>
    <row r="1360" spans="1:21" x14ac:dyDescent="0.45">
      <c r="A1360" s="95">
        <v>45920</v>
      </c>
      <c r="B1360" s="96">
        <f t="shared" si="181"/>
        <v>10881.5</v>
      </c>
      <c r="C1360" s="103">
        <v>7623</v>
      </c>
      <c r="D1360" s="114">
        <v>3258.5</v>
      </c>
      <c r="E1360" s="97">
        <v>3485</v>
      </c>
      <c r="F1360" s="7">
        <v>1049</v>
      </c>
      <c r="G1360" s="7">
        <v>2436</v>
      </c>
      <c r="H1360" s="98">
        <v>11875</v>
      </c>
      <c r="I1360" s="7">
        <v>10375</v>
      </c>
      <c r="J1360" s="7">
        <v>1500</v>
      </c>
      <c r="K1360" s="99">
        <f t="shared" si="176"/>
        <v>26241.5</v>
      </c>
      <c r="L1360" s="7">
        <v>5000</v>
      </c>
      <c r="M1360" s="7">
        <v>9000</v>
      </c>
      <c r="N1360" s="7">
        <v>2350</v>
      </c>
      <c r="O1360" s="7">
        <v>5330</v>
      </c>
      <c r="P1360" s="7">
        <v>9711.8700000000008</v>
      </c>
      <c r="Q1360" s="7">
        <v>-1904.76</v>
      </c>
      <c r="R1360" s="113">
        <f t="shared" si="177"/>
        <v>0.70054679961402377</v>
      </c>
      <c r="S1360" s="113">
        <f t="shared" si="178"/>
        <v>0.30100430416068868</v>
      </c>
      <c r="T1360" s="113">
        <f t="shared" si="179"/>
        <v>0.87368421052631584</v>
      </c>
      <c r="U1360" s="113">
        <f t="shared" si="180"/>
        <v>0.6250784381003428</v>
      </c>
    </row>
    <row r="1361" spans="1:21" x14ac:dyDescent="0.45">
      <c r="A1361" s="95">
        <v>45921</v>
      </c>
      <c r="B1361" s="96">
        <f t="shared" si="181"/>
        <v>10881.5</v>
      </c>
      <c r="C1361" s="103">
        <v>7623</v>
      </c>
      <c r="D1361" s="114">
        <v>3258.5</v>
      </c>
      <c r="E1361" s="97">
        <v>3485</v>
      </c>
      <c r="F1361" s="7">
        <v>1049</v>
      </c>
      <c r="G1361" s="7">
        <v>2436</v>
      </c>
      <c r="H1361" s="98">
        <v>11875</v>
      </c>
      <c r="I1361" s="7">
        <v>10375</v>
      </c>
      <c r="J1361" s="7">
        <v>1500</v>
      </c>
      <c r="K1361" s="99">
        <f t="shared" si="176"/>
        <v>26241.5</v>
      </c>
      <c r="L1361" s="7">
        <v>5000</v>
      </c>
      <c r="M1361" s="7">
        <v>9000</v>
      </c>
      <c r="N1361" s="7">
        <v>2350</v>
      </c>
      <c r="O1361" s="7">
        <v>5330</v>
      </c>
      <c r="P1361" s="7">
        <v>9711.8700000000008</v>
      </c>
      <c r="Q1361" s="7">
        <v>-1904.76</v>
      </c>
      <c r="R1361" s="113">
        <f t="shared" si="177"/>
        <v>0.70054679961402377</v>
      </c>
      <c r="S1361" s="113">
        <f t="shared" si="178"/>
        <v>0.30100430416068868</v>
      </c>
      <c r="T1361" s="113">
        <f t="shared" si="179"/>
        <v>0.87368421052631584</v>
      </c>
      <c r="U1361" s="113">
        <f t="shared" si="180"/>
        <v>0.6250784381003428</v>
      </c>
    </row>
    <row r="1362" spans="1:21" x14ac:dyDescent="0.45">
      <c r="A1362" s="95">
        <v>45922</v>
      </c>
      <c r="B1362" s="96">
        <f t="shared" si="181"/>
        <v>10881.5</v>
      </c>
      <c r="C1362" s="103">
        <v>7623</v>
      </c>
      <c r="D1362" s="114">
        <v>3258.5</v>
      </c>
      <c r="E1362" s="97">
        <v>3485</v>
      </c>
      <c r="F1362" s="7">
        <v>1049</v>
      </c>
      <c r="G1362" s="7">
        <v>2436</v>
      </c>
      <c r="H1362" s="98">
        <v>11875</v>
      </c>
      <c r="I1362" s="7">
        <v>10375</v>
      </c>
      <c r="J1362" s="7">
        <v>1500</v>
      </c>
      <c r="K1362" s="99">
        <f t="shared" si="176"/>
        <v>26241.5</v>
      </c>
      <c r="L1362" s="7">
        <v>5000</v>
      </c>
      <c r="M1362" s="7">
        <v>9000</v>
      </c>
      <c r="N1362" s="7">
        <v>1924</v>
      </c>
      <c r="O1362" s="7">
        <v>5250</v>
      </c>
      <c r="P1362" s="7">
        <v>9711.8700000000008</v>
      </c>
      <c r="Q1362" s="7">
        <v>-2678.2</v>
      </c>
      <c r="R1362" s="113">
        <f t="shared" ref="R1362:R1371" si="182">C1362/B1362</f>
        <v>0.70054679961402377</v>
      </c>
      <c r="S1362" s="113">
        <f t="shared" ref="S1362:S1371" si="183">F1362/E1362</f>
        <v>0.30100430416068868</v>
      </c>
      <c r="T1362" s="113">
        <f t="shared" ref="T1362:T1371" si="184">IF(H1362=0,0,I1362/H1362)</f>
        <v>0.87368421052631584</v>
      </c>
      <c r="U1362" s="113">
        <f t="shared" ref="U1362:U1371" si="185">AVERAGE(R1362:T1362)</f>
        <v>0.6250784381003428</v>
      </c>
    </row>
    <row r="1363" spans="1:21" x14ac:dyDescent="0.45">
      <c r="A1363" s="95">
        <v>45923</v>
      </c>
      <c r="B1363" s="96">
        <f t="shared" si="181"/>
        <v>10881.5</v>
      </c>
      <c r="C1363" s="103">
        <v>7623</v>
      </c>
      <c r="D1363" s="114">
        <v>3258.5</v>
      </c>
      <c r="E1363" s="97">
        <v>3485</v>
      </c>
      <c r="F1363" s="7">
        <v>1049</v>
      </c>
      <c r="G1363" s="7">
        <v>2436</v>
      </c>
      <c r="H1363" s="98">
        <v>11875</v>
      </c>
      <c r="I1363" s="7">
        <v>10375</v>
      </c>
      <c r="J1363" s="7">
        <v>1500</v>
      </c>
      <c r="K1363" s="99">
        <f t="shared" si="176"/>
        <v>26241.5</v>
      </c>
      <c r="L1363" s="7">
        <v>5000</v>
      </c>
      <c r="M1363" s="7">
        <v>9000</v>
      </c>
      <c r="N1363" s="7">
        <v>1760</v>
      </c>
      <c r="O1363" s="7">
        <v>5110</v>
      </c>
      <c r="P1363" s="7">
        <v>9711.8700000000008</v>
      </c>
      <c r="Q1363" s="7">
        <v>-493.25</v>
      </c>
      <c r="R1363" s="113">
        <f t="shared" si="182"/>
        <v>0.70054679961402377</v>
      </c>
      <c r="S1363" s="113">
        <f t="shared" si="183"/>
        <v>0.30100430416068868</v>
      </c>
      <c r="T1363" s="113">
        <f t="shared" si="184"/>
        <v>0.87368421052631584</v>
      </c>
      <c r="U1363" s="113">
        <f t="shared" si="185"/>
        <v>0.6250784381003428</v>
      </c>
    </row>
    <row r="1364" spans="1:21" x14ac:dyDescent="0.45">
      <c r="A1364" s="95">
        <v>45924</v>
      </c>
      <c r="B1364" s="96">
        <f t="shared" si="181"/>
        <v>10881.5</v>
      </c>
      <c r="C1364" s="103">
        <v>7623</v>
      </c>
      <c r="D1364" s="114">
        <v>3258.5</v>
      </c>
      <c r="E1364" s="97">
        <v>3485</v>
      </c>
      <c r="F1364" s="7">
        <v>1049</v>
      </c>
      <c r="G1364" s="7">
        <v>2436</v>
      </c>
      <c r="H1364" s="98">
        <v>11875</v>
      </c>
      <c r="I1364" s="7">
        <v>10375</v>
      </c>
      <c r="J1364" s="7">
        <v>1500</v>
      </c>
      <c r="K1364" s="99">
        <f t="shared" si="176"/>
        <v>26241.5</v>
      </c>
      <c r="L1364" s="7">
        <v>5000</v>
      </c>
      <c r="M1364" s="7">
        <v>9000</v>
      </c>
      <c r="N1364" s="7">
        <v>1920</v>
      </c>
      <c r="O1364" s="7">
        <v>5150</v>
      </c>
      <c r="P1364" s="7">
        <v>9711.8700000000008</v>
      </c>
      <c r="Q1364" s="7">
        <v>-1476.73</v>
      </c>
      <c r="R1364" s="113">
        <f t="shared" si="182"/>
        <v>0.70054679961402377</v>
      </c>
      <c r="S1364" s="113">
        <f t="shared" si="183"/>
        <v>0.30100430416068868</v>
      </c>
      <c r="T1364" s="113">
        <f t="shared" si="184"/>
        <v>0.87368421052631584</v>
      </c>
      <c r="U1364" s="113">
        <f t="shared" si="185"/>
        <v>0.6250784381003428</v>
      </c>
    </row>
    <row r="1365" spans="1:21" x14ac:dyDescent="0.45">
      <c r="A1365" s="95">
        <v>45925</v>
      </c>
      <c r="B1365" s="96">
        <f t="shared" si="181"/>
        <v>10981.5</v>
      </c>
      <c r="C1365" s="103">
        <v>7544.9</v>
      </c>
      <c r="D1365" s="114">
        <v>3436.6</v>
      </c>
      <c r="E1365" s="97">
        <f>F1365+G1365</f>
        <v>3485</v>
      </c>
      <c r="F1365" s="7">
        <v>988.6</v>
      </c>
      <c r="G1365" s="7">
        <v>2496.4</v>
      </c>
      <c r="H1365" s="98">
        <f>I1365+J1365</f>
        <v>11875</v>
      </c>
      <c r="I1365" s="7">
        <v>10375</v>
      </c>
      <c r="J1365" s="7">
        <v>1500</v>
      </c>
      <c r="K1365" s="99">
        <f t="shared" si="176"/>
        <v>26341.5</v>
      </c>
      <c r="L1365" s="7">
        <v>5000</v>
      </c>
      <c r="M1365" s="7">
        <v>9000</v>
      </c>
      <c r="N1365" s="7">
        <v>1851</v>
      </c>
      <c r="O1365" s="7">
        <v>5150</v>
      </c>
      <c r="P1365" s="7">
        <v>9711.8700000000008</v>
      </c>
      <c r="Q1365" s="7">
        <v>-1481.89</v>
      </c>
      <c r="R1365" s="113">
        <f t="shared" si="182"/>
        <v>0.68705550243591496</v>
      </c>
      <c r="S1365" s="113">
        <f t="shared" si="183"/>
        <v>0.28367288378766142</v>
      </c>
      <c r="T1365" s="113">
        <f t="shared" si="184"/>
        <v>0.87368421052631584</v>
      </c>
      <c r="U1365" s="113">
        <f t="shared" si="185"/>
        <v>0.61480419891663074</v>
      </c>
    </row>
    <row r="1366" spans="1:21" x14ac:dyDescent="0.45">
      <c r="A1366" s="95">
        <v>45926</v>
      </c>
      <c r="B1366" s="96">
        <f t="shared" si="181"/>
        <v>10981.5</v>
      </c>
      <c r="C1366" s="103">
        <v>7544.9</v>
      </c>
      <c r="D1366" s="114">
        <v>3436.6</v>
      </c>
      <c r="E1366" s="97">
        <f t="shared" ref="E1366:E1372" si="186">F1366+G1366</f>
        <v>3485</v>
      </c>
      <c r="F1366" s="7">
        <v>988.6</v>
      </c>
      <c r="G1366" s="7">
        <v>2496.4</v>
      </c>
      <c r="H1366" s="98">
        <f t="shared" ref="H1366:H1371" si="187">I1366+J1366</f>
        <v>11875</v>
      </c>
      <c r="I1366" s="7">
        <v>10375</v>
      </c>
      <c r="J1366" s="7">
        <v>1500</v>
      </c>
      <c r="K1366" s="99">
        <f t="shared" si="176"/>
        <v>26341.5</v>
      </c>
      <c r="L1366" s="7">
        <v>5000</v>
      </c>
      <c r="M1366" s="7">
        <v>9000</v>
      </c>
      <c r="N1366" s="7">
        <v>1770</v>
      </c>
      <c r="O1366" s="7">
        <v>5100</v>
      </c>
      <c r="P1366" s="7">
        <v>9711.8700000000008</v>
      </c>
      <c r="Q1366" s="7">
        <v>-1291.28</v>
      </c>
      <c r="R1366" s="113">
        <f t="shared" si="182"/>
        <v>0.68705550243591496</v>
      </c>
      <c r="S1366" s="113">
        <f t="shared" si="183"/>
        <v>0.28367288378766142</v>
      </c>
      <c r="T1366" s="113">
        <f t="shared" si="184"/>
        <v>0.87368421052631584</v>
      </c>
      <c r="U1366" s="113">
        <f t="shared" si="185"/>
        <v>0.61480419891663074</v>
      </c>
    </row>
    <row r="1367" spans="1:21" x14ac:dyDescent="0.45">
      <c r="A1367" s="95">
        <v>45927</v>
      </c>
      <c r="B1367" s="96">
        <f t="shared" si="181"/>
        <v>10981.5</v>
      </c>
      <c r="C1367" s="103">
        <v>7544.9</v>
      </c>
      <c r="D1367" s="114">
        <v>3436.6</v>
      </c>
      <c r="E1367" s="97">
        <f t="shared" si="186"/>
        <v>3485</v>
      </c>
      <c r="F1367" s="7">
        <v>988.6</v>
      </c>
      <c r="G1367" s="7">
        <v>2496.4</v>
      </c>
      <c r="H1367" s="98">
        <f t="shared" si="187"/>
        <v>11875</v>
      </c>
      <c r="I1367" s="7">
        <v>10375</v>
      </c>
      <c r="J1367" s="7">
        <v>1500</v>
      </c>
      <c r="K1367" s="99">
        <f t="shared" si="176"/>
        <v>26341.5</v>
      </c>
      <c r="L1367" s="7">
        <v>5000</v>
      </c>
      <c r="M1367" s="7">
        <v>9000</v>
      </c>
      <c r="N1367" s="7">
        <v>1770</v>
      </c>
      <c r="O1367" s="7">
        <v>5100</v>
      </c>
      <c r="P1367" s="7">
        <v>9711.8700000000008</v>
      </c>
      <c r="Q1367" s="7">
        <v>-1291.28</v>
      </c>
      <c r="R1367" s="113">
        <f t="shared" si="182"/>
        <v>0.68705550243591496</v>
      </c>
      <c r="S1367" s="113">
        <f t="shared" si="183"/>
        <v>0.28367288378766142</v>
      </c>
      <c r="T1367" s="113">
        <f t="shared" si="184"/>
        <v>0.87368421052631584</v>
      </c>
      <c r="U1367" s="113">
        <f t="shared" si="185"/>
        <v>0.61480419891663074</v>
      </c>
    </row>
    <row r="1368" spans="1:21" x14ac:dyDescent="0.45">
      <c r="A1368" s="95">
        <v>45928</v>
      </c>
      <c r="B1368" s="96">
        <f t="shared" si="181"/>
        <v>10981.5</v>
      </c>
      <c r="C1368" s="103">
        <v>7544.9</v>
      </c>
      <c r="D1368" s="114">
        <v>3436.6</v>
      </c>
      <c r="E1368" s="97">
        <f t="shared" si="186"/>
        <v>3485</v>
      </c>
      <c r="F1368" s="7">
        <v>988.6</v>
      </c>
      <c r="G1368" s="7">
        <v>2496.4</v>
      </c>
      <c r="H1368" s="98">
        <f t="shared" si="187"/>
        <v>11875</v>
      </c>
      <c r="I1368" s="7">
        <v>10375</v>
      </c>
      <c r="J1368" s="7">
        <v>1500</v>
      </c>
      <c r="K1368" s="99">
        <f t="shared" si="176"/>
        <v>26341.5</v>
      </c>
      <c r="L1368" s="7">
        <v>5000</v>
      </c>
      <c r="M1368" s="7">
        <v>9000</v>
      </c>
      <c r="N1368" s="7">
        <v>1770</v>
      </c>
      <c r="O1368" s="7">
        <v>5100</v>
      </c>
      <c r="P1368" s="7">
        <v>9711.8700000000008</v>
      </c>
      <c r="Q1368" s="7">
        <v>-1291.28</v>
      </c>
      <c r="R1368" s="113">
        <f t="shared" si="182"/>
        <v>0.68705550243591496</v>
      </c>
      <c r="S1368" s="113">
        <f t="shared" si="183"/>
        <v>0.28367288378766142</v>
      </c>
      <c r="T1368" s="113">
        <f t="shared" si="184"/>
        <v>0.87368421052631584</v>
      </c>
      <c r="U1368" s="113">
        <f t="shared" si="185"/>
        <v>0.61480419891663074</v>
      </c>
    </row>
    <row r="1369" spans="1:21" x14ac:dyDescent="0.45">
      <c r="A1369" s="95">
        <v>45929</v>
      </c>
      <c r="B1369" s="96">
        <f t="shared" si="181"/>
        <v>10981.5</v>
      </c>
      <c r="C1369" s="103">
        <v>7544.9</v>
      </c>
      <c r="D1369" s="114">
        <v>3436.6</v>
      </c>
      <c r="E1369" s="97">
        <f t="shared" si="186"/>
        <v>3485</v>
      </c>
      <c r="F1369" s="7">
        <v>988.6</v>
      </c>
      <c r="G1369" s="7">
        <v>2496.4</v>
      </c>
      <c r="H1369" s="98">
        <f t="shared" si="187"/>
        <v>11875</v>
      </c>
      <c r="I1369" s="7">
        <v>10375</v>
      </c>
      <c r="J1369" s="7">
        <v>1500</v>
      </c>
      <c r="K1369" s="99">
        <f t="shared" si="176"/>
        <v>26341.5</v>
      </c>
      <c r="L1369" s="7">
        <v>5000</v>
      </c>
      <c r="M1369" s="7">
        <v>9000</v>
      </c>
      <c r="N1369" s="7">
        <v>1772</v>
      </c>
      <c r="O1369" s="7">
        <v>3350</v>
      </c>
      <c r="P1369" s="7">
        <v>9857.4500000000007</v>
      </c>
      <c r="Q1369" s="7">
        <v>680.87</v>
      </c>
      <c r="R1369" s="113">
        <f t="shared" si="182"/>
        <v>0.68705550243591496</v>
      </c>
      <c r="S1369" s="113">
        <f t="shared" si="183"/>
        <v>0.28367288378766142</v>
      </c>
      <c r="T1369" s="113">
        <f t="shared" si="184"/>
        <v>0.87368421052631584</v>
      </c>
      <c r="U1369" s="113">
        <f t="shared" si="185"/>
        <v>0.61480419891663074</v>
      </c>
    </row>
    <row r="1370" spans="1:21" x14ac:dyDescent="0.45">
      <c r="A1370" s="95">
        <v>45930</v>
      </c>
      <c r="B1370" s="96">
        <f t="shared" si="181"/>
        <v>10981.5</v>
      </c>
      <c r="C1370" s="103">
        <v>7544.9</v>
      </c>
      <c r="D1370" s="114">
        <v>3436.6</v>
      </c>
      <c r="E1370" s="97">
        <f t="shared" si="186"/>
        <v>3485</v>
      </c>
      <c r="F1370" s="7">
        <v>988.6</v>
      </c>
      <c r="G1370" s="7">
        <v>2496.4</v>
      </c>
      <c r="H1370" s="98">
        <f t="shared" si="187"/>
        <v>11875</v>
      </c>
      <c r="I1370" s="7">
        <v>10375</v>
      </c>
      <c r="J1370" s="7">
        <v>1500</v>
      </c>
      <c r="K1370" s="99">
        <f t="shared" si="176"/>
        <v>26341.5</v>
      </c>
      <c r="L1370" s="7">
        <v>5000</v>
      </c>
      <c r="M1370" s="7">
        <v>9000</v>
      </c>
      <c r="N1370" s="7">
        <v>2620</v>
      </c>
      <c r="O1370" s="7">
        <v>4020</v>
      </c>
      <c r="P1370" s="7">
        <v>9857.4500000000007</v>
      </c>
      <c r="Q1370" s="7">
        <v>-1059.56</v>
      </c>
      <c r="R1370" s="113">
        <f t="shared" si="182"/>
        <v>0.68705550243591496</v>
      </c>
      <c r="S1370" s="113">
        <f t="shared" si="183"/>
        <v>0.28367288378766142</v>
      </c>
      <c r="T1370" s="113">
        <f t="shared" si="184"/>
        <v>0.87368421052631584</v>
      </c>
      <c r="U1370" s="113">
        <f t="shared" si="185"/>
        <v>0.61480419891663074</v>
      </c>
    </row>
    <row r="1371" spans="1:21" x14ac:dyDescent="0.45">
      <c r="A1371" s="95">
        <v>45931</v>
      </c>
      <c r="B1371" s="96">
        <f t="shared" si="181"/>
        <v>10981.5</v>
      </c>
      <c r="C1371" s="103">
        <v>7544.9</v>
      </c>
      <c r="D1371" s="114">
        <v>3436.6</v>
      </c>
      <c r="E1371" s="97">
        <f t="shared" si="186"/>
        <v>3485</v>
      </c>
      <c r="F1371" s="7">
        <v>988.6</v>
      </c>
      <c r="G1371" s="7">
        <v>2496.4</v>
      </c>
      <c r="H1371" s="98">
        <f t="shared" si="187"/>
        <v>11875</v>
      </c>
      <c r="I1371" s="7">
        <v>10375</v>
      </c>
      <c r="J1371" s="7">
        <v>1500</v>
      </c>
      <c r="K1371" s="99">
        <f t="shared" si="176"/>
        <v>26341.5</v>
      </c>
      <c r="L1371" s="7">
        <v>5000</v>
      </c>
      <c r="M1371" s="7">
        <v>9000</v>
      </c>
      <c r="N1371" s="7">
        <v>2360</v>
      </c>
      <c r="O1371" s="7">
        <v>3850</v>
      </c>
      <c r="P1371" s="7">
        <v>9857.4500000000007</v>
      </c>
      <c r="Q1371" s="7">
        <v>230.75</v>
      </c>
      <c r="R1371" s="113">
        <f t="shared" si="182"/>
        <v>0.68705550243591496</v>
      </c>
      <c r="S1371" s="113">
        <f t="shared" si="183"/>
        <v>0.28367288378766142</v>
      </c>
      <c r="T1371" s="113">
        <f t="shared" si="184"/>
        <v>0.87368421052631584</v>
      </c>
      <c r="U1371" s="113">
        <f t="shared" si="185"/>
        <v>0.61480419891663074</v>
      </c>
    </row>
    <row r="1372" spans="1:21" x14ac:dyDescent="0.45">
      <c r="A1372" s="95">
        <v>45932</v>
      </c>
      <c r="B1372" s="96">
        <f t="shared" si="181"/>
        <v>10981.5</v>
      </c>
      <c r="C1372" s="103">
        <v>8004.9</v>
      </c>
      <c r="D1372" s="114">
        <v>2976.6</v>
      </c>
      <c r="E1372" s="97">
        <f t="shared" si="186"/>
        <v>3485</v>
      </c>
      <c r="F1372" s="7">
        <v>988.6</v>
      </c>
      <c r="G1372" s="7">
        <v>2496.4</v>
      </c>
      <c r="H1372" s="98">
        <f t="shared" ref="H1372" si="188">I1372+J1372</f>
        <v>11875</v>
      </c>
      <c r="I1372" s="7">
        <v>10375</v>
      </c>
      <c r="J1372" s="7">
        <v>1500</v>
      </c>
      <c r="K1372" s="99">
        <f t="shared" si="176"/>
        <v>26341.5</v>
      </c>
      <c r="L1372" s="7">
        <v>3900</v>
      </c>
      <c r="M1372" s="7">
        <v>8100</v>
      </c>
      <c r="N1372" s="7">
        <v>4400</v>
      </c>
      <c r="O1372" s="7">
        <v>3670</v>
      </c>
      <c r="P1372" s="7">
        <v>9857.4500000000007</v>
      </c>
      <c r="Q1372" s="7">
        <v>45.32</v>
      </c>
      <c r="R1372" s="113">
        <f t="shared" ref="R1372:R1379" si="189">C1372/B1372</f>
        <v>0.72894413331512087</v>
      </c>
      <c r="S1372" s="113">
        <f t="shared" ref="S1372:S1379" si="190">F1372/E1372</f>
        <v>0.28367288378766142</v>
      </c>
      <c r="T1372" s="113">
        <f t="shared" ref="T1372:T1379" si="191">IF(H1372=0,0,I1372/H1372)</f>
        <v>0.87368421052631584</v>
      </c>
      <c r="U1372" s="113">
        <f t="shared" ref="U1372:U1379" si="192">AVERAGE(R1372:T1372)</f>
        <v>0.62876707587636604</v>
      </c>
    </row>
    <row r="1373" spans="1:21" x14ac:dyDescent="0.45">
      <c r="A1373" s="95">
        <v>45933</v>
      </c>
      <c r="B1373" s="96">
        <f t="shared" ref="B1373:B1404" si="193">C1373+D1373</f>
        <v>10981.5</v>
      </c>
      <c r="C1373" s="103">
        <v>8004.9</v>
      </c>
      <c r="D1373" s="114">
        <v>2976.6</v>
      </c>
      <c r="E1373" s="97">
        <f t="shared" ref="E1373:E1378" si="194">F1373+G1373</f>
        <v>3485</v>
      </c>
      <c r="F1373" s="7">
        <v>988.6</v>
      </c>
      <c r="G1373" s="7">
        <v>2496.4</v>
      </c>
      <c r="H1373" s="98">
        <f t="shared" ref="H1373:H1378" si="195">I1373+J1373</f>
        <v>11875</v>
      </c>
      <c r="I1373" s="7">
        <v>10375</v>
      </c>
      <c r="J1373" s="7">
        <v>1500</v>
      </c>
      <c r="K1373" s="99">
        <f t="shared" ref="K1373:K1378" si="196">B1373+E1373+H1373</f>
        <v>26341.5</v>
      </c>
      <c r="L1373" s="7">
        <v>3900</v>
      </c>
      <c r="M1373" s="7">
        <v>8100</v>
      </c>
      <c r="N1373" s="7">
        <v>4020</v>
      </c>
      <c r="O1373" s="7">
        <v>4210</v>
      </c>
      <c r="P1373" s="7">
        <v>9857.4500000000007</v>
      </c>
      <c r="Q1373" s="7">
        <v>-451.07</v>
      </c>
      <c r="R1373" s="113">
        <f t="shared" si="189"/>
        <v>0.72894413331512087</v>
      </c>
      <c r="S1373" s="113">
        <f t="shared" si="190"/>
        <v>0.28367288378766142</v>
      </c>
      <c r="T1373" s="113">
        <f t="shared" si="191"/>
        <v>0.87368421052631584</v>
      </c>
      <c r="U1373" s="113">
        <f t="shared" si="192"/>
        <v>0.62876707587636604</v>
      </c>
    </row>
    <row r="1374" spans="1:21" x14ac:dyDescent="0.45">
      <c r="A1374" s="95">
        <v>45934</v>
      </c>
      <c r="B1374" s="96">
        <f t="shared" si="193"/>
        <v>10981.5</v>
      </c>
      <c r="C1374" s="103">
        <v>8004.9</v>
      </c>
      <c r="D1374" s="114">
        <v>2976.6</v>
      </c>
      <c r="E1374" s="97">
        <f t="shared" si="194"/>
        <v>3485</v>
      </c>
      <c r="F1374" s="7">
        <v>988.6</v>
      </c>
      <c r="G1374" s="7">
        <v>2496.4</v>
      </c>
      <c r="H1374" s="98">
        <f t="shared" si="195"/>
        <v>11875</v>
      </c>
      <c r="I1374" s="7">
        <v>10375</v>
      </c>
      <c r="J1374" s="7">
        <v>1500</v>
      </c>
      <c r="K1374" s="99">
        <f t="shared" si="196"/>
        <v>26341.5</v>
      </c>
      <c r="L1374" s="7">
        <v>3900</v>
      </c>
      <c r="M1374" s="7">
        <v>8100</v>
      </c>
      <c r="N1374" s="7">
        <v>4020</v>
      </c>
      <c r="O1374" s="7">
        <v>4210</v>
      </c>
      <c r="P1374" s="7">
        <v>9857.4500000000007</v>
      </c>
      <c r="Q1374" s="7">
        <v>-451.07</v>
      </c>
      <c r="R1374" s="113">
        <f t="shared" si="189"/>
        <v>0.72894413331512087</v>
      </c>
      <c r="S1374" s="113">
        <f t="shared" si="190"/>
        <v>0.28367288378766142</v>
      </c>
      <c r="T1374" s="113">
        <f t="shared" si="191"/>
        <v>0.87368421052631584</v>
      </c>
      <c r="U1374" s="113">
        <f t="shared" si="192"/>
        <v>0.62876707587636604</v>
      </c>
    </row>
    <row r="1375" spans="1:21" x14ac:dyDescent="0.45">
      <c r="A1375" s="95">
        <v>45935</v>
      </c>
      <c r="B1375" s="96">
        <f t="shared" si="193"/>
        <v>10981.5</v>
      </c>
      <c r="C1375" s="103">
        <v>8004.9</v>
      </c>
      <c r="D1375" s="114">
        <v>2976.6</v>
      </c>
      <c r="E1375" s="97">
        <f t="shared" si="194"/>
        <v>3485</v>
      </c>
      <c r="F1375" s="7">
        <v>988.6</v>
      </c>
      <c r="G1375" s="7">
        <v>2496.4</v>
      </c>
      <c r="H1375" s="98">
        <f t="shared" si="195"/>
        <v>11875</v>
      </c>
      <c r="I1375" s="7">
        <v>10375</v>
      </c>
      <c r="J1375" s="7">
        <v>1500</v>
      </c>
      <c r="K1375" s="99">
        <f t="shared" si="196"/>
        <v>26341.5</v>
      </c>
      <c r="L1375" s="7">
        <v>3900</v>
      </c>
      <c r="M1375" s="7">
        <v>8100</v>
      </c>
      <c r="N1375" s="7">
        <v>4020</v>
      </c>
      <c r="O1375" s="7">
        <v>4210</v>
      </c>
      <c r="P1375" s="7">
        <v>9857.4500000000007</v>
      </c>
      <c r="Q1375" s="7">
        <v>-451.07</v>
      </c>
      <c r="R1375" s="113">
        <f t="shared" si="189"/>
        <v>0.72894413331512087</v>
      </c>
      <c r="S1375" s="113">
        <f t="shared" si="190"/>
        <v>0.28367288378766142</v>
      </c>
      <c r="T1375" s="113">
        <f t="shared" si="191"/>
        <v>0.87368421052631584</v>
      </c>
      <c r="U1375" s="113">
        <f t="shared" si="192"/>
        <v>0.62876707587636604</v>
      </c>
    </row>
    <row r="1376" spans="1:21" x14ac:dyDescent="0.45">
      <c r="A1376" s="95">
        <v>45936</v>
      </c>
      <c r="B1376" s="96">
        <f t="shared" si="193"/>
        <v>10981.5</v>
      </c>
      <c r="C1376" s="103">
        <v>8004.9</v>
      </c>
      <c r="D1376" s="114">
        <v>2976.6</v>
      </c>
      <c r="E1376" s="97">
        <f t="shared" si="194"/>
        <v>3485</v>
      </c>
      <c r="F1376" s="7">
        <v>988.6</v>
      </c>
      <c r="G1376" s="7">
        <v>2496.4</v>
      </c>
      <c r="H1376" s="98">
        <f t="shared" si="195"/>
        <v>11875</v>
      </c>
      <c r="I1376" s="7">
        <v>10375</v>
      </c>
      <c r="J1376" s="7">
        <v>1500</v>
      </c>
      <c r="K1376" s="99">
        <f t="shared" si="196"/>
        <v>26341.5</v>
      </c>
      <c r="L1376" s="7">
        <v>3900</v>
      </c>
      <c r="M1376" s="7">
        <v>8100</v>
      </c>
      <c r="N1376" s="7">
        <v>4630</v>
      </c>
      <c r="O1376" s="7">
        <v>3010</v>
      </c>
      <c r="P1376" s="7">
        <v>9857.4500000000007</v>
      </c>
      <c r="Q1376" s="7">
        <v>-108.5</v>
      </c>
      <c r="R1376" s="113">
        <f t="shared" si="189"/>
        <v>0.72894413331512087</v>
      </c>
      <c r="S1376" s="113">
        <f t="shared" si="190"/>
        <v>0.28367288378766142</v>
      </c>
      <c r="T1376" s="113">
        <f t="shared" si="191"/>
        <v>0.87368421052631584</v>
      </c>
      <c r="U1376" s="113">
        <f t="shared" si="192"/>
        <v>0.62876707587636604</v>
      </c>
    </row>
    <row r="1377" spans="1:21" x14ac:dyDescent="0.45">
      <c r="A1377" s="95">
        <v>45937</v>
      </c>
      <c r="B1377" s="96">
        <f t="shared" si="193"/>
        <v>10981.5</v>
      </c>
      <c r="C1377" s="103">
        <v>8004.9</v>
      </c>
      <c r="D1377" s="114">
        <v>2976.6</v>
      </c>
      <c r="E1377" s="97">
        <f t="shared" si="194"/>
        <v>3485</v>
      </c>
      <c r="F1377" s="7">
        <v>988.6</v>
      </c>
      <c r="G1377" s="7">
        <v>2496.4</v>
      </c>
      <c r="H1377" s="98">
        <f t="shared" si="195"/>
        <v>11875</v>
      </c>
      <c r="I1377" s="7">
        <v>10375</v>
      </c>
      <c r="J1377" s="7">
        <v>1500</v>
      </c>
      <c r="K1377" s="99">
        <f t="shared" si="196"/>
        <v>26341.5</v>
      </c>
      <c r="L1377" s="7">
        <v>3900</v>
      </c>
      <c r="M1377" s="7">
        <v>8100</v>
      </c>
      <c r="N1377" s="7">
        <v>3945</v>
      </c>
      <c r="O1377" s="7">
        <v>3010</v>
      </c>
      <c r="P1377" s="7">
        <v>9857.4500000000007</v>
      </c>
      <c r="Q1377" s="7">
        <v>612.34</v>
      </c>
      <c r="R1377" s="113">
        <f t="shared" si="189"/>
        <v>0.72894413331512087</v>
      </c>
      <c r="S1377" s="113">
        <f t="shared" si="190"/>
        <v>0.28367288378766142</v>
      </c>
      <c r="T1377" s="113">
        <f t="shared" si="191"/>
        <v>0.87368421052631584</v>
      </c>
      <c r="U1377" s="113">
        <f t="shared" si="192"/>
        <v>0.62876707587636604</v>
      </c>
    </row>
    <row r="1378" spans="1:21" x14ac:dyDescent="0.45">
      <c r="A1378" s="95">
        <v>45938</v>
      </c>
      <c r="B1378" s="96">
        <f t="shared" si="193"/>
        <v>10981.5</v>
      </c>
      <c r="C1378" s="103">
        <v>8004.9</v>
      </c>
      <c r="D1378" s="114">
        <v>2976.6</v>
      </c>
      <c r="E1378" s="97">
        <f t="shared" si="194"/>
        <v>3485</v>
      </c>
      <c r="F1378" s="7">
        <v>988.6</v>
      </c>
      <c r="G1378" s="7">
        <v>2496.4</v>
      </c>
      <c r="H1378" s="98">
        <f t="shared" si="195"/>
        <v>11875</v>
      </c>
      <c r="I1378" s="7">
        <v>10375</v>
      </c>
      <c r="J1378" s="7">
        <v>1500</v>
      </c>
      <c r="K1378" s="99">
        <f t="shared" si="196"/>
        <v>26341.5</v>
      </c>
      <c r="L1378" s="7">
        <v>3900</v>
      </c>
      <c r="M1378" s="7">
        <v>8100</v>
      </c>
      <c r="N1378" s="7">
        <v>3575</v>
      </c>
      <c r="O1378" s="7">
        <v>3500</v>
      </c>
      <c r="P1378" s="7">
        <v>9857.4500000000007</v>
      </c>
      <c r="Q1378" s="7">
        <v>1125.05</v>
      </c>
      <c r="R1378" s="113">
        <f t="shared" si="189"/>
        <v>0.72894413331512087</v>
      </c>
      <c r="S1378" s="113">
        <f t="shared" si="190"/>
        <v>0.28367288378766142</v>
      </c>
      <c r="T1378" s="113">
        <f t="shared" si="191"/>
        <v>0.87368421052631584</v>
      </c>
      <c r="U1378" s="113">
        <f t="shared" si="192"/>
        <v>0.62876707587636604</v>
      </c>
    </row>
    <row r="1379" spans="1:21" x14ac:dyDescent="0.45">
      <c r="A1379" s="95">
        <v>45939</v>
      </c>
      <c r="B1379" s="96">
        <f t="shared" si="193"/>
        <v>10961.5</v>
      </c>
      <c r="C1379" s="103">
        <v>7964.9</v>
      </c>
      <c r="D1379" s="114">
        <v>2996.6</v>
      </c>
      <c r="E1379" s="97">
        <f t="shared" ref="E1379:E1404" si="197">F1379+G1379</f>
        <v>3485</v>
      </c>
      <c r="F1379" s="7">
        <v>988.6</v>
      </c>
      <c r="G1379" s="7">
        <v>2496.4</v>
      </c>
      <c r="H1379" s="98">
        <f t="shared" ref="H1379:H1398" si="198">I1379+J1379</f>
        <v>11875</v>
      </c>
      <c r="I1379" s="7">
        <v>10375</v>
      </c>
      <c r="J1379" s="7">
        <v>1500</v>
      </c>
      <c r="K1379" s="99">
        <f t="shared" ref="K1379:K1398" si="199">B1379+E1379+H1379</f>
        <v>26321.5</v>
      </c>
      <c r="L1379" s="7">
        <v>4000</v>
      </c>
      <c r="M1379" s="7">
        <v>8000</v>
      </c>
      <c r="N1379" s="7">
        <v>1916</v>
      </c>
      <c r="O1379" s="7">
        <v>5610</v>
      </c>
      <c r="P1379" s="7">
        <v>9857.4500000000007</v>
      </c>
      <c r="Q1379" s="7">
        <v>416.25</v>
      </c>
      <c r="R1379" s="113">
        <f t="shared" si="189"/>
        <v>0.72662500570177435</v>
      </c>
      <c r="S1379" s="113">
        <f t="shared" si="190"/>
        <v>0.28367288378766142</v>
      </c>
      <c r="T1379" s="113">
        <f t="shared" si="191"/>
        <v>0.87368421052631584</v>
      </c>
      <c r="U1379" s="113">
        <f t="shared" si="192"/>
        <v>0.62799403333858395</v>
      </c>
    </row>
    <row r="1380" spans="1:21" x14ac:dyDescent="0.45">
      <c r="A1380" s="95">
        <v>45940</v>
      </c>
      <c r="B1380" s="96">
        <f t="shared" si="193"/>
        <v>10961.5</v>
      </c>
      <c r="C1380" s="103">
        <v>7964.9</v>
      </c>
      <c r="D1380" s="114">
        <v>2996.6</v>
      </c>
      <c r="E1380" s="97">
        <f t="shared" si="197"/>
        <v>3485</v>
      </c>
      <c r="F1380" s="7">
        <v>988.6</v>
      </c>
      <c r="G1380" s="7">
        <v>2496.4</v>
      </c>
      <c r="H1380" s="98">
        <f t="shared" si="198"/>
        <v>11875</v>
      </c>
      <c r="I1380" s="7">
        <v>10375</v>
      </c>
      <c r="J1380" s="7">
        <v>1500</v>
      </c>
      <c r="K1380" s="99">
        <f t="shared" si="199"/>
        <v>26321.5</v>
      </c>
      <c r="L1380" s="7">
        <v>4000</v>
      </c>
      <c r="M1380" s="7">
        <v>8000</v>
      </c>
      <c r="N1380" s="7">
        <v>3120</v>
      </c>
      <c r="O1380" s="7">
        <v>5110</v>
      </c>
      <c r="P1380" s="7">
        <v>9857.4500000000007</v>
      </c>
      <c r="Q1380" s="7">
        <v>37.46</v>
      </c>
      <c r="R1380" s="113">
        <f t="shared" ref="R1380:R1392" si="200">C1380/B1380</f>
        <v>0.72662500570177435</v>
      </c>
      <c r="S1380" s="113">
        <f t="shared" ref="S1380:S1392" si="201">F1380/E1380</f>
        <v>0.28367288378766142</v>
      </c>
      <c r="T1380" s="113">
        <f t="shared" ref="T1380:T1392" si="202">IF(H1380=0,0,I1380/H1380)</f>
        <v>0.87368421052631584</v>
      </c>
      <c r="U1380" s="113">
        <f t="shared" ref="U1380:U1392" si="203">AVERAGE(R1380:T1380)</f>
        <v>0.62799403333858395</v>
      </c>
    </row>
    <row r="1381" spans="1:21" x14ac:dyDescent="0.45">
      <c r="A1381" s="95">
        <v>45941</v>
      </c>
      <c r="B1381" s="96">
        <f t="shared" si="193"/>
        <v>10961.5</v>
      </c>
      <c r="C1381" s="103">
        <v>7964.9</v>
      </c>
      <c r="D1381" s="114">
        <v>2996.6</v>
      </c>
      <c r="E1381" s="97">
        <f t="shared" si="197"/>
        <v>3485</v>
      </c>
      <c r="F1381" s="7">
        <v>988.6</v>
      </c>
      <c r="G1381" s="7">
        <v>2496.4</v>
      </c>
      <c r="H1381" s="98">
        <f t="shared" si="198"/>
        <v>11875</v>
      </c>
      <c r="I1381" s="7">
        <v>10375</v>
      </c>
      <c r="J1381" s="7">
        <v>1500</v>
      </c>
      <c r="K1381" s="99">
        <f t="shared" si="199"/>
        <v>26321.5</v>
      </c>
      <c r="L1381" s="7">
        <v>4000</v>
      </c>
      <c r="M1381" s="7">
        <v>8000</v>
      </c>
      <c r="N1381" s="7">
        <v>3120</v>
      </c>
      <c r="O1381" s="7">
        <v>5110</v>
      </c>
      <c r="P1381" s="7">
        <v>9857.4500000000007</v>
      </c>
      <c r="Q1381" s="7">
        <v>37.46</v>
      </c>
      <c r="R1381" s="113">
        <f t="shared" si="200"/>
        <v>0.72662500570177435</v>
      </c>
      <c r="S1381" s="113">
        <f t="shared" si="201"/>
        <v>0.28367288378766142</v>
      </c>
      <c r="T1381" s="113">
        <f t="shared" si="202"/>
        <v>0.87368421052631584</v>
      </c>
      <c r="U1381" s="113">
        <f t="shared" si="203"/>
        <v>0.62799403333858395</v>
      </c>
    </row>
    <row r="1382" spans="1:21" x14ac:dyDescent="0.45">
      <c r="A1382" s="95">
        <v>45942</v>
      </c>
      <c r="B1382" s="96">
        <f t="shared" si="193"/>
        <v>10961.5</v>
      </c>
      <c r="C1382" s="103">
        <v>7964.9</v>
      </c>
      <c r="D1382" s="114">
        <v>2996.6</v>
      </c>
      <c r="E1382" s="97">
        <f t="shared" si="197"/>
        <v>3485</v>
      </c>
      <c r="F1382" s="7">
        <v>988.6</v>
      </c>
      <c r="G1382" s="7">
        <v>2496.4</v>
      </c>
      <c r="H1382" s="98">
        <f t="shared" si="198"/>
        <v>11875</v>
      </c>
      <c r="I1382" s="7">
        <v>10375</v>
      </c>
      <c r="J1382" s="7">
        <v>1500</v>
      </c>
      <c r="K1382" s="99">
        <f t="shared" si="199"/>
        <v>26321.5</v>
      </c>
      <c r="L1382" s="7">
        <v>4000</v>
      </c>
      <c r="M1382" s="7">
        <v>8000</v>
      </c>
      <c r="N1382" s="7">
        <v>3120</v>
      </c>
      <c r="O1382" s="7">
        <v>5110</v>
      </c>
      <c r="P1382" s="7">
        <v>9857.4500000000007</v>
      </c>
      <c r="Q1382" s="7">
        <v>37.46</v>
      </c>
      <c r="R1382" s="113">
        <f t="shared" si="200"/>
        <v>0.72662500570177435</v>
      </c>
      <c r="S1382" s="113">
        <f t="shared" si="201"/>
        <v>0.28367288378766142</v>
      </c>
      <c r="T1382" s="113">
        <f t="shared" si="202"/>
        <v>0.87368421052631584</v>
      </c>
      <c r="U1382" s="113">
        <f t="shared" si="203"/>
        <v>0.62799403333858395</v>
      </c>
    </row>
    <row r="1383" spans="1:21" x14ac:dyDescent="0.45">
      <c r="A1383" s="95">
        <v>45943</v>
      </c>
      <c r="B1383" s="96">
        <f t="shared" si="193"/>
        <v>10961.5</v>
      </c>
      <c r="C1383" s="103">
        <v>7964.9</v>
      </c>
      <c r="D1383" s="114">
        <v>2996.6</v>
      </c>
      <c r="E1383" s="97">
        <f t="shared" si="197"/>
        <v>3485</v>
      </c>
      <c r="F1383" s="7">
        <v>988.6</v>
      </c>
      <c r="G1383" s="7">
        <v>2496.4</v>
      </c>
      <c r="H1383" s="98">
        <f t="shared" si="198"/>
        <v>11875</v>
      </c>
      <c r="I1383" s="7">
        <v>10375</v>
      </c>
      <c r="J1383" s="7">
        <v>1500</v>
      </c>
      <c r="K1383" s="99">
        <f t="shared" si="199"/>
        <v>26321.5</v>
      </c>
      <c r="L1383" s="7">
        <v>4000</v>
      </c>
      <c r="M1383" s="7">
        <v>8000</v>
      </c>
      <c r="N1383" s="7">
        <v>3840</v>
      </c>
      <c r="O1383" s="7">
        <v>4810</v>
      </c>
      <c r="P1383" s="7">
        <v>9857.4500000000007</v>
      </c>
      <c r="Q1383" s="7">
        <v>-348.27</v>
      </c>
      <c r="R1383" s="113">
        <f t="shared" si="200"/>
        <v>0.72662500570177435</v>
      </c>
      <c r="S1383" s="113">
        <f t="shared" si="201"/>
        <v>0.28367288378766142</v>
      </c>
      <c r="T1383" s="113">
        <f t="shared" si="202"/>
        <v>0.87368421052631584</v>
      </c>
      <c r="U1383" s="113">
        <f t="shared" si="203"/>
        <v>0.62799403333858395</v>
      </c>
    </row>
    <row r="1384" spans="1:21" x14ac:dyDescent="0.45">
      <c r="A1384" s="95">
        <v>45944</v>
      </c>
      <c r="B1384" s="96">
        <f t="shared" si="193"/>
        <v>10961.5</v>
      </c>
      <c r="C1384" s="103">
        <v>7964.9</v>
      </c>
      <c r="D1384" s="114">
        <v>2996.6</v>
      </c>
      <c r="E1384" s="97">
        <f t="shared" si="197"/>
        <v>3485</v>
      </c>
      <c r="F1384" s="7">
        <v>988.6</v>
      </c>
      <c r="G1384" s="7">
        <v>2496.4</v>
      </c>
      <c r="H1384" s="98">
        <f t="shared" si="198"/>
        <v>11875</v>
      </c>
      <c r="I1384" s="7">
        <v>10375</v>
      </c>
      <c r="J1384" s="7">
        <v>1500</v>
      </c>
      <c r="K1384" s="99">
        <f t="shared" si="199"/>
        <v>26321.5</v>
      </c>
      <c r="L1384" s="7">
        <v>4000</v>
      </c>
      <c r="M1384" s="7">
        <v>8000</v>
      </c>
      <c r="N1384" s="7">
        <v>3670</v>
      </c>
      <c r="O1384" s="7">
        <v>4450</v>
      </c>
      <c r="P1384" s="7">
        <v>9857.4500000000007</v>
      </c>
      <c r="Q1384" s="7">
        <v>443</v>
      </c>
      <c r="R1384" s="113">
        <f t="shared" si="200"/>
        <v>0.72662500570177435</v>
      </c>
      <c r="S1384" s="113">
        <f t="shared" si="201"/>
        <v>0.28367288378766142</v>
      </c>
      <c r="T1384" s="113">
        <f t="shared" si="202"/>
        <v>0.87368421052631584</v>
      </c>
      <c r="U1384" s="113">
        <f t="shared" si="203"/>
        <v>0.62799403333858395</v>
      </c>
    </row>
    <row r="1385" spans="1:21" x14ac:dyDescent="0.45">
      <c r="A1385" s="95">
        <v>45945</v>
      </c>
      <c r="B1385" s="96">
        <f t="shared" si="193"/>
        <v>10961.5</v>
      </c>
      <c r="C1385" s="103">
        <v>7964.9</v>
      </c>
      <c r="D1385" s="114">
        <v>2996.6</v>
      </c>
      <c r="E1385" s="97">
        <f t="shared" si="197"/>
        <v>3485</v>
      </c>
      <c r="F1385" s="7">
        <v>988.6</v>
      </c>
      <c r="G1385" s="7">
        <v>2496.4</v>
      </c>
      <c r="H1385" s="98">
        <f t="shared" si="198"/>
        <v>11875</v>
      </c>
      <c r="I1385" s="7">
        <v>10375</v>
      </c>
      <c r="J1385" s="7">
        <v>1500</v>
      </c>
      <c r="K1385" s="99">
        <f t="shared" si="199"/>
        <v>26321.5</v>
      </c>
      <c r="L1385" s="7">
        <v>4000</v>
      </c>
      <c r="M1385" s="7">
        <v>8000</v>
      </c>
      <c r="N1385" s="7">
        <v>3450</v>
      </c>
      <c r="O1385" s="7">
        <v>5100</v>
      </c>
      <c r="P1385" s="7">
        <v>9857.4500000000007</v>
      </c>
      <c r="Q1385" s="7">
        <v>192.71</v>
      </c>
      <c r="R1385" s="113">
        <f t="shared" si="200"/>
        <v>0.72662500570177435</v>
      </c>
      <c r="S1385" s="113">
        <f t="shared" si="201"/>
        <v>0.28367288378766142</v>
      </c>
      <c r="T1385" s="113">
        <f t="shared" si="202"/>
        <v>0.87368421052631584</v>
      </c>
      <c r="U1385" s="113">
        <f t="shared" si="203"/>
        <v>0.62799403333858395</v>
      </c>
    </row>
    <row r="1386" spans="1:21" x14ac:dyDescent="0.45">
      <c r="A1386" s="95">
        <v>45946</v>
      </c>
      <c r="B1386" s="96">
        <f t="shared" si="193"/>
        <v>10961.5</v>
      </c>
      <c r="C1386" s="103">
        <v>8156.9</v>
      </c>
      <c r="D1386" s="114">
        <v>2804.6</v>
      </c>
      <c r="E1386" s="97">
        <f t="shared" si="197"/>
        <v>3485</v>
      </c>
      <c r="F1386" s="7">
        <v>988.6</v>
      </c>
      <c r="G1386" s="7">
        <v>2496.4</v>
      </c>
      <c r="H1386" s="98">
        <f t="shared" si="198"/>
        <v>11875</v>
      </c>
      <c r="I1386" s="7">
        <v>10375</v>
      </c>
      <c r="J1386" s="7">
        <v>1500</v>
      </c>
      <c r="K1386" s="99">
        <f t="shared" si="199"/>
        <v>26321.5</v>
      </c>
      <c r="L1386" s="7">
        <v>4000</v>
      </c>
      <c r="M1386" s="7">
        <v>8000</v>
      </c>
      <c r="N1386" s="7">
        <v>4251</v>
      </c>
      <c r="O1386" s="7">
        <v>4510</v>
      </c>
      <c r="P1386" s="7">
        <v>9857.4500000000007</v>
      </c>
      <c r="Q1386" s="7">
        <v>-273.8</v>
      </c>
      <c r="R1386" s="113">
        <f t="shared" si="200"/>
        <v>0.74414085663458462</v>
      </c>
      <c r="S1386" s="113">
        <f t="shared" si="201"/>
        <v>0.28367288378766142</v>
      </c>
      <c r="T1386" s="113">
        <f t="shared" si="202"/>
        <v>0.87368421052631584</v>
      </c>
      <c r="U1386" s="113">
        <f t="shared" si="203"/>
        <v>0.6338326503161873</v>
      </c>
    </row>
    <row r="1387" spans="1:21" x14ac:dyDescent="0.45">
      <c r="A1387" s="95">
        <v>45947</v>
      </c>
      <c r="B1387" s="96">
        <f t="shared" si="193"/>
        <v>10961.5</v>
      </c>
      <c r="C1387" s="103">
        <v>8156.9</v>
      </c>
      <c r="D1387" s="114">
        <v>2804.6</v>
      </c>
      <c r="E1387" s="97">
        <f t="shared" si="197"/>
        <v>3485</v>
      </c>
      <c r="F1387" s="7">
        <v>988.6</v>
      </c>
      <c r="G1387" s="7">
        <v>2496.4</v>
      </c>
      <c r="H1387" s="98">
        <f t="shared" si="198"/>
        <v>11875</v>
      </c>
      <c r="I1387" s="7">
        <v>10375</v>
      </c>
      <c r="J1387" s="7">
        <v>1500</v>
      </c>
      <c r="K1387" s="99">
        <f t="shared" si="199"/>
        <v>26321.5</v>
      </c>
      <c r="L1387" s="7">
        <v>4000</v>
      </c>
      <c r="M1387" s="7">
        <v>8000</v>
      </c>
      <c r="N1387" s="7">
        <v>3300</v>
      </c>
      <c r="O1387" s="7">
        <v>4510</v>
      </c>
      <c r="P1387" s="7">
        <v>9857.4500000000007</v>
      </c>
      <c r="Q1387" s="7">
        <v>480.79</v>
      </c>
      <c r="R1387" s="113">
        <f t="shared" si="200"/>
        <v>0.74414085663458462</v>
      </c>
      <c r="S1387" s="113">
        <f t="shared" si="201"/>
        <v>0.28367288378766142</v>
      </c>
      <c r="T1387" s="113">
        <f t="shared" si="202"/>
        <v>0.87368421052631584</v>
      </c>
      <c r="U1387" s="113">
        <f t="shared" si="203"/>
        <v>0.6338326503161873</v>
      </c>
    </row>
    <row r="1388" spans="1:21" x14ac:dyDescent="0.45">
      <c r="A1388" s="95">
        <v>45948</v>
      </c>
      <c r="B1388" s="96">
        <f t="shared" si="193"/>
        <v>10961.5</v>
      </c>
      <c r="C1388" s="103">
        <v>8156.9</v>
      </c>
      <c r="D1388" s="114">
        <v>2804.6</v>
      </c>
      <c r="E1388" s="97">
        <f t="shared" si="197"/>
        <v>3485</v>
      </c>
      <c r="F1388" s="7">
        <v>988.6</v>
      </c>
      <c r="G1388" s="7">
        <v>2496.4</v>
      </c>
      <c r="H1388" s="98">
        <f t="shared" si="198"/>
        <v>11875</v>
      </c>
      <c r="I1388" s="7">
        <v>10375</v>
      </c>
      <c r="J1388" s="7">
        <v>1500</v>
      </c>
      <c r="K1388" s="99">
        <f t="shared" si="199"/>
        <v>26321.5</v>
      </c>
      <c r="L1388" s="7">
        <v>4000</v>
      </c>
      <c r="M1388" s="7">
        <v>8000</v>
      </c>
      <c r="N1388" s="7">
        <v>3300</v>
      </c>
      <c r="O1388" s="7">
        <v>4510</v>
      </c>
      <c r="P1388" s="7">
        <v>9857.4500000000007</v>
      </c>
      <c r="Q1388" s="7">
        <v>480.79</v>
      </c>
      <c r="R1388" s="113">
        <f t="shared" si="200"/>
        <v>0.74414085663458462</v>
      </c>
      <c r="S1388" s="113">
        <f t="shared" si="201"/>
        <v>0.28367288378766142</v>
      </c>
      <c r="T1388" s="113">
        <f t="shared" si="202"/>
        <v>0.87368421052631584</v>
      </c>
      <c r="U1388" s="113">
        <f t="shared" si="203"/>
        <v>0.6338326503161873</v>
      </c>
    </row>
    <row r="1389" spans="1:21" x14ac:dyDescent="0.45">
      <c r="A1389" s="95">
        <v>45949</v>
      </c>
      <c r="B1389" s="96">
        <f t="shared" si="193"/>
        <v>10961.5</v>
      </c>
      <c r="C1389" s="103">
        <v>8156.9</v>
      </c>
      <c r="D1389" s="114">
        <v>2804.6</v>
      </c>
      <c r="E1389" s="97">
        <f t="shared" si="197"/>
        <v>3485</v>
      </c>
      <c r="F1389" s="7">
        <v>988.6</v>
      </c>
      <c r="G1389" s="7">
        <v>2496.4</v>
      </c>
      <c r="H1389" s="98">
        <f t="shared" si="198"/>
        <v>11875</v>
      </c>
      <c r="I1389" s="7">
        <v>10375</v>
      </c>
      <c r="J1389" s="7">
        <v>1500</v>
      </c>
      <c r="K1389" s="99">
        <f t="shared" si="199"/>
        <v>26321.5</v>
      </c>
      <c r="L1389" s="7">
        <v>4000</v>
      </c>
      <c r="M1389" s="7">
        <v>8000</v>
      </c>
      <c r="N1389" s="7">
        <v>3300</v>
      </c>
      <c r="O1389" s="7">
        <v>4510</v>
      </c>
      <c r="P1389" s="7">
        <v>9857.4500000000007</v>
      </c>
      <c r="Q1389" s="7">
        <v>480.79</v>
      </c>
      <c r="R1389" s="113">
        <f t="shared" si="200"/>
        <v>0.74414085663458462</v>
      </c>
      <c r="S1389" s="113">
        <f t="shared" si="201"/>
        <v>0.28367288378766142</v>
      </c>
      <c r="T1389" s="113">
        <f t="shared" si="202"/>
        <v>0.87368421052631584</v>
      </c>
      <c r="U1389" s="113">
        <f t="shared" si="203"/>
        <v>0.6338326503161873</v>
      </c>
    </row>
    <row r="1390" spans="1:21" x14ac:dyDescent="0.45">
      <c r="A1390" s="95">
        <v>45950</v>
      </c>
      <c r="B1390" s="96">
        <f t="shared" si="193"/>
        <v>10961.5</v>
      </c>
      <c r="C1390" s="103">
        <v>8156.9</v>
      </c>
      <c r="D1390" s="114">
        <v>2804.6</v>
      </c>
      <c r="E1390" s="97">
        <f t="shared" si="197"/>
        <v>3485</v>
      </c>
      <c r="F1390" s="7">
        <v>988.6</v>
      </c>
      <c r="G1390" s="7">
        <v>2496.4</v>
      </c>
      <c r="H1390" s="98">
        <f t="shared" si="198"/>
        <v>11875</v>
      </c>
      <c r="I1390" s="7">
        <v>10375</v>
      </c>
      <c r="J1390" s="7">
        <v>1500</v>
      </c>
      <c r="K1390" s="99">
        <f t="shared" si="199"/>
        <v>26321.5</v>
      </c>
      <c r="L1390" s="7">
        <v>4000</v>
      </c>
      <c r="M1390" s="7">
        <v>8000</v>
      </c>
      <c r="N1390" s="7">
        <v>3120</v>
      </c>
      <c r="O1390" s="7">
        <v>4510</v>
      </c>
      <c r="P1390" s="7">
        <v>9857.4500000000007</v>
      </c>
      <c r="Q1390" s="7">
        <v>456.67</v>
      </c>
      <c r="R1390" s="113">
        <f t="shared" si="200"/>
        <v>0.74414085663458462</v>
      </c>
      <c r="S1390" s="113">
        <f t="shared" si="201"/>
        <v>0.28367288378766142</v>
      </c>
      <c r="T1390" s="113">
        <f t="shared" si="202"/>
        <v>0.87368421052631584</v>
      </c>
      <c r="U1390" s="113">
        <f t="shared" si="203"/>
        <v>0.6338326503161873</v>
      </c>
    </row>
    <row r="1391" spans="1:21" x14ac:dyDescent="0.45">
      <c r="A1391" s="95">
        <v>45951</v>
      </c>
      <c r="B1391" s="96">
        <f t="shared" si="193"/>
        <v>10961.5</v>
      </c>
      <c r="C1391" s="103">
        <v>8156.9</v>
      </c>
      <c r="D1391" s="114">
        <v>2804.6</v>
      </c>
      <c r="E1391" s="97">
        <f t="shared" si="197"/>
        <v>3485</v>
      </c>
      <c r="F1391" s="7">
        <v>988.6</v>
      </c>
      <c r="G1391" s="7">
        <v>2496.4</v>
      </c>
      <c r="H1391" s="98">
        <f t="shared" si="198"/>
        <v>11875</v>
      </c>
      <c r="I1391" s="7">
        <v>10375</v>
      </c>
      <c r="J1391" s="7">
        <v>1500</v>
      </c>
      <c r="K1391" s="99">
        <f t="shared" si="199"/>
        <v>26321.5</v>
      </c>
      <c r="L1391" s="7">
        <v>4000</v>
      </c>
      <c r="M1391" s="7">
        <v>8000</v>
      </c>
      <c r="N1391" s="7">
        <v>3651</v>
      </c>
      <c r="O1391" s="7">
        <v>4110</v>
      </c>
      <c r="P1391" s="7">
        <v>9857.4500000000007</v>
      </c>
      <c r="Q1391" s="7">
        <v>476.06</v>
      </c>
      <c r="R1391" s="113">
        <f t="shared" si="200"/>
        <v>0.74414085663458462</v>
      </c>
      <c r="S1391" s="113">
        <f t="shared" si="201"/>
        <v>0.28367288378766142</v>
      </c>
      <c r="T1391" s="113">
        <f t="shared" si="202"/>
        <v>0.87368421052631584</v>
      </c>
      <c r="U1391" s="113">
        <f t="shared" si="203"/>
        <v>0.6338326503161873</v>
      </c>
    </row>
    <row r="1392" spans="1:21" x14ac:dyDescent="0.45">
      <c r="A1392" s="95">
        <v>45952</v>
      </c>
      <c r="B1392" s="96">
        <f t="shared" si="193"/>
        <v>10961.5</v>
      </c>
      <c r="C1392" s="103">
        <v>8156.9</v>
      </c>
      <c r="D1392" s="114">
        <v>2804.6</v>
      </c>
      <c r="E1392" s="97">
        <f t="shared" si="197"/>
        <v>3485</v>
      </c>
      <c r="F1392" s="7">
        <v>988.6</v>
      </c>
      <c r="G1392" s="7">
        <v>2496.4</v>
      </c>
      <c r="H1392" s="98">
        <f t="shared" si="198"/>
        <v>11875</v>
      </c>
      <c r="I1392" s="7">
        <v>10375</v>
      </c>
      <c r="J1392" s="7">
        <v>1500</v>
      </c>
      <c r="K1392" s="99">
        <f t="shared" si="199"/>
        <v>26321.5</v>
      </c>
      <c r="L1392" s="7">
        <v>4000</v>
      </c>
      <c r="M1392" s="7">
        <v>8000</v>
      </c>
      <c r="N1392" s="7">
        <v>4032</v>
      </c>
      <c r="O1392" s="7">
        <v>4410</v>
      </c>
      <c r="P1392" s="7">
        <v>9857.4500000000007</v>
      </c>
      <c r="Q1392" s="7">
        <v>-151.72999999999999</v>
      </c>
      <c r="R1392" s="113">
        <f t="shared" si="200"/>
        <v>0.74414085663458462</v>
      </c>
      <c r="S1392" s="113">
        <f t="shared" si="201"/>
        <v>0.28367288378766142</v>
      </c>
      <c r="T1392" s="113">
        <f t="shared" si="202"/>
        <v>0.87368421052631584</v>
      </c>
      <c r="U1392" s="113">
        <f t="shared" si="203"/>
        <v>0.6338326503161873</v>
      </c>
    </row>
    <row r="1393" spans="1:22" x14ac:dyDescent="0.45">
      <c r="A1393" s="95">
        <v>45953</v>
      </c>
      <c r="B1393" s="96">
        <f t="shared" si="193"/>
        <v>10961.5</v>
      </c>
      <c r="C1393" s="103">
        <v>8225</v>
      </c>
      <c r="D1393" s="114">
        <v>2736.5</v>
      </c>
      <c r="E1393" s="97">
        <f t="shared" si="197"/>
        <v>3485</v>
      </c>
      <c r="F1393" s="7">
        <v>988.6</v>
      </c>
      <c r="G1393" s="7">
        <v>2496.4</v>
      </c>
      <c r="H1393" s="98">
        <f t="shared" si="198"/>
        <v>11875</v>
      </c>
      <c r="I1393" s="7">
        <v>10375</v>
      </c>
      <c r="J1393" s="7">
        <v>1500</v>
      </c>
      <c r="K1393" s="99">
        <f t="shared" si="199"/>
        <v>26321.5</v>
      </c>
      <c r="L1393" s="7">
        <v>4530</v>
      </c>
      <c r="M1393" s="7">
        <v>9470</v>
      </c>
      <c r="N1393" s="7">
        <v>2340</v>
      </c>
      <c r="O1393" s="7">
        <v>3500</v>
      </c>
      <c r="P1393" s="7">
        <v>9857.4500000000007</v>
      </c>
      <c r="Q1393" s="7">
        <v>2122.4481088743623</v>
      </c>
      <c r="R1393" s="113">
        <f t="shared" ref="R1393:R1396" si="204">C1393/B1393</f>
        <v>0.75035351001231587</v>
      </c>
      <c r="S1393" s="113">
        <f t="shared" ref="S1393:S1396" si="205">F1393/E1393</f>
        <v>0.28367288378766142</v>
      </c>
      <c r="T1393" s="113">
        <f t="shared" ref="T1393:T1396" si="206">IF(H1393=0,0,I1393/H1393)</f>
        <v>0.87368421052631584</v>
      </c>
      <c r="U1393" s="113">
        <f t="shared" ref="U1393:U1396" si="207">AVERAGE(R1393:T1393)</f>
        <v>0.63590353477543105</v>
      </c>
    </row>
    <row r="1394" spans="1:22" x14ac:dyDescent="0.45">
      <c r="A1394" s="95">
        <v>45954</v>
      </c>
      <c r="B1394" s="96">
        <f t="shared" si="193"/>
        <v>10961.5</v>
      </c>
      <c r="C1394" s="103">
        <v>8225</v>
      </c>
      <c r="D1394" s="114">
        <v>2736.5</v>
      </c>
      <c r="E1394" s="97">
        <f t="shared" si="197"/>
        <v>3485</v>
      </c>
      <c r="F1394" s="7">
        <v>988.6</v>
      </c>
      <c r="G1394" s="7">
        <v>2496.4</v>
      </c>
      <c r="H1394" s="98">
        <f t="shared" si="198"/>
        <v>11875</v>
      </c>
      <c r="I1394" s="7">
        <v>10375</v>
      </c>
      <c r="J1394" s="7">
        <v>1500</v>
      </c>
      <c r="K1394" s="99">
        <f t="shared" si="199"/>
        <v>26321.5</v>
      </c>
      <c r="L1394" s="7">
        <v>4530</v>
      </c>
      <c r="M1394" s="7">
        <v>9470</v>
      </c>
      <c r="N1394" s="7">
        <v>3750</v>
      </c>
      <c r="O1394" s="7">
        <v>3850</v>
      </c>
      <c r="P1394" s="7">
        <v>9857.4500000000007</v>
      </c>
      <c r="Q1394" s="7">
        <v>620.63</v>
      </c>
      <c r="R1394" s="113">
        <f t="shared" si="204"/>
        <v>0.75035351001231587</v>
      </c>
      <c r="S1394" s="113">
        <f t="shared" si="205"/>
        <v>0.28367288378766142</v>
      </c>
      <c r="T1394" s="113">
        <f t="shared" si="206"/>
        <v>0.87368421052631584</v>
      </c>
      <c r="U1394" s="113">
        <f t="shared" si="207"/>
        <v>0.63590353477543105</v>
      </c>
    </row>
    <row r="1395" spans="1:22" x14ac:dyDescent="0.45">
      <c r="A1395" s="95">
        <v>45955</v>
      </c>
      <c r="B1395" s="96">
        <f t="shared" si="193"/>
        <v>10961.5</v>
      </c>
      <c r="C1395" s="103">
        <v>8225</v>
      </c>
      <c r="D1395" s="114">
        <v>2736.5</v>
      </c>
      <c r="E1395" s="97">
        <f t="shared" si="197"/>
        <v>3485</v>
      </c>
      <c r="F1395" s="7">
        <v>988.6</v>
      </c>
      <c r="G1395" s="7">
        <v>2496.4</v>
      </c>
      <c r="H1395" s="98">
        <f t="shared" si="198"/>
        <v>11875</v>
      </c>
      <c r="I1395" s="7">
        <v>10375</v>
      </c>
      <c r="J1395" s="7">
        <v>1500</v>
      </c>
      <c r="K1395" s="99">
        <f t="shared" si="199"/>
        <v>26321.5</v>
      </c>
      <c r="L1395" s="7">
        <v>4530</v>
      </c>
      <c r="M1395" s="7">
        <v>9470</v>
      </c>
      <c r="N1395" s="7">
        <v>3750</v>
      </c>
      <c r="O1395" s="7">
        <v>3850</v>
      </c>
      <c r="P1395" s="7">
        <v>9857.4500000000007</v>
      </c>
      <c r="Q1395" s="7">
        <v>620.63</v>
      </c>
      <c r="R1395" s="113">
        <f t="shared" si="204"/>
        <v>0.75035351001231587</v>
      </c>
      <c r="S1395" s="113">
        <f t="shared" si="205"/>
        <v>0.28367288378766142</v>
      </c>
      <c r="T1395" s="113">
        <f t="shared" si="206"/>
        <v>0.87368421052631584</v>
      </c>
      <c r="U1395" s="113">
        <f t="shared" si="207"/>
        <v>0.63590353477543105</v>
      </c>
    </row>
    <row r="1396" spans="1:22" x14ac:dyDescent="0.45">
      <c r="A1396" s="95">
        <v>45956</v>
      </c>
      <c r="B1396" s="96">
        <f t="shared" si="193"/>
        <v>10961.5</v>
      </c>
      <c r="C1396" s="103">
        <v>8225</v>
      </c>
      <c r="D1396" s="114">
        <v>2736.5</v>
      </c>
      <c r="E1396" s="97">
        <f t="shared" si="197"/>
        <v>3485</v>
      </c>
      <c r="F1396" s="7">
        <v>988.6</v>
      </c>
      <c r="G1396" s="7">
        <v>2496.4</v>
      </c>
      <c r="H1396" s="98">
        <f t="shared" si="198"/>
        <v>11875</v>
      </c>
      <c r="I1396" s="7">
        <v>10375</v>
      </c>
      <c r="J1396" s="7">
        <v>1500</v>
      </c>
      <c r="K1396" s="99">
        <f t="shared" si="199"/>
        <v>26321.5</v>
      </c>
      <c r="L1396" s="7">
        <v>4530</v>
      </c>
      <c r="M1396" s="7">
        <v>9470</v>
      </c>
      <c r="N1396" s="7">
        <v>3750</v>
      </c>
      <c r="O1396" s="7">
        <v>3850</v>
      </c>
      <c r="P1396" s="7">
        <v>9857.4500000000007</v>
      </c>
      <c r="Q1396" s="7">
        <v>620.63</v>
      </c>
      <c r="R1396" s="113">
        <f t="shared" si="204"/>
        <v>0.75035351001231587</v>
      </c>
      <c r="S1396" s="113">
        <f t="shared" si="205"/>
        <v>0.28367288378766142</v>
      </c>
      <c r="T1396" s="113">
        <f t="shared" si="206"/>
        <v>0.87368421052631584</v>
      </c>
      <c r="U1396" s="113">
        <f t="shared" si="207"/>
        <v>0.63590353477543105</v>
      </c>
    </row>
    <row r="1397" spans="1:22" x14ac:dyDescent="0.45">
      <c r="A1397" s="95">
        <v>45957</v>
      </c>
      <c r="B1397" s="96">
        <f t="shared" si="193"/>
        <v>10961.5</v>
      </c>
      <c r="C1397" s="103">
        <v>8225</v>
      </c>
      <c r="D1397" s="114">
        <v>2736.5</v>
      </c>
      <c r="E1397" s="97">
        <f t="shared" si="197"/>
        <v>3305</v>
      </c>
      <c r="F1397" s="7">
        <v>968.6</v>
      </c>
      <c r="G1397" s="7">
        <v>2336.4</v>
      </c>
      <c r="H1397" s="98">
        <f t="shared" si="198"/>
        <v>11875</v>
      </c>
      <c r="I1397" s="7">
        <v>10375</v>
      </c>
      <c r="J1397" s="7">
        <v>1500</v>
      </c>
      <c r="K1397" s="99">
        <f t="shared" si="199"/>
        <v>26141.5</v>
      </c>
      <c r="L1397" s="7">
        <v>4530</v>
      </c>
      <c r="M1397" s="7">
        <v>9470</v>
      </c>
      <c r="N1397" s="7">
        <v>3807</v>
      </c>
      <c r="O1397" s="7">
        <v>3290</v>
      </c>
      <c r="P1397" s="7">
        <v>9842.7099999999991</v>
      </c>
      <c r="Q1397" s="7">
        <v>1680.17</v>
      </c>
      <c r="R1397" s="113">
        <f t="shared" ref="R1397:R1406" si="208">C1397/B1397</f>
        <v>0.75035351001231587</v>
      </c>
      <c r="S1397" s="113">
        <f t="shared" ref="S1397:S1406" si="209">F1397/E1397</f>
        <v>0.293071104387292</v>
      </c>
      <c r="T1397" s="113">
        <f t="shared" ref="T1397:T1406" si="210">IF(H1397=0,0,I1397/H1397)</f>
        <v>0.87368421052631584</v>
      </c>
      <c r="U1397" s="113">
        <f t="shared" ref="U1397:U1406" si="211">AVERAGE(R1397:T1397)</f>
        <v>0.63903627497530791</v>
      </c>
    </row>
    <row r="1398" spans="1:22" x14ac:dyDescent="0.45">
      <c r="A1398" s="95">
        <v>45958</v>
      </c>
      <c r="B1398" s="96">
        <f t="shared" si="193"/>
        <v>10961.5</v>
      </c>
      <c r="C1398" s="103">
        <v>8225</v>
      </c>
      <c r="D1398" s="114">
        <v>2736.5</v>
      </c>
      <c r="E1398" s="97">
        <f t="shared" si="197"/>
        <v>3305</v>
      </c>
      <c r="F1398" s="7">
        <v>968.6</v>
      </c>
      <c r="G1398" s="7">
        <v>2336.4</v>
      </c>
      <c r="H1398" s="98">
        <f t="shared" si="198"/>
        <v>11875</v>
      </c>
      <c r="I1398" s="7">
        <v>10375</v>
      </c>
      <c r="J1398" s="7">
        <v>1500</v>
      </c>
      <c r="K1398" s="99">
        <f t="shared" si="199"/>
        <v>26141.5</v>
      </c>
      <c r="L1398" s="7">
        <v>4530</v>
      </c>
      <c r="M1398" s="7">
        <v>9470</v>
      </c>
      <c r="N1398" s="7">
        <v>4093</v>
      </c>
      <c r="O1398" s="7">
        <v>5340</v>
      </c>
      <c r="P1398" s="7">
        <v>9842.7099999999991</v>
      </c>
      <c r="Q1398" s="7">
        <v>-985.98</v>
      </c>
      <c r="R1398" s="113">
        <f t="shared" si="208"/>
        <v>0.75035351001231587</v>
      </c>
      <c r="S1398" s="113">
        <f t="shared" si="209"/>
        <v>0.293071104387292</v>
      </c>
      <c r="T1398" s="113">
        <f t="shared" si="210"/>
        <v>0.87368421052631584</v>
      </c>
      <c r="U1398" s="113">
        <f t="shared" si="211"/>
        <v>0.63903627497530791</v>
      </c>
    </row>
    <row r="1399" spans="1:22" x14ac:dyDescent="0.45">
      <c r="A1399" s="95">
        <v>45959</v>
      </c>
      <c r="B1399" s="96">
        <f t="shared" si="193"/>
        <v>10961.5</v>
      </c>
      <c r="C1399" s="103">
        <v>8225</v>
      </c>
      <c r="D1399" s="114">
        <v>2736.5</v>
      </c>
      <c r="E1399" s="97">
        <f t="shared" si="197"/>
        <v>3305</v>
      </c>
      <c r="F1399" s="7">
        <v>968.6</v>
      </c>
      <c r="G1399" s="7">
        <v>2336.4</v>
      </c>
      <c r="H1399" s="98">
        <f t="shared" ref="H1399:H1462" si="212">I1399+J1399</f>
        <v>11875</v>
      </c>
      <c r="I1399" s="7">
        <v>10375</v>
      </c>
      <c r="J1399" s="7">
        <v>1500</v>
      </c>
      <c r="K1399" s="99">
        <f t="shared" ref="K1399:K1462" si="213">B1399+E1399+H1399</f>
        <v>26141.5</v>
      </c>
      <c r="L1399" s="7">
        <v>4530</v>
      </c>
      <c r="M1399" s="7">
        <v>9470</v>
      </c>
      <c r="N1399" s="7">
        <v>3776</v>
      </c>
      <c r="O1399" s="7">
        <v>5290</v>
      </c>
      <c r="P1399" s="7">
        <v>9842.7099999999991</v>
      </c>
      <c r="Q1399" s="7">
        <v>-519.57000000000005</v>
      </c>
      <c r="R1399" s="113">
        <f t="shared" si="208"/>
        <v>0.75035351001231587</v>
      </c>
      <c r="S1399" s="113">
        <f t="shared" si="209"/>
        <v>0.293071104387292</v>
      </c>
      <c r="T1399" s="113">
        <f t="shared" si="210"/>
        <v>0.87368421052631584</v>
      </c>
      <c r="U1399" s="113">
        <f t="shared" si="211"/>
        <v>0.63903627497530791</v>
      </c>
    </row>
    <row r="1400" spans="1:22" x14ac:dyDescent="0.45">
      <c r="A1400" s="95">
        <v>45960</v>
      </c>
      <c r="B1400" s="96">
        <f t="shared" si="193"/>
        <v>10981.5</v>
      </c>
      <c r="C1400" s="103">
        <v>8115</v>
      </c>
      <c r="D1400" s="114">
        <v>2866.5</v>
      </c>
      <c r="E1400" s="97">
        <f t="shared" si="197"/>
        <v>3485</v>
      </c>
      <c r="F1400" s="7">
        <v>1038.5999999999999</v>
      </c>
      <c r="G1400" s="7">
        <v>2446.4</v>
      </c>
      <c r="H1400" s="98">
        <f t="shared" si="212"/>
        <v>11875</v>
      </c>
      <c r="I1400" s="7">
        <v>10375</v>
      </c>
      <c r="J1400" s="7">
        <v>1500</v>
      </c>
      <c r="K1400" s="99">
        <f t="shared" si="213"/>
        <v>26341.5</v>
      </c>
      <c r="L1400" s="7">
        <v>4000</v>
      </c>
      <c r="M1400" s="7">
        <v>9000</v>
      </c>
      <c r="N1400" s="7">
        <v>3985</v>
      </c>
      <c r="O1400" s="7">
        <v>5050</v>
      </c>
      <c r="P1400" s="7">
        <v>9842.7099999999991</v>
      </c>
      <c r="Q1400" s="7">
        <v>132.87</v>
      </c>
      <c r="R1400" s="113">
        <f t="shared" si="208"/>
        <v>0.73897008605381775</v>
      </c>
      <c r="S1400" s="113">
        <f t="shared" si="209"/>
        <v>0.29802008608321373</v>
      </c>
      <c r="T1400" s="113">
        <f t="shared" si="210"/>
        <v>0.87368421052631584</v>
      </c>
      <c r="U1400" s="113">
        <f t="shared" si="211"/>
        <v>0.63689146088778248</v>
      </c>
    </row>
    <row r="1401" spans="1:22" x14ac:dyDescent="0.45">
      <c r="A1401" s="95">
        <v>45961</v>
      </c>
      <c r="B1401" s="96">
        <f t="shared" si="193"/>
        <v>10981.5</v>
      </c>
      <c r="C1401" s="103">
        <v>8115</v>
      </c>
      <c r="D1401" s="114">
        <v>2866.5</v>
      </c>
      <c r="E1401" s="97">
        <f t="shared" si="197"/>
        <v>3485</v>
      </c>
      <c r="F1401" s="7">
        <v>1038.5999999999999</v>
      </c>
      <c r="G1401" s="7">
        <v>2446.4</v>
      </c>
      <c r="H1401" s="98">
        <f t="shared" si="212"/>
        <v>11875</v>
      </c>
      <c r="I1401" s="7">
        <v>10375</v>
      </c>
      <c r="J1401" s="7">
        <v>1500</v>
      </c>
      <c r="K1401" s="99">
        <f t="shared" si="213"/>
        <v>26341.5</v>
      </c>
      <c r="L1401" s="7">
        <v>4000</v>
      </c>
      <c r="M1401" s="7">
        <v>9000</v>
      </c>
      <c r="N1401" s="7">
        <v>3867</v>
      </c>
      <c r="O1401" s="7">
        <v>5070</v>
      </c>
      <c r="P1401" s="7">
        <v>9842.7099999999991</v>
      </c>
      <c r="Q1401" s="7">
        <v>348.46</v>
      </c>
      <c r="R1401" s="113">
        <f t="shared" si="208"/>
        <v>0.73897008605381775</v>
      </c>
      <c r="S1401" s="113">
        <f t="shared" si="209"/>
        <v>0.29802008608321373</v>
      </c>
      <c r="T1401" s="113">
        <f t="shared" si="210"/>
        <v>0.87368421052631584</v>
      </c>
      <c r="U1401" s="113">
        <f t="shared" si="211"/>
        <v>0.63689146088778248</v>
      </c>
    </row>
    <row r="1402" spans="1:22" x14ac:dyDescent="0.45">
      <c r="A1402" s="95">
        <v>45962</v>
      </c>
      <c r="B1402" s="96">
        <f t="shared" si="193"/>
        <v>10981.5</v>
      </c>
      <c r="C1402" s="103">
        <v>8115</v>
      </c>
      <c r="D1402" s="114">
        <v>2866.5</v>
      </c>
      <c r="E1402" s="97">
        <f t="shared" si="197"/>
        <v>3485</v>
      </c>
      <c r="F1402" s="7">
        <v>1038.5999999999999</v>
      </c>
      <c r="G1402" s="7">
        <v>2446.4</v>
      </c>
      <c r="H1402" s="98">
        <f t="shared" si="212"/>
        <v>11875</v>
      </c>
      <c r="I1402" s="7">
        <v>10375</v>
      </c>
      <c r="J1402" s="7">
        <v>1500</v>
      </c>
      <c r="K1402" s="99">
        <f t="shared" si="213"/>
        <v>26341.5</v>
      </c>
      <c r="L1402" s="7">
        <v>4000</v>
      </c>
      <c r="M1402" s="7">
        <v>9000</v>
      </c>
      <c r="N1402" s="7">
        <v>3867</v>
      </c>
      <c r="O1402" s="7">
        <v>5070</v>
      </c>
      <c r="P1402" s="7">
        <v>9842.7099999999991</v>
      </c>
      <c r="Q1402" s="7">
        <v>348.46</v>
      </c>
      <c r="R1402" s="113">
        <f t="shared" si="208"/>
        <v>0.73897008605381775</v>
      </c>
      <c r="S1402" s="113">
        <f t="shared" si="209"/>
        <v>0.29802008608321373</v>
      </c>
      <c r="T1402" s="113">
        <f t="shared" si="210"/>
        <v>0.87368421052631584</v>
      </c>
      <c r="U1402" s="113">
        <f t="shared" si="211"/>
        <v>0.63689146088778248</v>
      </c>
    </row>
    <row r="1403" spans="1:22" x14ac:dyDescent="0.45">
      <c r="A1403" s="95">
        <v>45963</v>
      </c>
      <c r="B1403" s="96">
        <f t="shared" si="193"/>
        <v>10981.5</v>
      </c>
      <c r="C1403" s="103">
        <v>8115</v>
      </c>
      <c r="D1403" s="114">
        <v>2866.5</v>
      </c>
      <c r="E1403" s="97">
        <f t="shared" si="197"/>
        <v>3485</v>
      </c>
      <c r="F1403" s="7">
        <v>1038.5999999999999</v>
      </c>
      <c r="G1403" s="7">
        <v>2446.4</v>
      </c>
      <c r="H1403" s="98">
        <f t="shared" si="212"/>
        <v>11475</v>
      </c>
      <c r="I1403" s="7">
        <v>10375</v>
      </c>
      <c r="J1403" s="7">
        <v>1100</v>
      </c>
      <c r="K1403" s="99">
        <f t="shared" si="213"/>
        <v>25941.5</v>
      </c>
      <c r="L1403" s="7">
        <v>4000</v>
      </c>
      <c r="M1403" s="7">
        <v>9000</v>
      </c>
      <c r="N1403" s="7">
        <v>3867</v>
      </c>
      <c r="O1403" s="7">
        <v>5070</v>
      </c>
      <c r="P1403" s="7">
        <v>9842.7099999999991</v>
      </c>
      <c r="Q1403" s="7">
        <v>348.46</v>
      </c>
      <c r="R1403" s="113">
        <f t="shared" si="208"/>
        <v>0.73897008605381775</v>
      </c>
      <c r="S1403" s="113">
        <f t="shared" si="209"/>
        <v>0.29802008608321373</v>
      </c>
      <c r="T1403" s="113">
        <f t="shared" si="210"/>
        <v>0.9041394335511983</v>
      </c>
      <c r="U1403" s="113">
        <f t="shared" si="211"/>
        <v>0.64704320189607667</v>
      </c>
    </row>
    <row r="1404" spans="1:22" x14ac:dyDescent="0.45">
      <c r="A1404" s="95">
        <v>45964</v>
      </c>
      <c r="B1404" s="96">
        <f t="shared" si="193"/>
        <v>10981.5</v>
      </c>
      <c r="C1404" s="103">
        <v>8115</v>
      </c>
      <c r="D1404" s="114">
        <v>2866.5</v>
      </c>
      <c r="E1404" s="97">
        <f t="shared" si="197"/>
        <v>3485</v>
      </c>
      <c r="F1404" s="7">
        <v>1038.5999999999999</v>
      </c>
      <c r="G1404" s="7">
        <v>2446.4</v>
      </c>
      <c r="H1404" s="98">
        <f t="shared" si="212"/>
        <v>11475</v>
      </c>
      <c r="I1404" s="7">
        <v>10375</v>
      </c>
      <c r="J1404" s="7">
        <v>1100</v>
      </c>
      <c r="K1404" s="99">
        <f t="shared" si="213"/>
        <v>25941.5</v>
      </c>
      <c r="L1404" s="7">
        <v>4000</v>
      </c>
      <c r="M1404" s="7">
        <v>9000</v>
      </c>
      <c r="N1404" s="7">
        <v>2150</v>
      </c>
      <c r="O1404" s="7">
        <v>5050</v>
      </c>
      <c r="P1404" s="7">
        <v>9842.7099999999991</v>
      </c>
      <c r="Q1404" s="7">
        <v>1662.56</v>
      </c>
      <c r="R1404" s="113">
        <f t="shared" si="208"/>
        <v>0.73897008605381775</v>
      </c>
      <c r="S1404" s="113">
        <f t="shared" si="209"/>
        <v>0.29802008608321373</v>
      </c>
      <c r="T1404" s="113">
        <f t="shared" si="210"/>
        <v>0.9041394335511983</v>
      </c>
      <c r="U1404" s="113">
        <f t="shared" si="211"/>
        <v>0.64704320189607667</v>
      </c>
    </row>
    <row r="1405" spans="1:22" x14ac:dyDescent="0.45">
      <c r="A1405" s="95">
        <v>45965</v>
      </c>
      <c r="B1405" s="96">
        <f t="shared" ref="B1405:B1468" si="214">C1405+D1405</f>
        <v>10981.5</v>
      </c>
      <c r="C1405" s="103">
        <v>8115</v>
      </c>
      <c r="D1405" s="114">
        <v>2866.5</v>
      </c>
      <c r="E1405" s="97">
        <f t="shared" ref="E1405:E1468" si="215">F1405+G1405</f>
        <v>3485</v>
      </c>
      <c r="F1405" s="7">
        <v>1038.5999999999999</v>
      </c>
      <c r="G1405" s="7">
        <v>2446.4</v>
      </c>
      <c r="H1405" s="98">
        <f t="shared" si="212"/>
        <v>11875</v>
      </c>
      <c r="I1405" s="7">
        <v>10475</v>
      </c>
      <c r="J1405" s="7">
        <v>1400</v>
      </c>
      <c r="K1405" s="99">
        <f t="shared" si="213"/>
        <v>26341.5</v>
      </c>
      <c r="L1405" s="7">
        <v>4000</v>
      </c>
      <c r="M1405" s="7">
        <v>9000</v>
      </c>
      <c r="N1405" s="7">
        <v>4320</v>
      </c>
      <c r="O1405" s="7">
        <v>5070</v>
      </c>
      <c r="P1405" s="7">
        <v>9842.7099999999991</v>
      </c>
      <c r="Q1405" s="7">
        <v>-730.07</v>
      </c>
      <c r="R1405" s="113">
        <f t="shared" si="208"/>
        <v>0.73897008605381775</v>
      </c>
      <c r="S1405" s="113">
        <f t="shared" si="209"/>
        <v>0.29802008608321373</v>
      </c>
      <c r="T1405" s="113">
        <f t="shared" si="210"/>
        <v>0.88210526315789473</v>
      </c>
      <c r="U1405" s="113">
        <f t="shared" si="211"/>
        <v>0.63969847843164207</v>
      </c>
    </row>
    <row r="1406" spans="1:22" x14ac:dyDescent="0.45">
      <c r="A1406" s="95">
        <v>45966</v>
      </c>
      <c r="B1406" s="96">
        <f t="shared" si="214"/>
        <v>10981.5</v>
      </c>
      <c r="C1406" s="103">
        <v>8115</v>
      </c>
      <c r="D1406" s="114">
        <v>2866.5</v>
      </c>
      <c r="E1406" s="97">
        <f t="shared" si="215"/>
        <v>3485</v>
      </c>
      <c r="F1406" s="7">
        <v>1038.5999999999999</v>
      </c>
      <c r="G1406" s="7">
        <v>2446.4</v>
      </c>
      <c r="H1406" s="98">
        <f t="shared" si="212"/>
        <v>11875</v>
      </c>
      <c r="I1406" s="7">
        <v>10475</v>
      </c>
      <c r="J1406" s="7">
        <v>1400</v>
      </c>
      <c r="K1406" s="99">
        <f t="shared" si="213"/>
        <v>26341.5</v>
      </c>
      <c r="L1406" s="7">
        <v>4000</v>
      </c>
      <c r="M1406" s="7">
        <v>9000</v>
      </c>
      <c r="N1406" s="7">
        <v>4182</v>
      </c>
      <c r="O1406" s="7">
        <v>5055</v>
      </c>
      <c r="P1406" s="7">
        <v>9842.7099999999991</v>
      </c>
      <c r="Q1406" s="7">
        <v>-623.34</v>
      </c>
      <c r="R1406" s="113">
        <f t="shared" si="208"/>
        <v>0.73897008605381775</v>
      </c>
      <c r="S1406" s="113">
        <f t="shared" si="209"/>
        <v>0.29802008608321373</v>
      </c>
      <c r="T1406" s="113">
        <f t="shared" si="210"/>
        <v>0.88210526315789473</v>
      </c>
      <c r="U1406" s="113">
        <f t="shared" si="211"/>
        <v>0.63969847843164207</v>
      </c>
    </row>
    <row r="1407" spans="1:22" x14ac:dyDescent="0.45">
      <c r="A1407" s="95">
        <v>45967</v>
      </c>
      <c r="B1407" s="96">
        <f t="shared" si="214"/>
        <v>12081.5</v>
      </c>
      <c r="C1407" s="103">
        <v>9215</v>
      </c>
      <c r="D1407" s="114">
        <v>2866.5</v>
      </c>
      <c r="E1407" s="97">
        <f t="shared" si="215"/>
        <v>3485</v>
      </c>
      <c r="F1407" s="7">
        <v>1038.5999999999999</v>
      </c>
      <c r="G1407" s="7">
        <v>2446.4</v>
      </c>
      <c r="H1407" s="98">
        <f t="shared" si="212"/>
        <v>11875</v>
      </c>
      <c r="I1407" s="7">
        <v>10475</v>
      </c>
      <c r="J1407" s="7">
        <v>1400</v>
      </c>
      <c r="K1407" s="99">
        <f t="shared" si="213"/>
        <v>27441.5</v>
      </c>
      <c r="L1407" s="7">
        <v>4000</v>
      </c>
      <c r="M1407" s="7">
        <v>9000</v>
      </c>
      <c r="N1407" s="7">
        <v>3140</v>
      </c>
      <c r="O1407" s="7">
        <v>4005</v>
      </c>
      <c r="P1407" s="7">
        <v>9842.7099999999991</v>
      </c>
      <c r="Q1407" s="7">
        <v>-60.57</v>
      </c>
      <c r="R1407" s="113">
        <f t="shared" ref="R1407:R1427" si="216">C1407/B1407</f>
        <v>0.76273641518023427</v>
      </c>
      <c r="S1407" s="113">
        <f t="shared" ref="S1407:S1427" si="217">F1407/E1407</f>
        <v>0.29802008608321373</v>
      </c>
      <c r="T1407" s="113">
        <f t="shared" ref="T1407:T1427" si="218">IF(H1407=0,0,I1407/H1407)</f>
        <v>0.88210526315789473</v>
      </c>
      <c r="U1407" s="113">
        <f t="shared" ref="U1407:U1427" si="219">AVERAGE(R1407:T1407)</f>
        <v>0.64762058814044765</v>
      </c>
    </row>
    <row r="1408" spans="1:22" x14ac:dyDescent="0.45">
      <c r="A1408" s="95">
        <v>45968</v>
      </c>
      <c r="B1408" s="96">
        <f t="shared" si="214"/>
        <v>12081.5</v>
      </c>
      <c r="C1408" s="103">
        <v>9215</v>
      </c>
      <c r="D1408" s="114">
        <v>2866.5</v>
      </c>
      <c r="E1408" s="97">
        <f t="shared" si="215"/>
        <v>3485</v>
      </c>
      <c r="F1408" s="7">
        <v>1038.5999999999999</v>
      </c>
      <c r="G1408" s="7">
        <v>2446.4</v>
      </c>
      <c r="H1408" s="98">
        <f t="shared" si="212"/>
        <v>11875</v>
      </c>
      <c r="I1408" s="7">
        <v>10475</v>
      </c>
      <c r="J1408" s="7">
        <v>1400</v>
      </c>
      <c r="K1408" s="99">
        <f t="shared" si="213"/>
        <v>27441.5</v>
      </c>
      <c r="L1408" s="7">
        <v>4000</v>
      </c>
      <c r="M1408" s="7">
        <v>9000</v>
      </c>
      <c r="N1408" s="7">
        <v>3200</v>
      </c>
      <c r="O1408" s="7">
        <v>4155</v>
      </c>
      <c r="P1408" s="7">
        <v>9842.7099999999991</v>
      </c>
      <c r="Q1408" s="7">
        <v>-146.71</v>
      </c>
      <c r="R1408" s="113">
        <f t="shared" si="216"/>
        <v>0.76273641518023427</v>
      </c>
      <c r="S1408" s="113">
        <f t="shared" si="217"/>
        <v>0.29802008608321373</v>
      </c>
      <c r="T1408" s="113">
        <f t="shared" si="218"/>
        <v>0.88210526315789473</v>
      </c>
      <c r="U1408" s="113">
        <f t="shared" si="219"/>
        <v>0.64762058814044765</v>
      </c>
      <c r="V1408" s="31">
        <f>L1408+M1408+N1408+O1408</f>
        <v>20355</v>
      </c>
    </row>
    <row r="1409" spans="1:22" x14ac:dyDescent="0.45">
      <c r="A1409" s="95">
        <v>45969</v>
      </c>
      <c r="B1409" s="96">
        <f t="shared" si="214"/>
        <v>12081.5</v>
      </c>
      <c r="C1409" s="103">
        <v>9215</v>
      </c>
      <c r="D1409" s="114">
        <v>2866.5</v>
      </c>
      <c r="E1409" s="97">
        <f t="shared" si="215"/>
        <v>3485</v>
      </c>
      <c r="F1409" s="7">
        <v>1038.5999999999999</v>
      </c>
      <c r="G1409" s="7">
        <v>2446.4</v>
      </c>
      <c r="H1409" s="98">
        <f t="shared" si="212"/>
        <v>11875</v>
      </c>
      <c r="I1409" s="7">
        <v>10475</v>
      </c>
      <c r="J1409" s="7">
        <v>1400</v>
      </c>
      <c r="K1409" s="99">
        <f t="shared" si="213"/>
        <v>27441.5</v>
      </c>
      <c r="L1409" s="7">
        <v>4000</v>
      </c>
      <c r="M1409" s="7">
        <v>9000</v>
      </c>
      <c r="N1409" s="7">
        <v>3200</v>
      </c>
      <c r="O1409" s="7">
        <v>4155</v>
      </c>
      <c r="P1409" s="7">
        <v>9842.7099999999991</v>
      </c>
      <c r="Q1409" s="7">
        <v>-146.71</v>
      </c>
      <c r="R1409" s="113">
        <f t="shared" si="216"/>
        <v>0.76273641518023427</v>
      </c>
      <c r="S1409" s="113">
        <f t="shared" si="217"/>
        <v>0.29802008608321373</v>
      </c>
      <c r="T1409" s="113">
        <f t="shared" si="218"/>
        <v>0.88210526315789473</v>
      </c>
      <c r="U1409" s="113">
        <f t="shared" si="219"/>
        <v>0.64762058814044765</v>
      </c>
      <c r="V1409" s="31">
        <f t="shared" ref="V1409:V1464" si="220">L1409+M1409+N1409+O1409</f>
        <v>20355</v>
      </c>
    </row>
    <row r="1410" spans="1:22" x14ac:dyDescent="0.45">
      <c r="A1410" s="95">
        <v>45970</v>
      </c>
      <c r="B1410" s="96">
        <f t="shared" si="214"/>
        <v>12081.5</v>
      </c>
      <c r="C1410" s="103">
        <v>9215</v>
      </c>
      <c r="D1410" s="114">
        <v>2866.5</v>
      </c>
      <c r="E1410" s="97">
        <f t="shared" si="215"/>
        <v>3485</v>
      </c>
      <c r="F1410" s="7">
        <v>1038.5999999999999</v>
      </c>
      <c r="G1410" s="7">
        <v>2446.4</v>
      </c>
      <c r="H1410" s="98">
        <f t="shared" si="212"/>
        <v>11875</v>
      </c>
      <c r="I1410" s="7">
        <v>10475</v>
      </c>
      <c r="J1410" s="7">
        <v>1400</v>
      </c>
      <c r="K1410" s="99">
        <f t="shared" si="213"/>
        <v>27441.5</v>
      </c>
      <c r="L1410" s="7">
        <v>4000</v>
      </c>
      <c r="M1410" s="7">
        <v>9000</v>
      </c>
      <c r="N1410" s="7">
        <v>3200</v>
      </c>
      <c r="O1410" s="7">
        <v>4155</v>
      </c>
      <c r="P1410" s="7">
        <v>9842.7099999999991</v>
      </c>
      <c r="Q1410" s="7">
        <v>-146.71</v>
      </c>
      <c r="R1410" s="113">
        <f t="shared" si="216"/>
        <v>0.76273641518023427</v>
      </c>
      <c r="S1410" s="113">
        <f t="shared" si="217"/>
        <v>0.29802008608321373</v>
      </c>
      <c r="T1410" s="113">
        <f t="shared" si="218"/>
        <v>0.88210526315789473</v>
      </c>
      <c r="U1410" s="113">
        <f t="shared" si="219"/>
        <v>0.64762058814044765</v>
      </c>
      <c r="V1410" s="31">
        <f t="shared" si="220"/>
        <v>20355</v>
      </c>
    </row>
    <row r="1411" spans="1:22" x14ac:dyDescent="0.45">
      <c r="A1411" s="95">
        <v>45971</v>
      </c>
      <c r="B1411" s="96">
        <f t="shared" si="214"/>
        <v>12081.5</v>
      </c>
      <c r="C1411" s="103">
        <v>9215</v>
      </c>
      <c r="D1411" s="114">
        <v>2866.5</v>
      </c>
      <c r="E1411" s="97">
        <f t="shared" si="215"/>
        <v>3485</v>
      </c>
      <c r="F1411" s="7">
        <v>1038.5999999999999</v>
      </c>
      <c r="G1411" s="7">
        <v>2446.4</v>
      </c>
      <c r="H1411" s="98">
        <f t="shared" si="212"/>
        <v>11875</v>
      </c>
      <c r="I1411" s="7">
        <v>10475</v>
      </c>
      <c r="J1411" s="7">
        <v>1400</v>
      </c>
      <c r="K1411" s="99">
        <f t="shared" si="213"/>
        <v>27441.5</v>
      </c>
      <c r="L1411" s="7">
        <v>4000</v>
      </c>
      <c r="M1411" s="7">
        <v>9000</v>
      </c>
      <c r="N1411" s="7">
        <v>3170</v>
      </c>
      <c r="O1411" s="7">
        <v>4005</v>
      </c>
      <c r="P1411" s="7">
        <v>9842.7099999999991</v>
      </c>
      <c r="Q1411" s="7">
        <v>151.80000000000001</v>
      </c>
      <c r="R1411" s="113">
        <f t="shared" si="216"/>
        <v>0.76273641518023427</v>
      </c>
      <c r="S1411" s="113">
        <f t="shared" si="217"/>
        <v>0.29802008608321373</v>
      </c>
      <c r="T1411" s="113">
        <f t="shared" si="218"/>
        <v>0.88210526315789473</v>
      </c>
      <c r="U1411" s="113">
        <f t="shared" si="219"/>
        <v>0.64762058814044765</v>
      </c>
      <c r="V1411" s="31">
        <f t="shared" si="220"/>
        <v>20175</v>
      </c>
    </row>
    <row r="1412" spans="1:22" x14ac:dyDescent="0.45">
      <c r="A1412" s="95">
        <v>45972</v>
      </c>
      <c r="B1412" s="96">
        <f t="shared" si="214"/>
        <v>12081.5</v>
      </c>
      <c r="C1412" s="103">
        <v>9215</v>
      </c>
      <c r="D1412" s="114">
        <v>2866.5</v>
      </c>
      <c r="E1412" s="97">
        <f t="shared" si="215"/>
        <v>3485</v>
      </c>
      <c r="F1412" s="7">
        <v>1038.5999999999999</v>
      </c>
      <c r="G1412" s="7">
        <v>2446.4</v>
      </c>
      <c r="H1412" s="98">
        <f t="shared" si="212"/>
        <v>11875</v>
      </c>
      <c r="I1412" s="7">
        <v>10475</v>
      </c>
      <c r="J1412" s="7">
        <v>1400</v>
      </c>
      <c r="K1412" s="99">
        <f t="shared" si="213"/>
        <v>27441.5</v>
      </c>
      <c r="L1412" s="7">
        <v>4000</v>
      </c>
      <c r="M1412" s="7">
        <v>9000</v>
      </c>
      <c r="N1412" s="7">
        <v>4305</v>
      </c>
      <c r="O1412" s="7">
        <v>5000</v>
      </c>
      <c r="P1412" s="7">
        <v>9842.7099999999991</v>
      </c>
      <c r="Q1412" s="7">
        <v>-2183.98</v>
      </c>
      <c r="R1412" s="113">
        <f t="shared" si="216"/>
        <v>0.76273641518023427</v>
      </c>
      <c r="S1412" s="113">
        <f t="shared" si="217"/>
        <v>0.29802008608321373</v>
      </c>
      <c r="T1412" s="113">
        <f t="shared" si="218"/>
        <v>0.88210526315789473</v>
      </c>
      <c r="U1412" s="113">
        <f t="shared" si="219"/>
        <v>0.64762058814044765</v>
      </c>
      <c r="V1412" s="31">
        <f t="shared" si="220"/>
        <v>22305</v>
      </c>
    </row>
    <row r="1413" spans="1:22" x14ac:dyDescent="0.45">
      <c r="A1413" s="95">
        <v>45973</v>
      </c>
      <c r="B1413" s="96">
        <f t="shared" si="214"/>
        <v>12081.5</v>
      </c>
      <c r="C1413" s="103">
        <v>9215</v>
      </c>
      <c r="D1413" s="114">
        <v>2866.5</v>
      </c>
      <c r="E1413" s="97">
        <f t="shared" si="215"/>
        <v>3485</v>
      </c>
      <c r="F1413" s="7">
        <v>1038.5999999999999</v>
      </c>
      <c r="G1413" s="7">
        <v>2446.4</v>
      </c>
      <c r="H1413" s="98">
        <f t="shared" si="212"/>
        <v>11875</v>
      </c>
      <c r="I1413" s="7">
        <v>10475</v>
      </c>
      <c r="J1413" s="7">
        <v>1400</v>
      </c>
      <c r="K1413" s="99">
        <f t="shared" si="213"/>
        <v>27441.5</v>
      </c>
      <c r="L1413" s="7">
        <v>4000</v>
      </c>
      <c r="M1413" s="7">
        <v>9000</v>
      </c>
      <c r="N1413" s="7">
        <v>3369</v>
      </c>
      <c r="O1413" s="7">
        <v>5000</v>
      </c>
      <c r="P1413" s="7">
        <v>9842.7099999999991</v>
      </c>
      <c r="Q1413" s="7">
        <v>-1346.01</v>
      </c>
      <c r="R1413" s="113">
        <f t="shared" si="216"/>
        <v>0.76273641518023427</v>
      </c>
      <c r="S1413" s="113">
        <f t="shared" si="217"/>
        <v>0.29802008608321373</v>
      </c>
      <c r="T1413" s="113">
        <f t="shared" si="218"/>
        <v>0.88210526315789473</v>
      </c>
      <c r="U1413" s="113">
        <f t="shared" si="219"/>
        <v>0.64762058814044765</v>
      </c>
      <c r="V1413" s="31">
        <f t="shared" si="220"/>
        <v>21369</v>
      </c>
    </row>
    <row r="1414" spans="1:22" x14ac:dyDescent="0.45">
      <c r="A1414" s="95">
        <v>45974</v>
      </c>
      <c r="B1414" s="96">
        <f t="shared" si="214"/>
        <v>11041.5</v>
      </c>
      <c r="C1414" s="103">
        <v>8375</v>
      </c>
      <c r="D1414" s="114">
        <v>2666.5</v>
      </c>
      <c r="E1414" s="97">
        <f t="shared" si="215"/>
        <v>3485</v>
      </c>
      <c r="F1414" s="7">
        <v>1038.5999999999999</v>
      </c>
      <c r="G1414" s="7">
        <v>2446.4</v>
      </c>
      <c r="H1414" s="98">
        <f t="shared" si="212"/>
        <v>11875</v>
      </c>
      <c r="I1414" s="7">
        <v>10475</v>
      </c>
      <c r="J1414" s="7">
        <v>1400</v>
      </c>
      <c r="K1414" s="99">
        <f t="shared" si="213"/>
        <v>26401.5</v>
      </c>
      <c r="L1414" s="7">
        <v>4000</v>
      </c>
      <c r="M1414" s="7">
        <v>7000</v>
      </c>
      <c r="N1414" s="7">
        <v>3388</v>
      </c>
      <c r="O1414" s="7">
        <v>5000</v>
      </c>
      <c r="P1414" s="7">
        <v>9842.7099999999991</v>
      </c>
      <c r="Q1414" s="7">
        <v>1216.1600000000001</v>
      </c>
      <c r="R1414" s="113">
        <f t="shared" si="216"/>
        <v>0.75850201512475657</v>
      </c>
      <c r="S1414" s="113">
        <f t="shared" si="217"/>
        <v>0.29802008608321373</v>
      </c>
      <c r="T1414" s="113">
        <f t="shared" si="218"/>
        <v>0.88210526315789473</v>
      </c>
      <c r="U1414" s="113">
        <f t="shared" si="219"/>
        <v>0.6462091214552883</v>
      </c>
      <c r="V1414" s="31">
        <f t="shared" si="220"/>
        <v>19388</v>
      </c>
    </row>
    <row r="1415" spans="1:22" x14ac:dyDescent="0.45">
      <c r="A1415" s="95">
        <v>45975</v>
      </c>
      <c r="B1415" s="96">
        <f t="shared" si="214"/>
        <v>11041.5</v>
      </c>
      <c r="C1415" s="103">
        <v>8375</v>
      </c>
      <c r="D1415" s="114">
        <v>2666.5</v>
      </c>
      <c r="E1415" s="97">
        <f t="shared" si="215"/>
        <v>3485</v>
      </c>
      <c r="F1415" s="7">
        <v>1038.5999999999999</v>
      </c>
      <c r="G1415" s="7">
        <v>2446.4</v>
      </c>
      <c r="H1415" s="98">
        <f t="shared" si="212"/>
        <v>11875</v>
      </c>
      <c r="I1415" s="7">
        <v>10475</v>
      </c>
      <c r="J1415" s="7">
        <v>1400</v>
      </c>
      <c r="K1415" s="99">
        <f t="shared" si="213"/>
        <v>26401.5</v>
      </c>
      <c r="L1415" s="7">
        <v>4000</v>
      </c>
      <c r="M1415" s="7">
        <v>7000</v>
      </c>
      <c r="N1415" s="7">
        <v>2780</v>
      </c>
      <c r="O1415" s="7">
        <v>5900</v>
      </c>
      <c r="P1415" s="7">
        <v>9842.7099999999991</v>
      </c>
      <c r="Q1415" s="7">
        <v>862.05</v>
      </c>
      <c r="R1415" s="113">
        <f t="shared" si="216"/>
        <v>0.75850201512475657</v>
      </c>
      <c r="S1415" s="113">
        <f t="shared" si="217"/>
        <v>0.29802008608321373</v>
      </c>
      <c r="T1415" s="113">
        <f t="shared" si="218"/>
        <v>0.88210526315789473</v>
      </c>
      <c r="U1415" s="113">
        <f t="shared" si="219"/>
        <v>0.6462091214552883</v>
      </c>
      <c r="V1415" s="31">
        <f t="shared" si="220"/>
        <v>19680</v>
      </c>
    </row>
    <row r="1416" spans="1:22" x14ac:dyDescent="0.45">
      <c r="A1416" s="95">
        <v>45976</v>
      </c>
      <c r="B1416" s="96">
        <f t="shared" si="214"/>
        <v>11041.5</v>
      </c>
      <c r="C1416" s="103">
        <v>8375</v>
      </c>
      <c r="D1416" s="114">
        <v>2666.5</v>
      </c>
      <c r="E1416" s="97">
        <f t="shared" si="215"/>
        <v>3485</v>
      </c>
      <c r="F1416" s="7">
        <v>1038.5999999999999</v>
      </c>
      <c r="G1416" s="7">
        <v>2446.4</v>
      </c>
      <c r="H1416" s="98">
        <f t="shared" si="212"/>
        <v>11875</v>
      </c>
      <c r="I1416" s="7">
        <v>10475</v>
      </c>
      <c r="J1416" s="7">
        <v>1400</v>
      </c>
      <c r="K1416" s="99">
        <f t="shared" si="213"/>
        <v>26401.5</v>
      </c>
      <c r="L1416" s="7">
        <v>4000</v>
      </c>
      <c r="M1416" s="7">
        <v>7000</v>
      </c>
      <c r="N1416" s="7">
        <v>2780</v>
      </c>
      <c r="O1416" s="7">
        <v>5900</v>
      </c>
      <c r="P1416" s="7">
        <v>9842.7099999999991</v>
      </c>
      <c r="Q1416" s="7">
        <v>862.05</v>
      </c>
      <c r="R1416" s="113">
        <f t="shared" si="216"/>
        <v>0.75850201512475657</v>
      </c>
      <c r="S1416" s="113">
        <f t="shared" si="217"/>
        <v>0.29802008608321373</v>
      </c>
      <c r="T1416" s="113">
        <f t="shared" si="218"/>
        <v>0.88210526315789473</v>
      </c>
      <c r="U1416" s="113">
        <f t="shared" si="219"/>
        <v>0.6462091214552883</v>
      </c>
      <c r="V1416" s="31">
        <f t="shared" si="220"/>
        <v>19680</v>
      </c>
    </row>
    <row r="1417" spans="1:22" x14ac:dyDescent="0.45">
      <c r="A1417" s="95">
        <v>45977</v>
      </c>
      <c r="B1417" s="96">
        <f t="shared" si="214"/>
        <v>11041.5</v>
      </c>
      <c r="C1417" s="103">
        <v>8375</v>
      </c>
      <c r="D1417" s="114">
        <v>2666.5</v>
      </c>
      <c r="E1417" s="97">
        <f t="shared" si="215"/>
        <v>3485</v>
      </c>
      <c r="F1417" s="7">
        <v>1038.5999999999999</v>
      </c>
      <c r="G1417" s="7">
        <v>2446.4</v>
      </c>
      <c r="H1417" s="98">
        <f t="shared" si="212"/>
        <v>11875</v>
      </c>
      <c r="I1417" s="7">
        <v>10475</v>
      </c>
      <c r="J1417" s="7">
        <v>1400</v>
      </c>
      <c r="K1417" s="99">
        <f t="shared" si="213"/>
        <v>26401.5</v>
      </c>
      <c r="L1417" s="7">
        <v>4000</v>
      </c>
      <c r="M1417" s="7">
        <v>7000</v>
      </c>
      <c r="N1417" s="7">
        <v>2780</v>
      </c>
      <c r="O1417" s="7">
        <v>5900</v>
      </c>
      <c r="P1417" s="7">
        <v>9842.7099999999991</v>
      </c>
      <c r="Q1417" s="7">
        <v>862.05</v>
      </c>
      <c r="R1417" s="113">
        <f t="shared" si="216"/>
        <v>0.75850201512475657</v>
      </c>
      <c r="S1417" s="113">
        <f t="shared" si="217"/>
        <v>0.29802008608321373</v>
      </c>
      <c r="T1417" s="113">
        <f t="shared" si="218"/>
        <v>0.88210526315789473</v>
      </c>
      <c r="U1417" s="113">
        <f t="shared" si="219"/>
        <v>0.6462091214552883</v>
      </c>
      <c r="V1417" s="31">
        <f t="shared" si="220"/>
        <v>19680</v>
      </c>
    </row>
    <row r="1418" spans="1:22" x14ac:dyDescent="0.45">
      <c r="A1418" s="95">
        <v>45978</v>
      </c>
      <c r="B1418" s="96">
        <f t="shared" si="214"/>
        <v>11041.5</v>
      </c>
      <c r="C1418" s="103">
        <v>8375</v>
      </c>
      <c r="D1418" s="114">
        <v>2666.5</v>
      </c>
      <c r="E1418" s="97">
        <f t="shared" si="215"/>
        <v>3485</v>
      </c>
      <c r="F1418" s="7">
        <v>1038.5999999999999</v>
      </c>
      <c r="G1418" s="7">
        <v>2446.4</v>
      </c>
      <c r="H1418" s="98">
        <f t="shared" si="212"/>
        <v>11875</v>
      </c>
      <c r="I1418" s="7">
        <v>10475</v>
      </c>
      <c r="J1418" s="7">
        <v>1400</v>
      </c>
      <c r="K1418" s="99">
        <f t="shared" si="213"/>
        <v>26401.5</v>
      </c>
      <c r="L1418" s="7">
        <v>4000</v>
      </c>
      <c r="M1418" s="7">
        <v>7000</v>
      </c>
      <c r="N1418" s="7">
        <v>3845</v>
      </c>
      <c r="O1418" s="7">
        <v>6750</v>
      </c>
      <c r="P1418" s="7">
        <v>9842.7099999999991</v>
      </c>
      <c r="Q1418" s="7">
        <v>-734.41</v>
      </c>
      <c r="R1418" s="113">
        <f t="shared" si="216"/>
        <v>0.75850201512475657</v>
      </c>
      <c r="S1418" s="113">
        <f t="shared" si="217"/>
        <v>0.29802008608321373</v>
      </c>
      <c r="T1418" s="113">
        <f t="shared" si="218"/>
        <v>0.88210526315789473</v>
      </c>
      <c r="U1418" s="113">
        <f t="shared" si="219"/>
        <v>0.6462091214552883</v>
      </c>
      <c r="V1418" s="31">
        <f t="shared" si="220"/>
        <v>21595</v>
      </c>
    </row>
    <row r="1419" spans="1:22" x14ac:dyDescent="0.45">
      <c r="A1419" s="95">
        <v>45979</v>
      </c>
      <c r="B1419" s="96">
        <f t="shared" si="214"/>
        <v>11041.5</v>
      </c>
      <c r="C1419" s="103">
        <v>8375</v>
      </c>
      <c r="D1419" s="114">
        <v>2666.5</v>
      </c>
      <c r="E1419" s="97">
        <f t="shared" si="215"/>
        <v>3485</v>
      </c>
      <c r="F1419" s="7">
        <v>1038.5999999999999</v>
      </c>
      <c r="G1419" s="7">
        <v>2446.4</v>
      </c>
      <c r="H1419" s="98">
        <f t="shared" si="212"/>
        <v>11875</v>
      </c>
      <c r="I1419" s="7">
        <v>10475</v>
      </c>
      <c r="J1419" s="7">
        <v>1400</v>
      </c>
      <c r="K1419" s="99">
        <f t="shared" si="213"/>
        <v>26401.5</v>
      </c>
      <c r="L1419" s="7">
        <v>4000</v>
      </c>
      <c r="M1419" s="7">
        <v>7000</v>
      </c>
      <c r="N1419" s="7">
        <v>3971</v>
      </c>
      <c r="O1419" s="7">
        <v>6070</v>
      </c>
      <c r="P1419" s="7">
        <v>9842.7099999999991</v>
      </c>
      <c r="Q1419" s="7">
        <v>-162.5</v>
      </c>
      <c r="R1419" s="113">
        <f t="shared" si="216"/>
        <v>0.75850201512475657</v>
      </c>
      <c r="S1419" s="113">
        <f t="shared" si="217"/>
        <v>0.29802008608321373</v>
      </c>
      <c r="T1419" s="113">
        <f t="shared" si="218"/>
        <v>0.88210526315789473</v>
      </c>
      <c r="U1419" s="113">
        <f t="shared" si="219"/>
        <v>0.6462091214552883</v>
      </c>
      <c r="V1419" s="31">
        <f t="shared" si="220"/>
        <v>21041</v>
      </c>
    </row>
    <row r="1420" spans="1:22" x14ac:dyDescent="0.45">
      <c r="A1420" s="95">
        <v>45980</v>
      </c>
      <c r="B1420" s="96">
        <f t="shared" si="214"/>
        <v>11041.5</v>
      </c>
      <c r="C1420" s="103">
        <v>8375</v>
      </c>
      <c r="D1420" s="114">
        <v>2666.5</v>
      </c>
      <c r="E1420" s="97">
        <f t="shared" si="215"/>
        <v>3485</v>
      </c>
      <c r="F1420" s="7">
        <v>1038.5999999999999</v>
      </c>
      <c r="G1420" s="7">
        <v>2446.4</v>
      </c>
      <c r="H1420" s="98">
        <f t="shared" si="212"/>
        <v>11875</v>
      </c>
      <c r="I1420" s="7">
        <v>10475</v>
      </c>
      <c r="J1420" s="7">
        <v>1400</v>
      </c>
      <c r="K1420" s="99">
        <f t="shared" si="213"/>
        <v>26401.5</v>
      </c>
      <c r="L1420" s="7">
        <v>4000</v>
      </c>
      <c r="M1420" s="7">
        <v>7000</v>
      </c>
      <c r="N1420" s="7">
        <v>3615</v>
      </c>
      <c r="O1420" s="7">
        <v>6050</v>
      </c>
      <c r="P1420" s="7">
        <v>9842.7099999999991</v>
      </c>
      <c r="Q1420" s="7">
        <v>-163.19</v>
      </c>
      <c r="R1420" s="113">
        <f t="shared" si="216"/>
        <v>0.75850201512475657</v>
      </c>
      <c r="S1420" s="113">
        <f t="shared" si="217"/>
        <v>0.29802008608321373</v>
      </c>
      <c r="T1420" s="113">
        <f t="shared" si="218"/>
        <v>0.88210526315789473</v>
      </c>
      <c r="U1420" s="113">
        <f t="shared" si="219"/>
        <v>0.6462091214552883</v>
      </c>
      <c r="V1420" s="31">
        <f t="shared" si="220"/>
        <v>20665</v>
      </c>
    </row>
    <row r="1421" spans="1:22" x14ac:dyDescent="0.45">
      <c r="A1421" s="95">
        <v>45981</v>
      </c>
      <c r="B1421" s="96">
        <f t="shared" si="214"/>
        <v>11441.5</v>
      </c>
      <c r="C1421" s="103">
        <v>8755</v>
      </c>
      <c r="D1421" s="114">
        <v>2686.5</v>
      </c>
      <c r="E1421" s="97">
        <f t="shared" si="215"/>
        <v>3485</v>
      </c>
      <c r="F1421" s="7">
        <v>1038.5999999999999</v>
      </c>
      <c r="G1421" s="7">
        <v>2446.4</v>
      </c>
      <c r="H1421" s="98">
        <f t="shared" si="212"/>
        <v>11875</v>
      </c>
      <c r="I1421" s="7">
        <v>10475</v>
      </c>
      <c r="J1421" s="7">
        <v>1400</v>
      </c>
      <c r="K1421" s="99">
        <f t="shared" si="213"/>
        <v>26801.5</v>
      </c>
      <c r="L1421" s="7">
        <v>4000</v>
      </c>
      <c r="M1421" s="7">
        <v>7000</v>
      </c>
      <c r="N1421" s="7">
        <v>3547</v>
      </c>
      <c r="O1421" s="7">
        <v>5200</v>
      </c>
      <c r="P1421" s="7">
        <v>9842.7099999999991</v>
      </c>
      <c r="Q1421" s="7">
        <v>628.13</v>
      </c>
      <c r="R1421" s="113">
        <f t="shared" si="216"/>
        <v>0.76519687103963641</v>
      </c>
      <c r="S1421" s="113">
        <f t="shared" si="217"/>
        <v>0.29802008608321373</v>
      </c>
      <c r="T1421" s="113">
        <f t="shared" si="218"/>
        <v>0.88210526315789473</v>
      </c>
      <c r="U1421" s="113">
        <f t="shared" si="219"/>
        <v>0.64844074009358155</v>
      </c>
      <c r="V1421" s="31">
        <f t="shared" si="220"/>
        <v>19747</v>
      </c>
    </row>
    <row r="1422" spans="1:22" x14ac:dyDescent="0.45">
      <c r="A1422" s="95">
        <v>45982</v>
      </c>
      <c r="B1422" s="96">
        <f t="shared" si="214"/>
        <v>11441.5</v>
      </c>
      <c r="C1422" s="103">
        <v>8755</v>
      </c>
      <c r="D1422" s="114">
        <v>2686.5</v>
      </c>
      <c r="E1422" s="97">
        <f t="shared" si="215"/>
        <v>3485</v>
      </c>
      <c r="F1422" s="7">
        <v>1038.5999999999999</v>
      </c>
      <c r="G1422" s="7">
        <v>2446.4</v>
      </c>
      <c r="H1422" s="98">
        <f t="shared" si="212"/>
        <v>11875</v>
      </c>
      <c r="I1422" s="7">
        <v>10475</v>
      </c>
      <c r="J1422" s="7">
        <v>1400</v>
      </c>
      <c r="K1422" s="99">
        <f t="shared" si="213"/>
        <v>26801.5</v>
      </c>
      <c r="L1422" s="7">
        <v>4000</v>
      </c>
      <c r="M1422" s="7">
        <v>7000</v>
      </c>
      <c r="N1422" s="7">
        <v>3082</v>
      </c>
      <c r="O1422" s="7">
        <v>5400</v>
      </c>
      <c r="P1422" s="7">
        <v>9842.7099999999991</v>
      </c>
      <c r="Q1422" s="7">
        <v>1161.55</v>
      </c>
      <c r="R1422" s="113">
        <f t="shared" si="216"/>
        <v>0.76519687103963641</v>
      </c>
      <c r="S1422" s="113">
        <f t="shared" si="217"/>
        <v>0.29802008608321373</v>
      </c>
      <c r="T1422" s="113">
        <f t="shared" si="218"/>
        <v>0.88210526315789473</v>
      </c>
      <c r="U1422" s="113">
        <f t="shared" si="219"/>
        <v>0.64844074009358155</v>
      </c>
      <c r="V1422" s="31">
        <f t="shared" si="220"/>
        <v>19482</v>
      </c>
    </row>
    <row r="1423" spans="1:22" x14ac:dyDescent="0.45">
      <c r="A1423" s="95">
        <v>45983</v>
      </c>
      <c r="B1423" s="96">
        <f t="shared" si="214"/>
        <v>11441.5</v>
      </c>
      <c r="C1423" s="103">
        <v>8755</v>
      </c>
      <c r="D1423" s="114">
        <v>2686.5</v>
      </c>
      <c r="E1423" s="97">
        <f t="shared" si="215"/>
        <v>3485</v>
      </c>
      <c r="F1423" s="7">
        <v>1038.5999999999999</v>
      </c>
      <c r="G1423" s="7">
        <v>2446.4</v>
      </c>
      <c r="H1423" s="98">
        <f t="shared" si="212"/>
        <v>11875</v>
      </c>
      <c r="I1423" s="7">
        <v>10475</v>
      </c>
      <c r="J1423" s="7">
        <v>1400</v>
      </c>
      <c r="K1423" s="99">
        <f t="shared" si="213"/>
        <v>26801.5</v>
      </c>
      <c r="L1423" s="7">
        <v>4000</v>
      </c>
      <c r="M1423" s="7">
        <v>7000</v>
      </c>
      <c r="N1423" s="7">
        <v>3082</v>
      </c>
      <c r="O1423" s="7">
        <v>5400</v>
      </c>
      <c r="P1423" s="7">
        <v>9842.7099999999991</v>
      </c>
      <c r="Q1423" s="7">
        <v>1161.55</v>
      </c>
      <c r="R1423" s="113">
        <f t="shared" si="216"/>
        <v>0.76519687103963641</v>
      </c>
      <c r="S1423" s="113">
        <f t="shared" si="217"/>
        <v>0.29802008608321373</v>
      </c>
      <c r="T1423" s="113">
        <f t="shared" si="218"/>
        <v>0.88210526315789473</v>
      </c>
      <c r="U1423" s="113">
        <f t="shared" si="219"/>
        <v>0.64844074009358155</v>
      </c>
      <c r="V1423" s="31">
        <f t="shared" si="220"/>
        <v>19482</v>
      </c>
    </row>
    <row r="1424" spans="1:22" x14ac:dyDescent="0.45">
      <c r="A1424" s="95">
        <v>45984</v>
      </c>
      <c r="B1424" s="96">
        <f t="shared" si="214"/>
        <v>11441.5</v>
      </c>
      <c r="C1424" s="103">
        <v>8755</v>
      </c>
      <c r="D1424" s="114">
        <v>2686.5</v>
      </c>
      <c r="E1424" s="97">
        <f t="shared" si="215"/>
        <v>3485</v>
      </c>
      <c r="F1424" s="7">
        <v>1038.5999999999999</v>
      </c>
      <c r="G1424" s="7">
        <v>2446.4</v>
      </c>
      <c r="H1424" s="98">
        <f t="shared" si="212"/>
        <v>11875</v>
      </c>
      <c r="I1424" s="7">
        <v>10475</v>
      </c>
      <c r="J1424" s="7">
        <v>1400</v>
      </c>
      <c r="K1424" s="99">
        <f t="shared" si="213"/>
        <v>26801.5</v>
      </c>
      <c r="L1424" s="7">
        <v>4000</v>
      </c>
      <c r="M1424" s="7">
        <v>7000</v>
      </c>
      <c r="N1424" s="7">
        <v>3082</v>
      </c>
      <c r="O1424" s="7">
        <v>5400</v>
      </c>
      <c r="P1424" s="7">
        <v>9842.7099999999991</v>
      </c>
      <c r="Q1424" s="7">
        <v>1161.55</v>
      </c>
      <c r="R1424" s="113">
        <f t="shared" si="216"/>
        <v>0.76519687103963641</v>
      </c>
      <c r="S1424" s="113">
        <f t="shared" si="217"/>
        <v>0.29802008608321373</v>
      </c>
      <c r="T1424" s="113">
        <f t="shared" si="218"/>
        <v>0.88210526315789473</v>
      </c>
      <c r="U1424" s="113">
        <f t="shared" si="219"/>
        <v>0.64844074009358155</v>
      </c>
      <c r="V1424" s="31">
        <f t="shared" si="220"/>
        <v>19482</v>
      </c>
    </row>
    <row r="1425" spans="1:22" x14ac:dyDescent="0.45">
      <c r="A1425" s="95">
        <v>45985</v>
      </c>
      <c r="B1425" s="96">
        <f t="shared" si="214"/>
        <v>11441.5</v>
      </c>
      <c r="C1425" s="103">
        <v>8755</v>
      </c>
      <c r="D1425" s="114">
        <v>2686.5</v>
      </c>
      <c r="E1425" s="97">
        <f t="shared" si="215"/>
        <v>3485</v>
      </c>
      <c r="F1425" s="7">
        <v>1038.5999999999999</v>
      </c>
      <c r="G1425" s="7">
        <v>2446.4</v>
      </c>
      <c r="H1425" s="98">
        <f t="shared" si="212"/>
        <v>11875</v>
      </c>
      <c r="I1425" s="7">
        <v>10475</v>
      </c>
      <c r="J1425" s="7">
        <v>1400</v>
      </c>
      <c r="K1425" s="99">
        <f t="shared" si="213"/>
        <v>26801.5</v>
      </c>
      <c r="L1425" s="7">
        <v>4000</v>
      </c>
      <c r="M1425" s="7">
        <v>7000</v>
      </c>
      <c r="N1425" s="7">
        <v>4402</v>
      </c>
      <c r="O1425" s="7">
        <v>5150</v>
      </c>
      <c r="P1425" s="7">
        <v>9969.3327702253428</v>
      </c>
      <c r="Q1425" s="7">
        <v>1305.74</v>
      </c>
      <c r="R1425" s="113">
        <f t="shared" si="216"/>
        <v>0.76519687103963641</v>
      </c>
      <c r="S1425" s="113">
        <f t="shared" si="217"/>
        <v>0.29802008608321373</v>
      </c>
      <c r="T1425" s="113">
        <f t="shared" si="218"/>
        <v>0.88210526315789473</v>
      </c>
      <c r="U1425" s="113">
        <f t="shared" si="219"/>
        <v>0.64844074009358155</v>
      </c>
      <c r="V1425" s="31">
        <f t="shared" si="220"/>
        <v>20552</v>
      </c>
    </row>
    <row r="1426" spans="1:22" x14ac:dyDescent="0.45">
      <c r="A1426" s="95">
        <v>45986</v>
      </c>
      <c r="B1426" s="96">
        <f t="shared" si="214"/>
        <v>11441.5</v>
      </c>
      <c r="C1426" s="103">
        <v>8755</v>
      </c>
      <c r="D1426" s="114">
        <v>2686.5</v>
      </c>
      <c r="E1426" s="97">
        <f t="shared" si="215"/>
        <v>3485</v>
      </c>
      <c r="F1426" s="7">
        <v>1038.5999999999999</v>
      </c>
      <c r="G1426" s="7">
        <v>2446.4</v>
      </c>
      <c r="H1426" s="98">
        <f t="shared" si="212"/>
        <v>11875</v>
      </c>
      <c r="I1426" s="7">
        <v>10475</v>
      </c>
      <c r="J1426" s="7">
        <v>1400</v>
      </c>
      <c r="K1426" s="99">
        <f t="shared" si="213"/>
        <v>26801.5</v>
      </c>
      <c r="L1426" s="7">
        <v>4000</v>
      </c>
      <c r="M1426" s="7">
        <v>7000</v>
      </c>
      <c r="N1426" s="7">
        <v>5429</v>
      </c>
      <c r="O1426" s="7">
        <v>5140</v>
      </c>
      <c r="P1426" s="7">
        <v>9969.3327702253428</v>
      </c>
      <c r="Q1426" s="7">
        <v>87.69</v>
      </c>
      <c r="R1426" s="113">
        <f t="shared" si="216"/>
        <v>0.76519687103963641</v>
      </c>
      <c r="S1426" s="113">
        <f t="shared" si="217"/>
        <v>0.29802008608321373</v>
      </c>
      <c r="T1426" s="113">
        <f t="shared" si="218"/>
        <v>0.88210526315789473</v>
      </c>
      <c r="U1426" s="113">
        <f t="shared" si="219"/>
        <v>0.64844074009358155</v>
      </c>
      <c r="V1426" s="31">
        <f t="shared" si="220"/>
        <v>21569</v>
      </c>
    </row>
    <row r="1427" spans="1:22" x14ac:dyDescent="0.45">
      <c r="A1427" s="95">
        <v>45987</v>
      </c>
      <c r="B1427" s="96">
        <f t="shared" si="214"/>
        <v>11441.5</v>
      </c>
      <c r="C1427" s="103">
        <v>8755</v>
      </c>
      <c r="D1427" s="114">
        <v>2686.5</v>
      </c>
      <c r="E1427" s="97">
        <f t="shared" si="215"/>
        <v>3485</v>
      </c>
      <c r="F1427" s="7">
        <v>1038.5999999999999</v>
      </c>
      <c r="G1427" s="7">
        <v>2446.4</v>
      </c>
      <c r="H1427" s="98">
        <f t="shared" si="212"/>
        <v>11875</v>
      </c>
      <c r="I1427" s="7">
        <v>10475</v>
      </c>
      <c r="J1427" s="7">
        <v>1400</v>
      </c>
      <c r="K1427" s="99">
        <f t="shared" si="213"/>
        <v>26801.5</v>
      </c>
      <c r="L1427" s="7">
        <v>4000</v>
      </c>
      <c r="M1427" s="7">
        <v>7000</v>
      </c>
      <c r="N1427" s="7">
        <v>5999</v>
      </c>
      <c r="O1427" s="7">
        <v>5085</v>
      </c>
      <c r="P1427" s="7">
        <v>9969.3327702253428</v>
      </c>
      <c r="Q1427" s="7">
        <v>-206.35</v>
      </c>
      <c r="R1427" s="113">
        <f t="shared" si="216"/>
        <v>0.76519687103963641</v>
      </c>
      <c r="S1427" s="113">
        <f t="shared" si="217"/>
        <v>0.29802008608321373</v>
      </c>
      <c r="T1427" s="113">
        <f t="shared" si="218"/>
        <v>0.88210526315789473</v>
      </c>
      <c r="U1427" s="113">
        <f t="shared" si="219"/>
        <v>0.64844074009358155</v>
      </c>
      <c r="V1427" s="31">
        <f t="shared" si="220"/>
        <v>22084</v>
      </c>
    </row>
    <row r="1428" spans="1:22" x14ac:dyDescent="0.45">
      <c r="A1428" s="95">
        <v>45988</v>
      </c>
      <c r="B1428" s="96">
        <f t="shared" si="214"/>
        <v>10791.5</v>
      </c>
      <c r="C1428" s="103">
        <v>8105</v>
      </c>
      <c r="D1428" s="114">
        <v>2686.5</v>
      </c>
      <c r="E1428" s="97">
        <f t="shared" si="215"/>
        <v>3485</v>
      </c>
      <c r="F1428" s="7">
        <v>1198.5999999999999</v>
      </c>
      <c r="G1428" s="7">
        <v>2286.4</v>
      </c>
      <c r="H1428" s="98">
        <f t="shared" si="212"/>
        <v>11875</v>
      </c>
      <c r="I1428" s="7">
        <v>10475</v>
      </c>
      <c r="J1428" s="7">
        <v>1400</v>
      </c>
      <c r="K1428" s="99">
        <f t="shared" si="213"/>
        <v>26151.5</v>
      </c>
      <c r="L1428" s="7">
        <v>4000</v>
      </c>
      <c r="M1428" s="7">
        <v>7000</v>
      </c>
      <c r="N1428" s="7">
        <v>5088</v>
      </c>
      <c r="O1428" s="7">
        <v>6140</v>
      </c>
      <c r="P1428" s="7">
        <v>9969.3327702253428</v>
      </c>
      <c r="Q1428" s="7">
        <v>485.81</v>
      </c>
      <c r="R1428" s="113">
        <f t="shared" ref="R1428:R1434" si="221">C1428/B1428</f>
        <v>0.75105407033313254</v>
      </c>
      <c r="S1428" s="113">
        <f t="shared" ref="S1428:S1434" si="222">F1428/E1428</f>
        <v>0.34393113342898129</v>
      </c>
      <c r="T1428" s="113">
        <f t="shared" ref="T1428:T1434" si="223">IF(H1428=0,0,I1428/H1428)</f>
        <v>0.88210526315789473</v>
      </c>
      <c r="U1428" s="113">
        <f t="shared" ref="U1428:U1434" si="224">AVERAGE(R1428:T1428)</f>
        <v>0.65903015564000278</v>
      </c>
      <c r="V1428" s="31">
        <f t="shared" si="220"/>
        <v>22228</v>
      </c>
    </row>
    <row r="1429" spans="1:22" x14ac:dyDescent="0.45">
      <c r="A1429" s="95">
        <v>45989</v>
      </c>
      <c r="B1429" s="96">
        <f t="shared" si="214"/>
        <v>10791.5</v>
      </c>
      <c r="C1429" s="103">
        <v>8105</v>
      </c>
      <c r="D1429" s="114">
        <v>2686.5</v>
      </c>
      <c r="E1429" s="97">
        <f t="shared" si="215"/>
        <v>3485</v>
      </c>
      <c r="F1429" s="7">
        <v>1198.5999999999999</v>
      </c>
      <c r="G1429" s="7">
        <v>2286.4</v>
      </c>
      <c r="H1429" s="98">
        <f t="shared" si="212"/>
        <v>11875</v>
      </c>
      <c r="I1429" s="7">
        <v>10475</v>
      </c>
      <c r="J1429" s="7">
        <v>1400</v>
      </c>
      <c r="K1429" s="99">
        <f t="shared" si="213"/>
        <v>26151.5</v>
      </c>
      <c r="L1429" s="7">
        <v>4000</v>
      </c>
      <c r="M1429" s="7">
        <v>7000</v>
      </c>
      <c r="N1429" s="7">
        <v>5088</v>
      </c>
      <c r="O1429" s="7">
        <v>6140</v>
      </c>
      <c r="P1429" s="7">
        <v>9969.3327702253428</v>
      </c>
      <c r="Q1429" s="7">
        <v>485.81</v>
      </c>
      <c r="R1429" s="113">
        <f t="shared" si="221"/>
        <v>0.75105407033313254</v>
      </c>
      <c r="S1429" s="113">
        <f t="shared" si="222"/>
        <v>0.34393113342898129</v>
      </c>
      <c r="T1429" s="113">
        <f t="shared" si="223"/>
        <v>0.88210526315789473</v>
      </c>
      <c r="U1429" s="113">
        <f t="shared" si="224"/>
        <v>0.65903015564000278</v>
      </c>
      <c r="V1429" s="31">
        <f t="shared" si="220"/>
        <v>22228</v>
      </c>
    </row>
    <row r="1430" spans="1:22" x14ac:dyDescent="0.45">
      <c r="A1430" s="95">
        <v>45990</v>
      </c>
      <c r="B1430" s="96">
        <f t="shared" si="214"/>
        <v>10791.5</v>
      </c>
      <c r="C1430" s="103">
        <v>8105</v>
      </c>
      <c r="D1430" s="114">
        <v>2686.5</v>
      </c>
      <c r="E1430" s="97">
        <f t="shared" si="215"/>
        <v>3485</v>
      </c>
      <c r="F1430" s="7">
        <v>1198.5999999999999</v>
      </c>
      <c r="G1430" s="7">
        <v>2286.4</v>
      </c>
      <c r="H1430" s="98">
        <f t="shared" si="212"/>
        <v>11875</v>
      </c>
      <c r="I1430" s="7">
        <v>10475</v>
      </c>
      <c r="J1430" s="7">
        <v>1400</v>
      </c>
      <c r="K1430" s="99">
        <f t="shared" si="213"/>
        <v>26151.5</v>
      </c>
      <c r="L1430" s="7">
        <v>4000</v>
      </c>
      <c r="M1430" s="7">
        <v>7000</v>
      </c>
      <c r="N1430" s="7">
        <v>5088</v>
      </c>
      <c r="O1430" s="7">
        <v>6140</v>
      </c>
      <c r="P1430" s="7">
        <v>9969.3327702253428</v>
      </c>
      <c r="Q1430" s="7">
        <v>485.81</v>
      </c>
      <c r="R1430" s="113">
        <f t="shared" si="221"/>
        <v>0.75105407033313254</v>
      </c>
      <c r="S1430" s="113">
        <f t="shared" si="222"/>
        <v>0.34393113342898129</v>
      </c>
      <c r="T1430" s="113">
        <f t="shared" si="223"/>
        <v>0.88210526315789473</v>
      </c>
      <c r="U1430" s="113">
        <f t="shared" si="224"/>
        <v>0.65903015564000278</v>
      </c>
      <c r="V1430" s="31">
        <f t="shared" si="220"/>
        <v>22228</v>
      </c>
    </row>
    <row r="1431" spans="1:22" x14ac:dyDescent="0.45">
      <c r="A1431" s="95">
        <v>45991</v>
      </c>
      <c r="B1431" s="96">
        <f t="shared" si="214"/>
        <v>10791.5</v>
      </c>
      <c r="C1431" s="103">
        <v>8105</v>
      </c>
      <c r="D1431" s="114">
        <v>2686.5</v>
      </c>
      <c r="E1431" s="97">
        <f t="shared" si="215"/>
        <v>3485</v>
      </c>
      <c r="F1431" s="7">
        <v>1198.5999999999999</v>
      </c>
      <c r="G1431" s="7">
        <v>2286.4</v>
      </c>
      <c r="H1431" s="98">
        <f t="shared" si="212"/>
        <v>11875</v>
      </c>
      <c r="I1431" s="7">
        <v>10475</v>
      </c>
      <c r="J1431" s="7">
        <v>1400</v>
      </c>
      <c r="K1431" s="99">
        <f t="shared" si="213"/>
        <v>26151.5</v>
      </c>
      <c r="L1431" s="7">
        <v>4000</v>
      </c>
      <c r="M1431" s="7">
        <v>7000</v>
      </c>
      <c r="N1431" s="7">
        <v>5088</v>
      </c>
      <c r="O1431" s="7">
        <v>6140</v>
      </c>
      <c r="P1431" s="7">
        <v>9969.3327702253428</v>
      </c>
      <c r="Q1431" s="7">
        <v>485.81</v>
      </c>
      <c r="R1431" s="113">
        <f t="shared" si="221"/>
        <v>0.75105407033313254</v>
      </c>
      <c r="S1431" s="113">
        <f t="shared" si="222"/>
        <v>0.34393113342898129</v>
      </c>
      <c r="T1431" s="113">
        <f t="shared" si="223"/>
        <v>0.88210526315789473</v>
      </c>
      <c r="U1431" s="113">
        <f t="shared" si="224"/>
        <v>0.65903015564000278</v>
      </c>
      <c r="V1431" s="31">
        <f t="shared" si="220"/>
        <v>22228</v>
      </c>
    </row>
    <row r="1432" spans="1:22" x14ac:dyDescent="0.45">
      <c r="A1432" s="95">
        <v>45992</v>
      </c>
      <c r="B1432" s="96">
        <f t="shared" si="214"/>
        <v>10791.5</v>
      </c>
      <c r="C1432" s="103">
        <v>8105</v>
      </c>
      <c r="D1432" s="114">
        <v>2686.5</v>
      </c>
      <c r="E1432" s="97">
        <f t="shared" si="215"/>
        <v>3485</v>
      </c>
      <c r="F1432" s="7">
        <v>1198.5999999999999</v>
      </c>
      <c r="G1432" s="7">
        <v>2286.4</v>
      </c>
      <c r="H1432" s="98">
        <f t="shared" si="212"/>
        <v>11875</v>
      </c>
      <c r="I1432" s="7">
        <v>10475</v>
      </c>
      <c r="J1432" s="7">
        <v>1400</v>
      </c>
      <c r="K1432" s="99">
        <f t="shared" si="213"/>
        <v>26151.5</v>
      </c>
      <c r="L1432" s="7">
        <v>4000</v>
      </c>
      <c r="M1432" s="7">
        <v>7000</v>
      </c>
      <c r="N1432" s="7">
        <v>4979</v>
      </c>
      <c r="O1432" s="7">
        <v>240</v>
      </c>
      <c r="P1432" s="7">
        <v>9969.3327702253428</v>
      </c>
      <c r="Q1432" s="7">
        <v>6133.65</v>
      </c>
      <c r="R1432" s="113">
        <f t="shared" si="221"/>
        <v>0.75105407033313254</v>
      </c>
      <c r="S1432" s="113">
        <f t="shared" si="222"/>
        <v>0.34393113342898129</v>
      </c>
      <c r="T1432" s="113">
        <f t="shared" si="223"/>
        <v>0.88210526315789473</v>
      </c>
      <c r="U1432" s="113">
        <f t="shared" si="224"/>
        <v>0.65903015564000278</v>
      </c>
      <c r="V1432" s="31">
        <f t="shared" si="220"/>
        <v>16219</v>
      </c>
    </row>
    <row r="1433" spans="1:22" x14ac:dyDescent="0.45">
      <c r="A1433" s="95">
        <v>45993</v>
      </c>
      <c r="B1433" s="96">
        <f t="shared" si="214"/>
        <v>10791.5</v>
      </c>
      <c r="C1433" s="103">
        <v>8105</v>
      </c>
      <c r="D1433" s="114">
        <v>2686.5</v>
      </c>
      <c r="E1433" s="97">
        <f t="shared" si="215"/>
        <v>3485</v>
      </c>
      <c r="F1433" s="7">
        <v>1198.5999999999999</v>
      </c>
      <c r="G1433" s="7">
        <v>2286.4</v>
      </c>
      <c r="H1433" s="98">
        <f t="shared" si="212"/>
        <v>11875</v>
      </c>
      <c r="I1433" s="7">
        <v>10475</v>
      </c>
      <c r="J1433" s="7">
        <v>1400</v>
      </c>
      <c r="K1433" s="99">
        <f t="shared" si="213"/>
        <v>26151.5</v>
      </c>
      <c r="L1433" s="7">
        <v>4000</v>
      </c>
      <c r="M1433" s="7">
        <v>7000</v>
      </c>
      <c r="N1433" s="7">
        <v>4697</v>
      </c>
      <c r="O1433" s="7">
        <v>265</v>
      </c>
      <c r="P1433" s="7">
        <v>9969.3327702253428</v>
      </c>
      <c r="Q1433" s="7">
        <v>6572.3</v>
      </c>
      <c r="R1433" s="113">
        <f t="shared" si="221"/>
        <v>0.75105407033313254</v>
      </c>
      <c r="S1433" s="113">
        <f t="shared" si="222"/>
        <v>0.34393113342898129</v>
      </c>
      <c r="T1433" s="113">
        <f t="shared" si="223"/>
        <v>0.88210526315789473</v>
      </c>
      <c r="U1433" s="113">
        <f t="shared" si="224"/>
        <v>0.65903015564000278</v>
      </c>
      <c r="V1433" s="31">
        <f t="shared" si="220"/>
        <v>15962</v>
      </c>
    </row>
    <row r="1434" spans="1:22" x14ac:dyDescent="0.45">
      <c r="A1434" s="95">
        <v>45994</v>
      </c>
      <c r="B1434" s="96">
        <f t="shared" si="214"/>
        <v>10791.5</v>
      </c>
      <c r="C1434" s="103">
        <v>8105</v>
      </c>
      <c r="D1434" s="114">
        <v>2686.5</v>
      </c>
      <c r="E1434" s="97">
        <f t="shared" si="215"/>
        <v>3485</v>
      </c>
      <c r="F1434" s="7">
        <v>1198.5999999999999</v>
      </c>
      <c r="G1434" s="7">
        <v>2286.4</v>
      </c>
      <c r="H1434" s="98">
        <f t="shared" si="212"/>
        <v>11875</v>
      </c>
      <c r="I1434" s="7">
        <v>10475</v>
      </c>
      <c r="J1434" s="7">
        <v>1400</v>
      </c>
      <c r="K1434" s="99">
        <f t="shared" si="213"/>
        <v>26151.5</v>
      </c>
      <c r="L1434" s="7">
        <v>4000</v>
      </c>
      <c r="M1434" s="7">
        <v>7000</v>
      </c>
      <c r="N1434" s="7">
        <v>3779</v>
      </c>
      <c r="O1434" s="7">
        <v>9265</v>
      </c>
      <c r="P1434" s="7">
        <v>9969.3327702253428</v>
      </c>
      <c r="Q1434" s="7">
        <v>-1766.19</v>
      </c>
      <c r="R1434" s="113">
        <f t="shared" si="221"/>
        <v>0.75105407033313254</v>
      </c>
      <c r="S1434" s="113">
        <f t="shared" si="222"/>
        <v>0.34393113342898129</v>
      </c>
      <c r="T1434" s="113">
        <f t="shared" si="223"/>
        <v>0.88210526315789473</v>
      </c>
      <c r="U1434" s="113">
        <f t="shared" si="224"/>
        <v>0.65903015564000278</v>
      </c>
      <c r="V1434" s="31">
        <f t="shared" si="220"/>
        <v>24044</v>
      </c>
    </row>
    <row r="1435" spans="1:22" x14ac:dyDescent="0.45">
      <c r="A1435" s="95">
        <v>45995</v>
      </c>
      <c r="B1435" s="96">
        <f t="shared" si="214"/>
        <v>11288</v>
      </c>
      <c r="C1435" s="103">
        <v>8459.5</v>
      </c>
      <c r="D1435" s="114">
        <v>2828.5</v>
      </c>
      <c r="E1435" s="97">
        <f t="shared" si="215"/>
        <v>3485</v>
      </c>
      <c r="F1435" s="7">
        <v>1198.5999999999999</v>
      </c>
      <c r="G1435" s="7">
        <v>2286.4</v>
      </c>
      <c r="H1435" s="98">
        <f t="shared" si="212"/>
        <v>11875</v>
      </c>
      <c r="I1435" s="7">
        <v>10475</v>
      </c>
      <c r="J1435" s="7">
        <v>1400</v>
      </c>
      <c r="K1435" s="99">
        <f t="shared" si="213"/>
        <v>26648</v>
      </c>
      <c r="L1435" s="7">
        <v>3200</v>
      </c>
      <c r="M1435" s="7">
        <v>11800</v>
      </c>
      <c r="N1435" s="7">
        <v>5442</v>
      </c>
      <c r="O1435" s="7">
        <v>3145</v>
      </c>
      <c r="P1435" s="7">
        <v>9969.3327702253428</v>
      </c>
      <c r="Q1435" s="7">
        <v>-1766.19</v>
      </c>
      <c r="R1435" s="113">
        <f t="shared" ref="R1435:R1464" si="225">C1435/B1435</f>
        <v>0.74942416725726435</v>
      </c>
      <c r="S1435" s="113">
        <f t="shared" ref="S1435:S1464" si="226">F1435/E1435</f>
        <v>0.34393113342898129</v>
      </c>
      <c r="T1435" s="113">
        <f t="shared" ref="T1435:T1464" si="227">IF(H1435=0,0,I1435/H1435)</f>
        <v>0.88210526315789473</v>
      </c>
      <c r="U1435" s="113">
        <f t="shared" ref="U1435:U1464" si="228">AVERAGE(R1435:T1435)</f>
        <v>0.65848685461471346</v>
      </c>
      <c r="V1435" s="31">
        <f t="shared" si="220"/>
        <v>23587</v>
      </c>
    </row>
    <row r="1436" spans="1:22" x14ac:dyDescent="0.45">
      <c r="A1436" s="95">
        <v>45996</v>
      </c>
      <c r="B1436" s="96">
        <f t="shared" si="214"/>
        <v>11288</v>
      </c>
      <c r="C1436" s="103">
        <v>8459.5</v>
      </c>
      <c r="D1436" s="114">
        <v>2828.5</v>
      </c>
      <c r="E1436" s="97">
        <f t="shared" si="215"/>
        <v>3485</v>
      </c>
      <c r="F1436" s="7">
        <v>1198.5999999999999</v>
      </c>
      <c r="G1436" s="7">
        <v>2286.4</v>
      </c>
      <c r="H1436" s="98">
        <f t="shared" si="212"/>
        <v>11875</v>
      </c>
      <c r="I1436" s="7">
        <v>10475</v>
      </c>
      <c r="J1436" s="7">
        <v>1400</v>
      </c>
      <c r="K1436" s="99">
        <f t="shared" si="213"/>
        <v>26648</v>
      </c>
      <c r="L1436" s="7">
        <v>3200</v>
      </c>
      <c r="M1436" s="7">
        <v>11800</v>
      </c>
      <c r="N1436" s="7">
        <v>2277</v>
      </c>
      <c r="O1436" s="7">
        <v>125</v>
      </c>
      <c r="P1436" s="7">
        <v>9969.3327702253428</v>
      </c>
      <c r="Q1436" s="7">
        <v>2236.5500000000002</v>
      </c>
      <c r="R1436" s="113">
        <f t="shared" si="225"/>
        <v>0.74942416725726435</v>
      </c>
      <c r="S1436" s="113">
        <f t="shared" si="226"/>
        <v>0.34393113342898129</v>
      </c>
      <c r="T1436" s="113">
        <f t="shared" si="227"/>
        <v>0.88210526315789473</v>
      </c>
      <c r="U1436" s="113">
        <f t="shared" si="228"/>
        <v>0.65848685461471346</v>
      </c>
      <c r="V1436" s="31">
        <f t="shared" si="220"/>
        <v>17402</v>
      </c>
    </row>
    <row r="1437" spans="1:22" x14ac:dyDescent="0.45">
      <c r="A1437" s="95">
        <v>45997</v>
      </c>
      <c r="B1437" s="96">
        <f t="shared" si="214"/>
        <v>11288</v>
      </c>
      <c r="C1437" s="103">
        <v>8459.5</v>
      </c>
      <c r="D1437" s="114">
        <v>2828.5</v>
      </c>
      <c r="E1437" s="97">
        <f t="shared" si="215"/>
        <v>3485</v>
      </c>
      <c r="F1437" s="7">
        <v>1198.5999999999999</v>
      </c>
      <c r="G1437" s="7">
        <v>2286.4</v>
      </c>
      <c r="H1437" s="98">
        <f t="shared" si="212"/>
        <v>11875</v>
      </c>
      <c r="I1437" s="7">
        <v>10475</v>
      </c>
      <c r="J1437" s="7">
        <v>1400</v>
      </c>
      <c r="K1437" s="99">
        <f t="shared" si="213"/>
        <v>26648</v>
      </c>
      <c r="L1437" s="7">
        <v>3200</v>
      </c>
      <c r="M1437" s="7">
        <v>11800</v>
      </c>
      <c r="N1437" s="7">
        <v>2277</v>
      </c>
      <c r="O1437" s="7">
        <v>125</v>
      </c>
      <c r="P1437" s="7">
        <v>9969.3327702253428</v>
      </c>
      <c r="Q1437" s="7">
        <v>2236.5500000000002</v>
      </c>
      <c r="R1437" s="113">
        <f t="shared" si="225"/>
        <v>0.74942416725726435</v>
      </c>
      <c r="S1437" s="113">
        <f t="shared" si="226"/>
        <v>0.34393113342898129</v>
      </c>
      <c r="T1437" s="113">
        <f t="shared" si="227"/>
        <v>0.88210526315789473</v>
      </c>
      <c r="U1437" s="113">
        <f t="shared" si="228"/>
        <v>0.65848685461471346</v>
      </c>
      <c r="V1437" s="31">
        <f t="shared" si="220"/>
        <v>17402</v>
      </c>
    </row>
    <row r="1438" spans="1:22" x14ac:dyDescent="0.45">
      <c r="A1438" s="95">
        <v>45998</v>
      </c>
      <c r="B1438" s="96">
        <f t="shared" si="214"/>
        <v>11288</v>
      </c>
      <c r="C1438" s="103">
        <v>8459.5</v>
      </c>
      <c r="D1438" s="114">
        <v>2828.5</v>
      </c>
      <c r="E1438" s="97">
        <f t="shared" si="215"/>
        <v>3485</v>
      </c>
      <c r="F1438" s="7">
        <v>1198.5999999999999</v>
      </c>
      <c r="G1438" s="7">
        <v>2286.4</v>
      </c>
      <c r="H1438" s="98">
        <f t="shared" si="212"/>
        <v>11875</v>
      </c>
      <c r="I1438" s="7">
        <v>10475</v>
      </c>
      <c r="J1438" s="7">
        <v>1400</v>
      </c>
      <c r="K1438" s="99">
        <f t="shared" si="213"/>
        <v>26648</v>
      </c>
      <c r="L1438" s="7">
        <v>3200</v>
      </c>
      <c r="M1438" s="7">
        <v>11800</v>
      </c>
      <c r="N1438" s="7">
        <v>2277</v>
      </c>
      <c r="O1438" s="7">
        <v>125</v>
      </c>
      <c r="P1438" s="7">
        <v>9969.3327702253428</v>
      </c>
      <c r="Q1438" s="7">
        <v>2236.5500000000002</v>
      </c>
      <c r="R1438" s="113">
        <f t="shared" si="225"/>
        <v>0.74942416725726435</v>
      </c>
      <c r="S1438" s="113">
        <f t="shared" si="226"/>
        <v>0.34393113342898129</v>
      </c>
      <c r="T1438" s="113">
        <f t="shared" si="227"/>
        <v>0.88210526315789473</v>
      </c>
      <c r="U1438" s="113">
        <f t="shared" si="228"/>
        <v>0.65848685461471346</v>
      </c>
      <c r="V1438" s="31">
        <f t="shared" si="220"/>
        <v>17402</v>
      </c>
    </row>
    <row r="1439" spans="1:22" x14ac:dyDescent="0.45">
      <c r="A1439" s="95">
        <v>45999</v>
      </c>
      <c r="B1439" s="96">
        <f t="shared" si="214"/>
        <v>11288</v>
      </c>
      <c r="C1439" s="103">
        <v>8459.5</v>
      </c>
      <c r="D1439" s="114">
        <v>2828.5</v>
      </c>
      <c r="E1439" s="97">
        <f t="shared" si="215"/>
        <v>3485</v>
      </c>
      <c r="F1439" s="7">
        <v>1198.5999999999999</v>
      </c>
      <c r="G1439" s="7">
        <v>2286.4</v>
      </c>
      <c r="H1439" s="98">
        <f t="shared" si="212"/>
        <v>11875</v>
      </c>
      <c r="I1439" s="7">
        <v>10475</v>
      </c>
      <c r="J1439" s="7">
        <v>1400</v>
      </c>
      <c r="K1439" s="99">
        <f t="shared" si="213"/>
        <v>26648</v>
      </c>
      <c r="L1439" s="7">
        <v>3200</v>
      </c>
      <c r="M1439" s="7">
        <v>11800</v>
      </c>
      <c r="N1439" s="7">
        <v>5077</v>
      </c>
      <c r="O1439" s="7">
        <v>755</v>
      </c>
      <c r="P1439" s="7">
        <v>9969.3327702253428</v>
      </c>
      <c r="Q1439" s="7">
        <v>-1340.95</v>
      </c>
      <c r="R1439" s="113">
        <f t="shared" si="225"/>
        <v>0.74942416725726435</v>
      </c>
      <c r="S1439" s="113">
        <f t="shared" si="226"/>
        <v>0.34393113342898129</v>
      </c>
      <c r="T1439" s="113">
        <f t="shared" si="227"/>
        <v>0.88210526315789473</v>
      </c>
      <c r="U1439" s="113">
        <f t="shared" si="228"/>
        <v>0.65848685461471346</v>
      </c>
      <c r="V1439" s="31">
        <f t="shared" si="220"/>
        <v>20832</v>
      </c>
    </row>
    <row r="1440" spans="1:22" x14ac:dyDescent="0.45">
      <c r="A1440" s="95">
        <v>46000</v>
      </c>
      <c r="B1440" s="96">
        <f t="shared" si="214"/>
        <v>11288</v>
      </c>
      <c r="C1440" s="103">
        <v>8459.5</v>
      </c>
      <c r="D1440" s="114">
        <v>2828.5</v>
      </c>
      <c r="E1440" s="97">
        <f t="shared" si="215"/>
        <v>3485</v>
      </c>
      <c r="F1440" s="7">
        <v>1198.5999999999999</v>
      </c>
      <c r="G1440" s="7">
        <v>2286.4</v>
      </c>
      <c r="H1440" s="98">
        <f t="shared" si="212"/>
        <v>11875</v>
      </c>
      <c r="I1440" s="7">
        <v>10475</v>
      </c>
      <c r="J1440" s="7">
        <v>1400</v>
      </c>
      <c r="K1440" s="99">
        <f t="shared" si="213"/>
        <v>26648</v>
      </c>
      <c r="L1440" s="7">
        <v>3200</v>
      </c>
      <c r="M1440" s="7">
        <v>11800</v>
      </c>
      <c r="N1440" s="7">
        <v>5077</v>
      </c>
      <c r="O1440" s="7">
        <v>755</v>
      </c>
      <c r="P1440" s="7">
        <v>9969.3327702253428</v>
      </c>
      <c r="Q1440" s="7">
        <v>-1547.57</v>
      </c>
      <c r="R1440" s="113">
        <f t="shared" si="225"/>
        <v>0.74942416725726435</v>
      </c>
      <c r="S1440" s="113">
        <f t="shared" si="226"/>
        <v>0.34393113342898129</v>
      </c>
      <c r="T1440" s="113">
        <f t="shared" si="227"/>
        <v>0.88210526315789473</v>
      </c>
      <c r="U1440" s="113">
        <f t="shared" si="228"/>
        <v>0.65848685461471346</v>
      </c>
      <c r="V1440" s="31">
        <f t="shared" si="220"/>
        <v>20832</v>
      </c>
    </row>
    <row r="1441" spans="1:22" x14ac:dyDescent="0.45">
      <c r="A1441" s="95">
        <v>46001</v>
      </c>
      <c r="B1441" s="96">
        <f t="shared" si="214"/>
        <v>11288</v>
      </c>
      <c r="C1441" s="103">
        <v>8459.5</v>
      </c>
      <c r="D1441" s="114">
        <v>2828.5</v>
      </c>
      <c r="E1441" s="97">
        <f t="shared" si="215"/>
        <v>3485</v>
      </c>
      <c r="F1441" s="7">
        <v>1198.5999999999999</v>
      </c>
      <c r="G1441" s="7">
        <v>2286.4</v>
      </c>
      <c r="H1441" s="98">
        <f t="shared" si="212"/>
        <v>11875</v>
      </c>
      <c r="I1441" s="7">
        <v>10475</v>
      </c>
      <c r="J1441" s="7">
        <v>1400</v>
      </c>
      <c r="K1441" s="99">
        <f t="shared" si="213"/>
        <v>26648</v>
      </c>
      <c r="L1441" s="7">
        <v>3200</v>
      </c>
      <c r="M1441" s="7">
        <v>11800</v>
      </c>
      <c r="N1441" s="7">
        <v>5785</v>
      </c>
      <c r="O1441" s="7">
        <v>2630</v>
      </c>
      <c r="P1441" s="7">
        <v>9969.3327702253428</v>
      </c>
      <c r="Q1441" s="7">
        <v>-2139.6999999999998</v>
      </c>
      <c r="R1441" s="113">
        <f t="shared" si="225"/>
        <v>0.74942416725726435</v>
      </c>
      <c r="S1441" s="113">
        <f t="shared" si="226"/>
        <v>0.34393113342898129</v>
      </c>
      <c r="T1441" s="113">
        <f t="shared" si="227"/>
        <v>0.88210526315789473</v>
      </c>
      <c r="U1441" s="113">
        <f t="shared" si="228"/>
        <v>0.65848685461471346</v>
      </c>
      <c r="V1441" s="31">
        <f t="shared" si="220"/>
        <v>23415</v>
      </c>
    </row>
    <row r="1442" spans="1:22" x14ac:dyDescent="0.45">
      <c r="A1442" s="95">
        <v>46002</v>
      </c>
      <c r="B1442" s="96">
        <f t="shared" si="214"/>
        <v>11993</v>
      </c>
      <c r="C1442" s="103">
        <v>9434.5</v>
      </c>
      <c r="D1442" s="114">
        <v>2558.5</v>
      </c>
      <c r="E1442" s="97">
        <f t="shared" si="215"/>
        <v>3485</v>
      </c>
      <c r="F1442" s="7">
        <v>1198.5999999999999</v>
      </c>
      <c r="G1442" s="7">
        <v>2286.4</v>
      </c>
      <c r="H1442" s="98">
        <f t="shared" si="212"/>
        <v>11875</v>
      </c>
      <c r="I1442" s="7">
        <v>10475</v>
      </c>
      <c r="J1442" s="7">
        <v>1400</v>
      </c>
      <c r="K1442" s="99">
        <f t="shared" si="213"/>
        <v>27353</v>
      </c>
      <c r="L1442" s="7">
        <v>3200</v>
      </c>
      <c r="M1442" s="7">
        <v>11800</v>
      </c>
      <c r="N1442" s="7">
        <v>3000</v>
      </c>
      <c r="O1442" s="7">
        <v>2200</v>
      </c>
      <c r="P1442" s="7">
        <v>9969.3327702253428</v>
      </c>
      <c r="Q1442" s="7">
        <v>-166.28</v>
      </c>
      <c r="R1442" s="113">
        <f t="shared" si="225"/>
        <v>0.78666722254648547</v>
      </c>
      <c r="S1442" s="113">
        <f t="shared" si="226"/>
        <v>0.34393113342898129</v>
      </c>
      <c r="T1442" s="113">
        <f t="shared" si="227"/>
        <v>0.88210526315789473</v>
      </c>
      <c r="U1442" s="113">
        <f t="shared" si="228"/>
        <v>0.67090120637778716</v>
      </c>
      <c r="V1442" s="31">
        <f t="shared" si="220"/>
        <v>20200</v>
      </c>
    </row>
    <row r="1443" spans="1:22" x14ac:dyDescent="0.45">
      <c r="A1443" s="95">
        <v>46003</v>
      </c>
      <c r="B1443" s="96">
        <f t="shared" si="214"/>
        <v>11993</v>
      </c>
      <c r="C1443" s="103">
        <v>9434.5</v>
      </c>
      <c r="D1443" s="114">
        <v>2558.5</v>
      </c>
      <c r="E1443" s="97">
        <f t="shared" si="215"/>
        <v>3485</v>
      </c>
      <c r="F1443" s="7">
        <v>1198.5999999999999</v>
      </c>
      <c r="G1443" s="7">
        <v>2286.4</v>
      </c>
      <c r="H1443" s="98">
        <f t="shared" si="212"/>
        <v>11875</v>
      </c>
      <c r="I1443" s="7">
        <v>10475</v>
      </c>
      <c r="J1443" s="7">
        <v>1400</v>
      </c>
      <c r="K1443" s="99">
        <f t="shared" si="213"/>
        <v>27353</v>
      </c>
      <c r="L1443" s="7">
        <v>3200</v>
      </c>
      <c r="M1443" s="7">
        <v>11800</v>
      </c>
      <c r="N1443" s="7">
        <v>3400</v>
      </c>
      <c r="O1443" s="7">
        <v>2200</v>
      </c>
      <c r="P1443" s="7">
        <v>9969.3327702253428</v>
      </c>
      <c r="Q1443" s="7">
        <v>-499.44</v>
      </c>
      <c r="R1443" s="113">
        <f t="shared" si="225"/>
        <v>0.78666722254648547</v>
      </c>
      <c r="S1443" s="113">
        <f t="shared" si="226"/>
        <v>0.34393113342898129</v>
      </c>
      <c r="T1443" s="113">
        <f t="shared" si="227"/>
        <v>0.88210526315789473</v>
      </c>
      <c r="U1443" s="113">
        <f t="shared" si="228"/>
        <v>0.67090120637778716</v>
      </c>
      <c r="V1443" s="31">
        <f t="shared" si="220"/>
        <v>20600</v>
      </c>
    </row>
    <row r="1444" spans="1:22" x14ac:dyDescent="0.45">
      <c r="A1444" s="95">
        <v>46004</v>
      </c>
      <c r="B1444" s="96">
        <f t="shared" si="214"/>
        <v>11993</v>
      </c>
      <c r="C1444" s="103">
        <v>9434.5</v>
      </c>
      <c r="D1444" s="114">
        <v>2558.5</v>
      </c>
      <c r="E1444" s="97">
        <f t="shared" si="215"/>
        <v>3485</v>
      </c>
      <c r="F1444" s="7">
        <v>1198.5999999999999</v>
      </c>
      <c r="G1444" s="7">
        <v>2286.4</v>
      </c>
      <c r="H1444" s="98">
        <f t="shared" si="212"/>
        <v>11875</v>
      </c>
      <c r="I1444" s="7">
        <v>10475</v>
      </c>
      <c r="J1444" s="7">
        <v>1400</v>
      </c>
      <c r="K1444" s="99">
        <f t="shared" si="213"/>
        <v>27353</v>
      </c>
      <c r="L1444" s="7">
        <v>3200</v>
      </c>
      <c r="M1444" s="7">
        <v>11800</v>
      </c>
      <c r="N1444" s="7">
        <v>3400</v>
      </c>
      <c r="O1444" s="7">
        <v>2200</v>
      </c>
      <c r="P1444" s="7">
        <v>9969.3327702253428</v>
      </c>
      <c r="Q1444" s="7">
        <v>-499.44</v>
      </c>
      <c r="R1444" s="113">
        <f t="shared" si="225"/>
        <v>0.78666722254648547</v>
      </c>
      <c r="S1444" s="113">
        <f t="shared" si="226"/>
        <v>0.34393113342898129</v>
      </c>
      <c r="T1444" s="113">
        <f t="shared" si="227"/>
        <v>0.88210526315789473</v>
      </c>
      <c r="U1444" s="113">
        <f t="shared" si="228"/>
        <v>0.67090120637778716</v>
      </c>
      <c r="V1444" s="31">
        <f t="shared" si="220"/>
        <v>20600</v>
      </c>
    </row>
    <row r="1445" spans="1:22" x14ac:dyDescent="0.45">
      <c r="A1445" s="95">
        <v>46005</v>
      </c>
      <c r="B1445" s="96">
        <f t="shared" si="214"/>
        <v>11993</v>
      </c>
      <c r="C1445" s="103">
        <v>9434.5</v>
      </c>
      <c r="D1445" s="114">
        <v>2558.5</v>
      </c>
      <c r="E1445" s="97">
        <f t="shared" si="215"/>
        <v>3485</v>
      </c>
      <c r="F1445" s="7">
        <v>1198.5999999999999</v>
      </c>
      <c r="G1445" s="7">
        <v>2286.4</v>
      </c>
      <c r="H1445" s="98">
        <f t="shared" si="212"/>
        <v>11875</v>
      </c>
      <c r="I1445" s="7">
        <v>10475</v>
      </c>
      <c r="J1445" s="7">
        <v>1400</v>
      </c>
      <c r="K1445" s="99">
        <f t="shared" si="213"/>
        <v>27353</v>
      </c>
      <c r="L1445" s="7">
        <v>3200</v>
      </c>
      <c r="M1445" s="7">
        <v>11800</v>
      </c>
      <c r="N1445" s="7">
        <v>3400</v>
      </c>
      <c r="O1445" s="7">
        <v>2200</v>
      </c>
      <c r="P1445" s="7">
        <v>9969.3327702253428</v>
      </c>
      <c r="Q1445" s="7">
        <v>-499.44</v>
      </c>
      <c r="R1445" s="113">
        <f t="shared" si="225"/>
        <v>0.78666722254648547</v>
      </c>
      <c r="S1445" s="113">
        <f t="shared" si="226"/>
        <v>0.34393113342898129</v>
      </c>
      <c r="T1445" s="113">
        <f t="shared" si="227"/>
        <v>0.88210526315789473</v>
      </c>
      <c r="U1445" s="113">
        <f t="shared" si="228"/>
        <v>0.67090120637778716</v>
      </c>
      <c r="V1445" s="31">
        <f t="shared" si="220"/>
        <v>20600</v>
      </c>
    </row>
    <row r="1446" spans="1:22" x14ac:dyDescent="0.45">
      <c r="A1446" s="95">
        <v>46006</v>
      </c>
      <c r="B1446" s="96">
        <f t="shared" si="214"/>
        <v>11993</v>
      </c>
      <c r="C1446" s="103">
        <v>9434.5</v>
      </c>
      <c r="D1446" s="114">
        <v>2558.5</v>
      </c>
      <c r="E1446" s="97">
        <f t="shared" si="215"/>
        <v>3485</v>
      </c>
      <c r="F1446" s="7">
        <v>1198.5999999999999</v>
      </c>
      <c r="G1446" s="7">
        <v>2286.4</v>
      </c>
      <c r="H1446" s="98">
        <f t="shared" si="212"/>
        <v>11875</v>
      </c>
      <c r="I1446" s="7">
        <v>10475</v>
      </c>
      <c r="J1446" s="7">
        <v>1400</v>
      </c>
      <c r="K1446" s="99">
        <f t="shared" si="213"/>
        <v>27353</v>
      </c>
      <c r="L1446" s="7">
        <v>3200</v>
      </c>
      <c r="M1446" s="7">
        <v>11800</v>
      </c>
      <c r="N1446" s="7">
        <v>1320</v>
      </c>
      <c r="O1446" s="7">
        <v>130</v>
      </c>
      <c r="P1446" s="7">
        <v>9969.3327702253428</v>
      </c>
      <c r="Q1446" s="7">
        <v>4316.5200000000004</v>
      </c>
      <c r="R1446" s="113">
        <f t="shared" si="225"/>
        <v>0.78666722254648547</v>
      </c>
      <c r="S1446" s="113">
        <f t="shared" si="226"/>
        <v>0.34393113342898129</v>
      </c>
      <c r="T1446" s="113">
        <f t="shared" si="227"/>
        <v>0.88210526315789473</v>
      </c>
      <c r="U1446" s="113">
        <f t="shared" si="228"/>
        <v>0.67090120637778716</v>
      </c>
      <c r="V1446" s="31">
        <f t="shared" si="220"/>
        <v>16450</v>
      </c>
    </row>
    <row r="1447" spans="1:22" x14ac:dyDescent="0.45">
      <c r="A1447" s="95">
        <v>46007</v>
      </c>
      <c r="B1447" s="96">
        <f t="shared" si="214"/>
        <v>11993</v>
      </c>
      <c r="C1447" s="103">
        <v>9434.5</v>
      </c>
      <c r="D1447" s="114">
        <v>2558.5</v>
      </c>
      <c r="E1447" s="97">
        <f t="shared" si="215"/>
        <v>3485</v>
      </c>
      <c r="F1447" s="7">
        <v>1198.5999999999999</v>
      </c>
      <c r="G1447" s="7">
        <v>2286.4</v>
      </c>
      <c r="H1447" s="98">
        <f t="shared" si="212"/>
        <v>11875</v>
      </c>
      <c r="I1447" s="7">
        <v>10475</v>
      </c>
      <c r="J1447" s="7">
        <v>1400</v>
      </c>
      <c r="K1447" s="99">
        <f t="shared" si="213"/>
        <v>27353</v>
      </c>
      <c r="L1447" s="7">
        <v>3200</v>
      </c>
      <c r="M1447" s="7">
        <v>11800</v>
      </c>
      <c r="N1447" s="7">
        <v>400</v>
      </c>
      <c r="O1447" s="7">
        <v>130</v>
      </c>
      <c r="P1447" s="7">
        <v>9969.3327702253428</v>
      </c>
      <c r="Q1447" s="7">
        <v>4353.3999999999996</v>
      </c>
      <c r="R1447" s="113">
        <f t="shared" si="225"/>
        <v>0.78666722254648547</v>
      </c>
      <c r="S1447" s="113">
        <f t="shared" si="226"/>
        <v>0.34393113342898129</v>
      </c>
      <c r="T1447" s="113">
        <f t="shared" si="227"/>
        <v>0.88210526315789473</v>
      </c>
      <c r="U1447" s="113">
        <f t="shared" si="228"/>
        <v>0.67090120637778716</v>
      </c>
      <c r="V1447" s="31">
        <f t="shared" si="220"/>
        <v>15530</v>
      </c>
    </row>
    <row r="1448" spans="1:22" x14ac:dyDescent="0.45">
      <c r="A1448" s="95">
        <v>46008</v>
      </c>
      <c r="B1448" s="96">
        <f t="shared" si="214"/>
        <v>11993</v>
      </c>
      <c r="C1448" s="103">
        <v>9434.5</v>
      </c>
      <c r="D1448" s="114">
        <v>2558.5</v>
      </c>
      <c r="E1448" s="97">
        <f t="shared" si="215"/>
        <v>3485</v>
      </c>
      <c r="F1448" s="7">
        <v>1198.5999999999999</v>
      </c>
      <c r="G1448" s="7">
        <v>2286.4</v>
      </c>
      <c r="H1448" s="98">
        <f t="shared" si="212"/>
        <v>11875</v>
      </c>
      <c r="I1448" s="7">
        <v>10475</v>
      </c>
      <c r="J1448" s="7">
        <v>1400</v>
      </c>
      <c r="K1448" s="99">
        <f t="shared" si="213"/>
        <v>27353</v>
      </c>
      <c r="L1448" s="7">
        <v>3200</v>
      </c>
      <c r="M1448" s="7">
        <v>11800</v>
      </c>
      <c r="N1448" s="7">
        <v>400</v>
      </c>
      <c r="O1448" s="7">
        <v>130</v>
      </c>
      <c r="P1448" s="7">
        <v>9969.3327702253428</v>
      </c>
      <c r="Q1448" s="7">
        <v>3219.41</v>
      </c>
      <c r="R1448" s="113">
        <f t="shared" si="225"/>
        <v>0.78666722254648547</v>
      </c>
      <c r="S1448" s="113">
        <f t="shared" si="226"/>
        <v>0.34393113342898129</v>
      </c>
      <c r="T1448" s="113">
        <f t="shared" si="227"/>
        <v>0.88210526315789473</v>
      </c>
      <c r="U1448" s="113">
        <f t="shared" si="228"/>
        <v>0.67090120637778716</v>
      </c>
      <c r="V1448" s="31">
        <f t="shared" si="220"/>
        <v>15530</v>
      </c>
    </row>
    <row r="1449" spans="1:22" x14ac:dyDescent="0.45">
      <c r="A1449" s="95">
        <v>46009</v>
      </c>
      <c r="B1449" s="96">
        <f t="shared" si="214"/>
        <v>13499.5</v>
      </c>
      <c r="C1449" s="103">
        <v>10440</v>
      </c>
      <c r="D1449" s="114">
        <v>3059.5</v>
      </c>
      <c r="E1449" s="97">
        <f t="shared" si="215"/>
        <v>3485</v>
      </c>
      <c r="F1449" s="7">
        <v>1198.5999999999999</v>
      </c>
      <c r="G1449" s="7">
        <v>2286.4</v>
      </c>
      <c r="H1449" s="98">
        <f t="shared" si="212"/>
        <v>11875</v>
      </c>
      <c r="I1449" s="7">
        <v>10475</v>
      </c>
      <c r="J1449" s="7">
        <v>1400</v>
      </c>
      <c r="K1449" s="99">
        <f t="shared" si="213"/>
        <v>28859.5</v>
      </c>
      <c r="L1449" s="7">
        <v>4020</v>
      </c>
      <c r="M1449" s="7">
        <v>14600</v>
      </c>
      <c r="N1449" s="7">
        <v>400</v>
      </c>
      <c r="O1449" s="7">
        <v>0</v>
      </c>
      <c r="P1449" s="7">
        <v>9969.3327702253428</v>
      </c>
      <c r="Q1449" s="7">
        <v>851.09</v>
      </c>
      <c r="R1449" s="113">
        <f t="shared" si="225"/>
        <v>0.77336197636949522</v>
      </c>
      <c r="S1449" s="113">
        <f t="shared" si="226"/>
        <v>0.34393113342898129</v>
      </c>
      <c r="T1449" s="113">
        <f t="shared" si="227"/>
        <v>0.88210526315789473</v>
      </c>
      <c r="U1449" s="113">
        <f t="shared" si="228"/>
        <v>0.66646612431879049</v>
      </c>
      <c r="V1449" s="31">
        <f t="shared" si="220"/>
        <v>19020</v>
      </c>
    </row>
    <row r="1450" spans="1:22" x14ac:dyDescent="0.45">
      <c r="A1450" s="95">
        <v>46010</v>
      </c>
      <c r="B1450" s="96">
        <f t="shared" si="214"/>
        <v>13499.5</v>
      </c>
      <c r="C1450" s="103">
        <v>10440</v>
      </c>
      <c r="D1450" s="114">
        <v>3059.5</v>
      </c>
      <c r="E1450" s="97">
        <f t="shared" si="215"/>
        <v>3485</v>
      </c>
      <c r="F1450" s="7">
        <v>1198.5999999999999</v>
      </c>
      <c r="G1450" s="7">
        <v>2286.4</v>
      </c>
      <c r="H1450" s="98">
        <f t="shared" si="212"/>
        <v>11875</v>
      </c>
      <c r="I1450" s="7">
        <v>10475</v>
      </c>
      <c r="J1450" s="7">
        <v>1400</v>
      </c>
      <c r="K1450" s="99">
        <f t="shared" si="213"/>
        <v>28859.5</v>
      </c>
      <c r="L1450" s="7">
        <v>4020</v>
      </c>
      <c r="M1450" s="7">
        <v>14600</v>
      </c>
      <c r="N1450" s="7">
        <v>2040</v>
      </c>
      <c r="O1450" s="7">
        <v>410</v>
      </c>
      <c r="P1450" s="7">
        <v>9969.3327702253428</v>
      </c>
      <c r="Q1450" s="7">
        <v>-1104.1099999999999</v>
      </c>
      <c r="R1450" s="113">
        <f t="shared" si="225"/>
        <v>0.77336197636949522</v>
      </c>
      <c r="S1450" s="113">
        <f t="shared" si="226"/>
        <v>0.34393113342898129</v>
      </c>
      <c r="T1450" s="113">
        <f t="shared" si="227"/>
        <v>0.88210526315789473</v>
      </c>
      <c r="U1450" s="113">
        <f t="shared" si="228"/>
        <v>0.66646612431879049</v>
      </c>
      <c r="V1450" s="31">
        <f t="shared" si="220"/>
        <v>21070</v>
      </c>
    </row>
    <row r="1451" spans="1:22" x14ac:dyDescent="0.45">
      <c r="A1451" s="95">
        <v>46011</v>
      </c>
      <c r="B1451" s="96">
        <f t="shared" si="214"/>
        <v>13499.5</v>
      </c>
      <c r="C1451" s="103">
        <v>10440</v>
      </c>
      <c r="D1451" s="114">
        <v>3059.5</v>
      </c>
      <c r="E1451" s="97">
        <f t="shared" si="215"/>
        <v>3485</v>
      </c>
      <c r="F1451" s="7">
        <v>1198.5999999999999</v>
      </c>
      <c r="G1451" s="7">
        <v>2286.4</v>
      </c>
      <c r="H1451" s="98">
        <f t="shared" si="212"/>
        <v>11875</v>
      </c>
      <c r="I1451" s="7">
        <v>10475</v>
      </c>
      <c r="J1451" s="7">
        <v>1400</v>
      </c>
      <c r="K1451" s="99">
        <f t="shared" si="213"/>
        <v>28859.5</v>
      </c>
      <c r="L1451" s="7">
        <v>4020</v>
      </c>
      <c r="M1451" s="7">
        <v>14600</v>
      </c>
      <c r="N1451" s="7">
        <v>2040</v>
      </c>
      <c r="O1451" s="7">
        <v>410</v>
      </c>
      <c r="P1451" s="7">
        <v>9969.3327702253428</v>
      </c>
      <c r="Q1451" s="7">
        <v>-1104.1099999999999</v>
      </c>
      <c r="R1451" s="113">
        <f t="shared" si="225"/>
        <v>0.77336197636949522</v>
      </c>
      <c r="S1451" s="113">
        <f t="shared" si="226"/>
        <v>0.34393113342898129</v>
      </c>
      <c r="T1451" s="113">
        <f t="shared" si="227"/>
        <v>0.88210526315789473</v>
      </c>
      <c r="U1451" s="113">
        <f t="shared" si="228"/>
        <v>0.66646612431879049</v>
      </c>
      <c r="V1451" s="31">
        <f t="shared" si="220"/>
        <v>21070</v>
      </c>
    </row>
    <row r="1452" spans="1:22" x14ac:dyDescent="0.45">
      <c r="A1452" s="95">
        <v>46012</v>
      </c>
      <c r="B1452" s="96">
        <f t="shared" si="214"/>
        <v>13499.5</v>
      </c>
      <c r="C1452" s="103">
        <v>10440</v>
      </c>
      <c r="D1452" s="114">
        <v>3059.5</v>
      </c>
      <c r="E1452" s="97">
        <f t="shared" si="215"/>
        <v>3485</v>
      </c>
      <c r="F1452" s="7">
        <v>1198.5999999999999</v>
      </c>
      <c r="G1452" s="7">
        <v>2286.4</v>
      </c>
      <c r="H1452" s="98">
        <f t="shared" si="212"/>
        <v>11875</v>
      </c>
      <c r="I1452" s="7">
        <v>10475</v>
      </c>
      <c r="J1452" s="7">
        <v>1400</v>
      </c>
      <c r="K1452" s="99">
        <f t="shared" si="213"/>
        <v>28859.5</v>
      </c>
      <c r="L1452" s="7">
        <v>4020</v>
      </c>
      <c r="M1452" s="7">
        <v>14600</v>
      </c>
      <c r="N1452" s="7">
        <v>2040</v>
      </c>
      <c r="O1452" s="7">
        <v>410</v>
      </c>
      <c r="P1452" s="7">
        <v>9969.3327702253428</v>
      </c>
      <c r="Q1452" s="7">
        <v>-1104.1099999999999</v>
      </c>
      <c r="R1452" s="113">
        <f t="shared" si="225"/>
        <v>0.77336197636949522</v>
      </c>
      <c r="S1452" s="113">
        <f t="shared" si="226"/>
        <v>0.34393113342898129</v>
      </c>
      <c r="T1452" s="113">
        <f t="shared" si="227"/>
        <v>0.88210526315789473</v>
      </c>
      <c r="U1452" s="113">
        <f t="shared" si="228"/>
        <v>0.66646612431879049</v>
      </c>
      <c r="V1452" s="31">
        <f t="shared" si="220"/>
        <v>21070</v>
      </c>
    </row>
    <row r="1453" spans="1:22" x14ac:dyDescent="0.45">
      <c r="A1453" s="95">
        <v>46013</v>
      </c>
      <c r="B1453" s="96">
        <f t="shared" si="214"/>
        <v>13499.5</v>
      </c>
      <c r="C1453" s="103">
        <v>10440</v>
      </c>
      <c r="D1453" s="114">
        <v>3059.5</v>
      </c>
      <c r="E1453" s="97">
        <f t="shared" si="215"/>
        <v>3485</v>
      </c>
      <c r="F1453" s="7">
        <v>1198.5999999999999</v>
      </c>
      <c r="G1453" s="7">
        <v>2286.4</v>
      </c>
      <c r="H1453" s="98">
        <f t="shared" si="212"/>
        <v>11875</v>
      </c>
      <c r="I1453" s="7">
        <v>10475</v>
      </c>
      <c r="J1453" s="7">
        <v>1400</v>
      </c>
      <c r="K1453" s="99">
        <f t="shared" si="213"/>
        <v>28859.5</v>
      </c>
      <c r="L1453" s="7">
        <v>4020</v>
      </c>
      <c r="M1453" s="7">
        <v>14600</v>
      </c>
      <c r="N1453" s="7">
        <v>2040</v>
      </c>
      <c r="O1453" s="7">
        <v>1910</v>
      </c>
      <c r="P1453" s="7">
        <v>9874.16</v>
      </c>
      <c r="Q1453" s="7">
        <v>-2461.9499999999998</v>
      </c>
      <c r="R1453" s="113">
        <f t="shared" si="225"/>
        <v>0.77336197636949522</v>
      </c>
      <c r="S1453" s="113">
        <f t="shared" si="226"/>
        <v>0.34393113342898129</v>
      </c>
      <c r="T1453" s="113">
        <f t="shared" si="227"/>
        <v>0.88210526315789473</v>
      </c>
      <c r="U1453" s="113">
        <f t="shared" si="228"/>
        <v>0.66646612431879049</v>
      </c>
      <c r="V1453" s="31">
        <f t="shared" si="220"/>
        <v>22570</v>
      </c>
    </row>
    <row r="1454" spans="1:22" x14ac:dyDescent="0.45">
      <c r="A1454" s="95">
        <v>46014</v>
      </c>
      <c r="B1454" s="96">
        <f t="shared" si="214"/>
        <v>13499.5</v>
      </c>
      <c r="C1454" s="103">
        <v>10440</v>
      </c>
      <c r="D1454" s="114">
        <v>3059.5</v>
      </c>
      <c r="E1454" s="97">
        <f t="shared" si="215"/>
        <v>3485</v>
      </c>
      <c r="F1454" s="7">
        <v>1198.5999999999999</v>
      </c>
      <c r="G1454" s="7">
        <v>2286.4</v>
      </c>
      <c r="H1454" s="98">
        <f t="shared" si="212"/>
        <v>11875</v>
      </c>
      <c r="I1454" s="7">
        <v>10475</v>
      </c>
      <c r="J1454" s="7">
        <v>1400</v>
      </c>
      <c r="K1454" s="99">
        <f t="shared" si="213"/>
        <v>28859.5</v>
      </c>
      <c r="L1454" s="7">
        <v>4020</v>
      </c>
      <c r="M1454" s="7">
        <v>14600</v>
      </c>
      <c r="N1454" s="7">
        <v>2040</v>
      </c>
      <c r="O1454" s="7">
        <v>1910</v>
      </c>
      <c r="P1454" s="7">
        <v>9874.16</v>
      </c>
      <c r="Q1454" s="7">
        <v>-1711.83</v>
      </c>
      <c r="R1454" s="113">
        <f t="shared" si="225"/>
        <v>0.77336197636949522</v>
      </c>
      <c r="S1454" s="113">
        <f t="shared" si="226"/>
        <v>0.34393113342898129</v>
      </c>
      <c r="T1454" s="113">
        <f t="shared" si="227"/>
        <v>0.88210526315789473</v>
      </c>
      <c r="U1454" s="113">
        <f t="shared" si="228"/>
        <v>0.66646612431879049</v>
      </c>
      <c r="V1454" s="31">
        <f t="shared" si="220"/>
        <v>22570</v>
      </c>
    </row>
    <row r="1455" spans="1:22" x14ac:dyDescent="0.45">
      <c r="A1455" s="95">
        <v>46015</v>
      </c>
      <c r="B1455" s="96">
        <f t="shared" si="214"/>
        <v>13499.5</v>
      </c>
      <c r="C1455" s="103">
        <v>10440</v>
      </c>
      <c r="D1455" s="114">
        <v>3059.5</v>
      </c>
      <c r="E1455" s="97">
        <f t="shared" si="215"/>
        <v>3485</v>
      </c>
      <c r="F1455" s="7">
        <v>1198.5999999999999</v>
      </c>
      <c r="G1455" s="7">
        <v>2286.4</v>
      </c>
      <c r="H1455" s="98">
        <f t="shared" si="212"/>
        <v>11875</v>
      </c>
      <c r="I1455" s="7">
        <v>10475</v>
      </c>
      <c r="J1455" s="7">
        <v>1400</v>
      </c>
      <c r="K1455" s="99">
        <f t="shared" si="213"/>
        <v>28859.5</v>
      </c>
      <c r="L1455" s="7">
        <v>4020</v>
      </c>
      <c r="M1455" s="7">
        <v>14600</v>
      </c>
      <c r="N1455" s="7">
        <v>2040</v>
      </c>
      <c r="O1455" s="7">
        <v>1500</v>
      </c>
      <c r="P1455" s="7">
        <v>9874.16</v>
      </c>
      <c r="Q1455" s="7">
        <v>1695.08</v>
      </c>
      <c r="R1455" s="113">
        <f t="shared" si="225"/>
        <v>0.77336197636949522</v>
      </c>
      <c r="S1455" s="113">
        <f t="shared" si="226"/>
        <v>0.34393113342898129</v>
      </c>
      <c r="T1455" s="113">
        <f t="shared" si="227"/>
        <v>0.88210526315789473</v>
      </c>
      <c r="U1455" s="113">
        <f t="shared" si="228"/>
        <v>0.66646612431879049</v>
      </c>
      <c r="V1455" s="31">
        <f t="shared" si="220"/>
        <v>22160</v>
      </c>
    </row>
    <row r="1456" spans="1:22" x14ac:dyDescent="0.45">
      <c r="A1456" s="95">
        <v>46016</v>
      </c>
      <c r="B1456" s="96">
        <f t="shared" si="214"/>
        <v>12899.5</v>
      </c>
      <c r="C1456" s="103">
        <v>9840</v>
      </c>
      <c r="D1456" s="114">
        <v>3059.5</v>
      </c>
      <c r="E1456" s="97">
        <f t="shared" si="215"/>
        <v>2615</v>
      </c>
      <c r="F1456" s="7">
        <v>988.59999999999991</v>
      </c>
      <c r="G1456" s="7">
        <v>1626.4</v>
      </c>
      <c r="H1456" s="98">
        <f t="shared" si="212"/>
        <v>11875</v>
      </c>
      <c r="I1456" s="7">
        <v>10475</v>
      </c>
      <c r="J1456" s="7">
        <v>1400</v>
      </c>
      <c r="K1456" s="99">
        <f t="shared" si="213"/>
        <v>27389.5</v>
      </c>
      <c r="L1456" s="7">
        <v>4020</v>
      </c>
      <c r="M1456" s="7">
        <v>14600</v>
      </c>
      <c r="N1456" s="7">
        <v>0</v>
      </c>
      <c r="O1456" s="7">
        <v>0</v>
      </c>
      <c r="P1456" s="7">
        <v>9874.16</v>
      </c>
      <c r="Q1456" s="7">
        <v>1695.08</v>
      </c>
      <c r="R1456" s="113">
        <f t="shared" si="225"/>
        <v>0.76282026435133143</v>
      </c>
      <c r="S1456" s="113">
        <f t="shared" si="226"/>
        <v>0.37804971319311659</v>
      </c>
      <c r="T1456" s="113">
        <f t="shared" si="227"/>
        <v>0.88210526315789473</v>
      </c>
      <c r="U1456" s="113">
        <f t="shared" si="228"/>
        <v>0.67432508023411419</v>
      </c>
      <c r="V1456" s="31">
        <f t="shared" si="220"/>
        <v>18620</v>
      </c>
    </row>
    <row r="1457" spans="1:22" x14ac:dyDescent="0.45">
      <c r="A1457" s="95">
        <v>46017</v>
      </c>
      <c r="B1457" s="96">
        <f t="shared" si="214"/>
        <v>12899.5</v>
      </c>
      <c r="C1457" s="103">
        <v>9840</v>
      </c>
      <c r="D1457" s="114">
        <v>3059.5</v>
      </c>
      <c r="E1457" s="97">
        <f t="shared" si="215"/>
        <v>3485</v>
      </c>
      <c r="F1457" s="7">
        <v>1214</v>
      </c>
      <c r="G1457" s="7">
        <v>2271</v>
      </c>
      <c r="H1457" s="98">
        <f t="shared" si="212"/>
        <v>11875</v>
      </c>
      <c r="I1457" s="7">
        <v>10475</v>
      </c>
      <c r="J1457" s="7">
        <v>1400</v>
      </c>
      <c r="K1457" s="99">
        <f t="shared" si="213"/>
        <v>28259.5</v>
      </c>
      <c r="L1457" s="7">
        <v>4020</v>
      </c>
      <c r="M1457" s="7">
        <v>14600</v>
      </c>
      <c r="N1457" s="7">
        <v>200</v>
      </c>
      <c r="O1457" s="7">
        <v>0</v>
      </c>
      <c r="P1457" s="7">
        <v>9874.16</v>
      </c>
      <c r="Q1457" s="7">
        <v>2692.27</v>
      </c>
      <c r="R1457" s="113">
        <f t="shared" si="225"/>
        <v>0.76282026435133143</v>
      </c>
      <c r="S1457" s="113">
        <f t="shared" si="226"/>
        <v>0.34835007173601146</v>
      </c>
      <c r="T1457" s="113">
        <f t="shared" si="227"/>
        <v>0.88210526315789473</v>
      </c>
      <c r="U1457" s="113">
        <f t="shared" si="228"/>
        <v>0.66442519974841252</v>
      </c>
      <c r="V1457" s="31">
        <f t="shared" si="220"/>
        <v>18820</v>
      </c>
    </row>
    <row r="1458" spans="1:22" x14ac:dyDescent="0.45">
      <c r="A1458" s="95">
        <v>46018</v>
      </c>
      <c r="B1458" s="96">
        <f t="shared" si="214"/>
        <v>12899.5</v>
      </c>
      <c r="C1458" s="103">
        <v>9840</v>
      </c>
      <c r="D1458" s="114">
        <v>3059.5</v>
      </c>
      <c r="E1458" s="97">
        <f t="shared" si="215"/>
        <v>3485</v>
      </c>
      <c r="F1458" s="7">
        <v>1214</v>
      </c>
      <c r="G1458" s="7">
        <v>2271</v>
      </c>
      <c r="H1458" s="98">
        <f t="shared" si="212"/>
        <v>11875</v>
      </c>
      <c r="I1458" s="7">
        <v>10475</v>
      </c>
      <c r="J1458" s="7">
        <v>1400</v>
      </c>
      <c r="K1458" s="99">
        <f t="shared" si="213"/>
        <v>28259.5</v>
      </c>
      <c r="L1458" s="7">
        <v>4020</v>
      </c>
      <c r="M1458" s="7">
        <v>14600</v>
      </c>
      <c r="N1458" s="7">
        <v>200</v>
      </c>
      <c r="O1458" s="7">
        <v>0</v>
      </c>
      <c r="P1458" s="7">
        <v>9874.16</v>
      </c>
      <c r="Q1458" s="7">
        <v>2692.27</v>
      </c>
      <c r="R1458" s="113">
        <f t="shared" si="225"/>
        <v>0.76282026435133143</v>
      </c>
      <c r="S1458" s="113">
        <f t="shared" si="226"/>
        <v>0.34835007173601146</v>
      </c>
      <c r="T1458" s="113">
        <f t="shared" si="227"/>
        <v>0.88210526315789473</v>
      </c>
      <c r="U1458" s="113">
        <f t="shared" si="228"/>
        <v>0.66442519974841252</v>
      </c>
      <c r="V1458" s="31">
        <f t="shared" si="220"/>
        <v>18820</v>
      </c>
    </row>
    <row r="1459" spans="1:22" x14ac:dyDescent="0.45">
      <c r="A1459" s="95">
        <v>46019</v>
      </c>
      <c r="B1459" s="96">
        <f t="shared" si="214"/>
        <v>12899.5</v>
      </c>
      <c r="C1459" s="103">
        <v>9840</v>
      </c>
      <c r="D1459" s="114">
        <v>3059.5</v>
      </c>
      <c r="E1459" s="97">
        <f t="shared" si="215"/>
        <v>3485</v>
      </c>
      <c r="F1459" s="7">
        <v>1214</v>
      </c>
      <c r="G1459" s="7">
        <v>2271</v>
      </c>
      <c r="H1459" s="98">
        <f t="shared" si="212"/>
        <v>11875</v>
      </c>
      <c r="I1459" s="7">
        <v>10475</v>
      </c>
      <c r="J1459" s="7">
        <v>1400</v>
      </c>
      <c r="K1459" s="99">
        <f t="shared" si="213"/>
        <v>28259.5</v>
      </c>
      <c r="L1459" s="7">
        <v>4020</v>
      </c>
      <c r="M1459" s="7">
        <v>14600</v>
      </c>
      <c r="N1459" s="7">
        <v>200</v>
      </c>
      <c r="O1459" s="7">
        <v>0</v>
      </c>
      <c r="P1459" s="7">
        <v>9874.16</v>
      </c>
      <c r="Q1459" s="7">
        <v>2692.27</v>
      </c>
      <c r="R1459" s="113">
        <f t="shared" si="225"/>
        <v>0.76282026435133143</v>
      </c>
      <c r="S1459" s="113">
        <f t="shared" si="226"/>
        <v>0.34835007173601146</v>
      </c>
      <c r="T1459" s="113">
        <f t="shared" si="227"/>
        <v>0.88210526315789473</v>
      </c>
      <c r="U1459" s="113">
        <f t="shared" si="228"/>
        <v>0.66442519974841252</v>
      </c>
      <c r="V1459" s="31">
        <f t="shared" si="220"/>
        <v>18820</v>
      </c>
    </row>
    <row r="1460" spans="1:22" x14ac:dyDescent="0.45">
      <c r="A1460" s="95">
        <v>46020</v>
      </c>
      <c r="B1460" s="96">
        <f t="shared" si="214"/>
        <v>12899.5</v>
      </c>
      <c r="C1460" s="103">
        <v>9840</v>
      </c>
      <c r="D1460" s="114">
        <v>3059.5</v>
      </c>
      <c r="E1460" s="97">
        <f t="shared" si="215"/>
        <v>3485</v>
      </c>
      <c r="F1460" s="7">
        <v>1214</v>
      </c>
      <c r="G1460" s="7">
        <v>2271</v>
      </c>
      <c r="H1460" s="98">
        <f t="shared" si="212"/>
        <v>11875</v>
      </c>
      <c r="I1460" s="7">
        <v>10475</v>
      </c>
      <c r="J1460" s="7">
        <v>1400</v>
      </c>
      <c r="K1460" s="99">
        <f t="shared" si="213"/>
        <v>28259.5</v>
      </c>
      <c r="L1460" s="7">
        <v>4020</v>
      </c>
      <c r="M1460" s="7">
        <v>14600</v>
      </c>
      <c r="N1460" s="7">
        <v>500</v>
      </c>
      <c r="O1460" s="7">
        <v>0</v>
      </c>
      <c r="P1460" s="7">
        <v>9874.16</v>
      </c>
      <c r="Q1460" s="7">
        <v>2315.5</v>
      </c>
      <c r="R1460" s="113">
        <f t="shared" si="225"/>
        <v>0.76282026435133143</v>
      </c>
      <c r="S1460" s="113">
        <f t="shared" si="226"/>
        <v>0.34835007173601146</v>
      </c>
      <c r="T1460" s="113">
        <f t="shared" si="227"/>
        <v>0.88210526315789473</v>
      </c>
      <c r="U1460" s="113">
        <f t="shared" si="228"/>
        <v>0.66442519974841252</v>
      </c>
      <c r="V1460" s="31">
        <f t="shared" si="220"/>
        <v>19120</v>
      </c>
    </row>
    <row r="1461" spans="1:22" x14ac:dyDescent="0.45">
      <c r="A1461" s="95">
        <v>46021</v>
      </c>
      <c r="B1461" s="96">
        <f t="shared" si="214"/>
        <v>12899.5</v>
      </c>
      <c r="C1461" s="103">
        <v>9840</v>
      </c>
      <c r="D1461" s="114">
        <v>3059.5</v>
      </c>
      <c r="E1461" s="97">
        <f t="shared" si="215"/>
        <v>3485</v>
      </c>
      <c r="F1461" s="7">
        <v>1214</v>
      </c>
      <c r="G1461" s="7">
        <v>2271</v>
      </c>
      <c r="H1461" s="98">
        <f t="shared" si="212"/>
        <v>11875</v>
      </c>
      <c r="I1461" s="7">
        <v>10475</v>
      </c>
      <c r="J1461" s="7">
        <v>1400</v>
      </c>
      <c r="K1461" s="99">
        <f t="shared" si="213"/>
        <v>28259.5</v>
      </c>
      <c r="L1461" s="7">
        <v>4020</v>
      </c>
      <c r="M1461" s="7">
        <v>14600</v>
      </c>
      <c r="N1461" s="7">
        <v>500</v>
      </c>
      <c r="O1461" s="7">
        <v>0</v>
      </c>
      <c r="P1461" s="7">
        <v>9874.16</v>
      </c>
      <c r="Q1461" s="7">
        <v>1522.91</v>
      </c>
      <c r="R1461" s="113">
        <f t="shared" si="225"/>
        <v>0.76282026435133143</v>
      </c>
      <c r="S1461" s="113">
        <f t="shared" si="226"/>
        <v>0.34835007173601146</v>
      </c>
      <c r="T1461" s="113">
        <f t="shared" si="227"/>
        <v>0.88210526315789473</v>
      </c>
      <c r="U1461" s="113">
        <f t="shared" si="228"/>
        <v>0.66442519974841252</v>
      </c>
      <c r="V1461" s="31">
        <f t="shared" si="220"/>
        <v>19120</v>
      </c>
    </row>
    <row r="1462" spans="1:22" x14ac:dyDescent="0.45">
      <c r="A1462" s="95">
        <v>46022</v>
      </c>
      <c r="B1462" s="96">
        <f t="shared" si="214"/>
        <v>14399.5</v>
      </c>
      <c r="C1462" s="103">
        <v>11340</v>
      </c>
      <c r="D1462" s="114">
        <v>3059.5</v>
      </c>
      <c r="E1462" s="97">
        <f t="shared" si="215"/>
        <v>3485</v>
      </c>
      <c r="F1462" s="7">
        <v>1214</v>
      </c>
      <c r="G1462" s="7">
        <v>2271</v>
      </c>
      <c r="H1462" s="98">
        <f t="shared" si="212"/>
        <v>11875</v>
      </c>
      <c r="I1462" s="7">
        <v>10475</v>
      </c>
      <c r="J1462" s="7">
        <v>1400</v>
      </c>
      <c r="K1462" s="99">
        <f t="shared" si="213"/>
        <v>29759.5</v>
      </c>
      <c r="L1462" s="7">
        <v>4020</v>
      </c>
      <c r="M1462" s="7">
        <v>14600</v>
      </c>
      <c r="N1462" s="7">
        <v>400</v>
      </c>
      <c r="O1462" s="7">
        <v>0</v>
      </c>
      <c r="P1462" s="7">
        <v>9874.16</v>
      </c>
      <c r="Q1462" s="7">
        <v>749.39</v>
      </c>
      <c r="R1462" s="113">
        <f t="shared" si="225"/>
        <v>0.78752734469946872</v>
      </c>
      <c r="S1462" s="113">
        <f t="shared" si="226"/>
        <v>0.34835007173601146</v>
      </c>
      <c r="T1462" s="113">
        <f t="shared" si="227"/>
        <v>0.88210526315789473</v>
      </c>
      <c r="U1462" s="113">
        <f t="shared" si="228"/>
        <v>0.67266089319779165</v>
      </c>
      <c r="V1462" s="31">
        <f t="shared" si="220"/>
        <v>19020</v>
      </c>
    </row>
    <row r="1463" spans="1:22" x14ac:dyDescent="0.45">
      <c r="A1463" s="95">
        <v>46023</v>
      </c>
      <c r="B1463" s="96">
        <f t="shared" si="214"/>
        <v>14399.5</v>
      </c>
      <c r="C1463" s="103">
        <v>11340</v>
      </c>
      <c r="D1463" s="114">
        <v>3059.5</v>
      </c>
      <c r="E1463" s="97">
        <f t="shared" si="215"/>
        <v>3485</v>
      </c>
      <c r="F1463" s="7">
        <v>1214</v>
      </c>
      <c r="G1463" s="7">
        <v>2271</v>
      </c>
      <c r="H1463" s="98">
        <f t="shared" ref="H1463" si="229">I1463+J1463</f>
        <v>11875</v>
      </c>
      <c r="I1463" s="7">
        <v>10475</v>
      </c>
      <c r="J1463" s="7">
        <v>1400</v>
      </c>
      <c r="K1463" s="99">
        <f t="shared" ref="K1463" si="230">B1463+E1463+H1463</f>
        <v>29759.5</v>
      </c>
      <c r="L1463" s="7">
        <v>4020</v>
      </c>
      <c r="M1463" s="7">
        <v>14600</v>
      </c>
      <c r="N1463" s="7">
        <v>400</v>
      </c>
      <c r="O1463" s="7">
        <v>0</v>
      </c>
      <c r="P1463" s="7">
        <v>9874.16</v>
      </c>
      <c r="Q1463" s="7">
        <v>749.39</v>
      </c>
      <c r="R1463" s="113">
        <f t="shared" si="225"/>
        <v>0.78752734469946872</v>
      </c>
      <c r="S1463" s="113">
        <f t="shared" si="226"/>
        <v>0.34835007173601146</v>
      </c>
      <c r="T1463" s="113">
        <f t="shared" si="227"/>
        <v>0.88210526315789473</v>
      </c>
      <c r="U1463" s="113">
        <f t="shared" si="228"/>
        <v>0.67266089319779165</v>
      </c>
      <c r="V1463" s="31">
        <f t="shared" si="220"/>
        <v>19020</v>
      </c>
    </row>
    <row r="1464" spans="1:22" x14ac:dyDescent="0.45">
      <c r="A1464" s="95">
        <v>46024</v>
      </c>
      <c r="B1464" s="96">
        <f t="shared" si="214"/>
        <v>14399.5</v>
      </c>
      <c r="C1464" s="103">
        <v>11340</v>
      </c>
      <c r="D1464" s="114">
        <v>3059.5</v>
      </c>
      <c r="E1464" s="97">
        <f t="shared" si="215"/>
        <v>3485</v>
      </c>
      <c r="F1464" s="7">
        <v>1214</v>
      </c>
      <c r="G1464" s="7">
        <v>2271</v>
      </c>
      <c r="H1464" s="98">
        <f t="shared" ref="H1464:H1491" si="231">I1464+J1464</f>
        <v>11875</v>
      </c>
      <c r="I1464" s="7">
        <v>10475</v>
      </c>
      <c r="J1464" s="7">
        <v>1400</v>
      </c>
      <c r="K1464" s="99">
        <f t="shared" ref="K1464:K1491" si="232">B1464+E1464+H1464</f>
        <v>29759.5</v>
      </c>
      <c r="L1464" s="7">
        <v>0</v>
      </c>
      <c r="M1464" s="7">
        <v>0</v>
      </c>
      <c r="N1464" s="7">
        <v>100</v>
      </c>
      <c r="O1464" s="7">
        <v>0</v>
      </c>
      <c r="P1464" s="7">
        <v>9874.16</v>
      </c>
      <c r="Q1464" s="7">
        <v>749.39</v>
      </c>
      <c r="R1464" s="113">
        <f t="shared" si="225"/>
        <v>0.78752734469946872</v>
      </c>
      <c r="S1464" s="113">
        <f t="shared" si="226"/>
        <v>0.34835007173601146</v>
      </c>
      <c r="T1464" s="113">
        <f t="shared" si="227"/>
        <v>0.88210526315789473</v>
      </c>
      <c r="U1464" s="113">
        <f t="shared" si="228"/>
        <v>0.67266089319779165</v>
      </c>
      <c r="V1464" s="31">
        <f t="shared" si="220"/>
        <v>100</v>
      </c>
    </row>
    <row r="1465" spans="1:22" x14ac:dyDescent="0.45">
      <c r="A1465" s="95">
        <v>46025</v>
      </c>
      <c r="B1465" s="96">
        <f t="shared" si="214"/>
        <v>14399.5</v>
      </c>
      <c r="C1465" s="103">
        <v>11340</v>
      </c>
      <c r="D1465" s="114">
        <v>3059.5</v>
      </c>
      <c r="E1465" s="97">
        <f t="shared" si="215"/>
        <v>3485</v>
      </c>
      <c r="F1465" s="7">
        <v>1214</v>
      </c>
      <c r="G1465" s="7">
        <v>2271</v>
      </c>
      <c r="H1465" s="98">
        <f t="shared" si="231"/>
        <v>11875</v>
      </c>
      <c r="I1465" s="7">
        <v>10475</v>
      </c>
      <c r="J1465" s="7">
        <v>1400</v>
      </c>
      <c r="K1465" s="99">
        <f t="shared" si="232"/>
        <v>29759.5</v>
      </c>
      <c r="L1465" s="7">
        <v>0</v>
      </c>
      <c r="M1465" s="7">
        <v>0</v>
      </c>
      <c r="N1465" s="7">
        <v>100</v>
      </c>
      <c r="O1465" s="7">
        <v>0</v>
      </c>
      <c r="P1465" s="7">
        <v>9874.16</v>
      </c>
      <c r="Q1465" s="7">
        <v>749.39</v>
      </c>
      <c r="R1465" s="113">
        <f t="shared" ref="R1465:R1486" si="233">C1465/B1465</f>
        <v>0.78752734469946872</v>
      </c>
      <c r="S1465" s="113">
        <f t="shared" ref="S1465:S1486" si="234">F1465/E1465</f>
        <v>0.34835007173601146</v>
      </c>
      <c r="T1465" s="113">
        <f t="shared" ref="T1465:T1486" si="235">IF(H1465=0,0,I1465/H1465)</f>
        <v>0.88210526315789473</v>
      </c>
      <c r="U1465" s="113">
        <f t="shared" ref="U1465:U1486" si="236">AVERAGE(R1465:T1465)</f>
        <v>0.67266089319779165</v>
      </c>
      <c r="V1465" s="31">
        <f t="shared" ref="V1465:V1486" si="237">L1465+M1465+N1465+O1465</f>
        <v>100</v>
      </c>
    </row>
    <row r="1466" spans="1:22" x14ac:dyDescent="0.45">
      <c r="A1466" s="95">
        <v>46026</v>
      </c>
      <c r="B1466" s="96">
        <f t="shared" si="214"/>
        <v>14399.5</v>
      </c>
      <c r="C1466" s="103">
        <v>11340</v>
      </c>
      <c r="D1466" s="114">
        <v>3059.5</v>
      </c>
      <c r="E1466" s="97">
        <f t="shared" si="215"/>
        <v>3485</v>
      </c>
      <c r="F1466" s="7">
        <v>1214</v>
      </c>
      <c r="G1466" s="7">
        <v>2271</v>
      </c>
      <c r="H1466" s="98">
        <f t="shared" si="231"/>
        <v>11875</v>
      </c>
      <c r="I1466" s="7">
        <v>10475</v>
      </c>
      <c r="J1466" s="7">
        <v>1400</v>
      </c>
      <c r="K1466" s="99">
        <f t="shared" si="232"/>
        <v>29759.5</v>
      </c>
      <c r="L1466" s="7">
        <v>0</v>
      </c>
      <c r="M1466" s="7">
        <v>0</v>
      </c>
      <c r="N1466" s="7">
        <v>100</v>
      </c>
      <c r="O1466" s="7">
        <v>0</v>
      </c>
      <c r="P1466" s="7">
        <v>9874.16</v>
      </c>
      <c r="Q1466" s="7">
        <v>749.39</v>
      </c>
      <c r="R1466" s="113">
        <f t="shared" si="233"/>
        <v>0.78752734469946872</v>
      </c>
      <c r="S1466" s="113">
        <f t="shared" si="234"/>
        <v>0.34835007173601146</v>
      </c>
      <c r="T1466" s="113">
        <f t="shared" si="235"/>
        <v>0.88210526315789473</v>
      </c>
      <c r="U1466" s="113">
        <f t="shared" si="236"/>
        <v>0.67266089319779165</v>
      </c>
      <c r="V1466" s="31">
        <f t="shared" si="237"/>
        <v>100</v>
      </c>
    </row>
    <row r="1467" spans="1:22" x14ac:dyDescent="0.45">
      <c r="A1467" s="95">
        <v>46027</v>
      </c>
      <c r="B1467" s="96">
        <f t="shared" si="214"/>
        <v>14399.5</v>
      </c>
      <c r="C1467" s="103">
        <v>11340</v>
      </c>
      <c r="D1467" s="114">
        <v>3059.5</v>
      </c>
      <c r="E1467" s="97">
        <f t="shared" si="215"/>
        <v>3485</v>
      </c>
      <c r="F1467" s="7">
        <v>1214</v>
      </c>
      <c r="G1467" s="7">
        <v>2271</v>
      </c>
      <c r="H1467" s="98">
        <f t="shared" si="231"/>
        <v>11875</v>
      </c>
      <c r="I1467" s="7">
        <v>10475</v>
      </c>
      <c r="J1467" s="7">
        <v>1400</v>
      </c>
      <c r="K1467" s="99">
        <f t="shared" si="232"/>
        <v>29759.5</v>
      </c>
      <c r="L1467" s="7">
        <v>0</v>
      </c>
      <c r="M1467" s="7">
        <v>0</v>
      </c>
      <c r="N1467" s="7">
        <v>2200</v>
      </c>
      <c r="O1467" s="7">
        <v>0</v>
      </c>
      <c r="P1467" s="7">
        <v>9874.16</v>
      </c>
      <c r="Q1467" s="7">
        <v>17266.009999999998</v>
      </c>
      <c r="R1467" s="113">
        <f t="shared" si="233"/>
        <v>0.78752734469946872</v>
      </c>
      <c r="S1467" s="113">
        <f t="shared" si="234"/>
        <v>0.34835007173601146</v>
      </c>
      <c r="T1467" s="113">
        <f t="shared" si="235"/>
        <v>0.88210526315789473</v>
      </c>
      <c r="U1467" s="113">
        <f t="shared" si="236"/>
        <v>0.67266089319779165</v>
      </c>
      <c r="V1467" s="31">
        <f t="shared" si="237"/>
        <v>2200</v>
      </c>
    </row>
    <row r="1468" spans="1:22" x14ac:dyDescent="0.45">
      <c r="A1468" s="95">
        <v>46028</v>
      </c>
      <c r="B1468" s="96">
        <f t="shared" si="214"/>
        <v>14399.5</v>
      </c>
      <c r="C1468" s="103">
        <v>11340</v>
      </c>
      <c r="D1468" s="114">
        <v>3059.5</v>
      </c>
      <c r="E1468" s="97">
        <f t="shared" si="215"/>
        <v>3485</v>
      </c>
      <c r="F1468" s="7">
        <v>1214</v>
      </c>
      <c r="G1468" s="7">
        <v>2271</v>
      </c>
      <c r="H1468" s="98">
        <f t="shared" si="231"/>
        <v>11875</v>
      </c>
      <c r="I1468" s="7">
        <v>10475</v>
      </c>
      <c r="J1468" s="7">
        <v>1400</v>
      </c>
      <c r="K1468" s="99">
        <f t="shared" si="232"/>
        <v>29759.5</v>
      </c>
      <c r="L1468" s="7">
        <v>0</v>
      </c>
      <c r="M1468" s="7">
        <v>0</v>
      </c>
      <c r="N1468" s="7">
        <v>2100</v>
      </c>
      <c r="O1468" s="7">
        <v>0</v>
      </c>
      <c r="P1468" s="7">
        <v>9874.16</v>
      </c>
      <c r="Q1468" s="7">
        <v>17366.93</v>
      </c>
      <c r="R1468" s="113">
        <f t="shared" si="233"/>
        <v>0.78752734469946872</v>
      </c>
      <c r="S1468" s="113">
        <f t="shared" si="234"/>
        <v>0.34835007173601146</v>
      </c>
      <c r="T1468" s="113">
        <f t="shared" si="235"/>
        <v>0.88210526315789473</v>
      </c>
      <c r="U1468" s="113">
        <f t="shared" si="236"/>
        <v>0.67266089319779165</v>
      </c>
      <c r="V1468" s="31">
        <f t="shared" si="237"/>
        <v>2100</v>
      </c>
    </row>
    <row r="1469" spans="1:22" x14ac:dyDescent="0.45">
      <c r="A1469" s="95">
        <v>46029</v>
      </c>
      <c r="B1469" s="96">
        <f t="shared" ref="B1469:B1470" si="238">C1469+D1469</f>
        <v>14399.5</v>
      </c>
      <c r="C1469" s="103">
        <v>11340</v>
      </c>
      <c r="D1469" s="114">
        <v>3059.5</v>
      </c>
      <c r="E1469" s="97">
        <f t="shared" ref="E1469:E1491" si="239">F1469+G1469</f>
        <v>3485</v>
      </c>
      <c r="F1469" s="7">
        <v>1214</v>
      </c>
      <c r="G1469" s="7">
        <v>2271</v>
      </c>
      <c r="H1469" s="98">
        <f t="shared" si="231"/>
        <v>11875</v>
      </c>
      <c r="I1469" s="7">
        <v>10475</v>
      </c>
      <c r="J1469" s="7">
        <v>1400</v>
      </c>
      <c r="K1469" s="99">
        <f t="shared" si="232"/>
        <v>29759.5</v>
      </c>
      <c r="L1469" s="7">
        <v>0</v>
      </c>
      <c r="M1469" s="7">
        <v>0</v>
      </c>
      <c r="N1469" s="7">
        <v>2270</v>
      </c>
      <c r="O1469" s="7">
        <v>0</v>
      </c>
      <c r="P1469" s="7">
        <v>9874.16</v>
      </c>
      <c r="Q1469" s="7">
        <v>17375.41</v>
      </c>
      <c r="R1469" s="113">
        <f t="shared" si="233"/>
        <v>0.78752734469946872</v>
      </c>
      <c r="S1469" s="113">
        <f t="shared" si="234"/>
        <v>0.34835007173601146</v>
      </c>
      <c r="T1469" s="113">
        <f t="shared" si="235"/>
        <v>0.88210526315789473</v>
      </c>
      <c r="U1469" s="113">
        <f t="shared" si="236"/>
        <v>0.67266089319779165</v>
      </c>
      <c r="V1469" s="31">
        <f t="shared" si="237"/>
        <v>2270</v>
      </c>
    </row>
    <row r="1470" spans="1:22" x14ac:dyDescent="0.45">
      <c r="A1470" s="95">
        <v>46030</v>
      </c>
      <c r="B1470" s="96">
        <f t="shared" si="238"/>
        <v>14724.5</v>
      </c>
      <c r="C1470" s="103">
        <v>11660</v>
      </c>
      <c r="D1470" s="114">
        <v>3064.5</v>
      </c>
      <c r="E1470" s="97">
        <f t="shared" si="239"/>
        <v>3485</v>
      </c>
      <c r="F1470" s="7">
        <v>1214</v>
      </c>
      <c r="G1470" s="7">
        <v>2271</v>
      </c>
      <c r="H1470" s="98">
        <f t="shared" si="231"/>
        <v>11875</v>
      </c>
      <c r="I1470" s="7">
        <v>10475</v>
      </c>
      <c r="J1470" s="7">
        <v>1400</v>
      </c>
      <c r="K1470" s="99">
        <f t="shared" si="232"/>
        <v>30084.5</v>
      </c>
      <c r="L1470" s="7">
        <v>3130</v>
      </c>
      <c r="M1470" s="7">
        <v>11010</v>
      </c>
      <c r="N1470" s="7">
        <v>670</v>
      </c>
      <c r="O1470" s="7">
        <v>4500</v>
      </c>
      <c r="P1470" s="7">
        <v>9874.16</v>
      </c>
      <c r="Q1470" s="7">
        <v>-437.3</v>
      </c>
      <c r="R1470" s="113">
        <f t="shared" si="233"/>
        <v>0.79187748310638728</v>
      </c>
      <c r="S1470" s="113">
        <f t="shared" si="234"/>
        <v>0.34835007173601146</v>
      </c>
      <c r="T1470" s="113">
        <f t="shared" si="235"/>
        <v>0.88210526315789473</v>
      </c>
      <c r="U1470" s="113">
        <f t="shared" si="236"/>
        <v>0.67411093933343125</v>
      </c>
      <c r="V1470" s="31">
        <f t="shared" si="237"/>
        <v>19310</v>
      </c>
    </row>
    <row r="1471" spans="1:22" x14ac:dyDescent="0.45">
      <c r="A1471" s="95">
        <v>46031</v>
      </c>
      <c r="B1471" s="96">
        <f t="shared" ref="B1471:B1477" si="240">C1471+D1471</f>
        <v>14724.5</v>
      </c>
      <c r="C1471" s="103">
        <v>11660</v>
      </c>
      <c r="D1471" s="114">
        <v>3064.5</v>
      </c>
      <c r="E1471" s="97">
        <f t="shared" si="239"/>
        <v>3485</v>
      </c>
      <c r="F1471" s="7">
        <v>1214</v>
      </c>
      <c r="G1471" s="7">
        <v>2271</v>
      </c>
      <c r="H1471" s="98">
        <f t="shared" si="231"/>
        <v>11875</v>
      </c>
      <c r="I1471" s="7">
        <v>10475</v>
      </c>
      <c r="J1471" s="7">
        <v>1400</v>
      </c>
      <c r="K1471" s="99">
        <f t="shared" si="232"/>
        <v>30084.5</v>
      </c>
      <c r="L1471" s="7">
        <v>3130</v>
      </c>
      <c r="M1471" s="7">
        <v>11010</v>
      </c>
      <c r="N1471" s="7">
        <v>1670</v>
      </c>
      <c r="O1471" s="7">
        <v>4750</v>
      </c>
      <c r="P1471" s="7">
        <v>9874.16</v>
      </c>
      <c r="Q1471" s="7">
        <v>-1203.8599999999999</v>
      </c>
      <c r="R1471" s="113">
        <f t="shared" si="233"/>
        <v>0.79187748310638728</v>
      </c>
      <c r="S1471" s="113">
        <f t="shared" si="234"/>
        <v>0.34835007173601146</v>
      </c>
      <c r="T1471" s="113">
        <f t="shared" si="235"/>
        <v>0.88210526315789473</v>
      </c>
      <c r="U1471" s="113">
        <f t="shared" si="236"/>
        <v>0.67411093933343125</v>
      </c>
      <c r="V1471" s="31">
        <f>L1471+M1471+N1471+O1471</f>
        <v>20560</v>
      </c>
    </row>
    <row r="1472" spans="1:22" x14ac:dyDescent="0.45">
      <c r="A1472" s="95">
        <v>46032</v>
      </c>
      <c r="B1472" s="96">
        <f t="shared" si="240"/>
        <v>14724.5</v>
      </c>
      <c r="C1472" s="103">
        <v>11660</v>
      </c>
      <c r="D1472" s="114">
        <v>3064.5</v>
      </c>
      <c r="E1472" s="97">
        <f t="shared" si="239"/>
        <v>3485</v>
      </c>
      <c r="F1472" s="7">
        <v>1214</v>
      </c>
      <c r="G1472" s="7">
        <v>2271</v>
      </c>
      <c r="H1472" s="98">
        <f t="shared" si="231"/>
        <v>11875</v>
      </c>
      <c r="I1472" s="7">
        <v>10475</v>
      </c>
      <c r="J1472" s="7">
        <v>1400</v>
      </c>
      <c r="K1472" s="99">
        <f t="shared" si="232"/>
        <v>30084.5</v>
      </c>
      <c r="L1472" s="7">
        <v>3130</v>
      </c>
      <c r="M1472" s="7">
        <v>11010</v>
      </c>
      <c r="N1472" s="7">
        <v>1670</v>
      </c>
      <c r="O1472" s="7">
        <v>4750</v>
      </c>
      <c r="P1472" s="7">
        <v>9874.16</v>
      </c>
      <c r="Q1472" s="7">
        <v>-1203.8599999999999</v>
      </c>
      <c r="R1472" s="113">
        <f t="shared" si="233"/>
        <v>0.79187748310638728</v>
      </c>
      <c r="S1472" s="113">
        <f t="shared" si="234"/>
        <v>0.34835007173601146</v>
      </c>
      <c r="T1472" s="113">
        <f t="shared" si="235"/>
        <v>0.88210526315789473</v>
      </c>
      <c r="U1472" s="113">
        <f t="shared" si="236"/>
        <v>0.67411093933343125</v>
      </c>
      <c r="V1472" s="31">
        <f t="shared" si="237"/>
        <v>20560</v>
      </c>
    </row>
    <row r="1473" spans="1:22" x14ac:dyDescent="0.45">
      <c r="A1473" s="95">
        <v>46033</v>
      </c>
      <c r="B1473" s="96">
        <f t="shared" si="240"/>
        <v>14724.5</v>
      </c>
      <c r="C1473" s="103">
        <v>11660</v>
      </c>
      <c r="D1473" s="114">
        <v>3064.5</v>
      </c>
      <c r="E1473" s="97">
        <f t="shared" si="239"/>
        <v>3485</v>
      </c>
      <c r="F1473" s="7">
        <v>1214</v>
      </c>
      <c r="G1473" s="7">
        <v>2271</v>
      </c>
      <c r="H1473" s="98">
        <f t="shared" si="231"/>
        <v>11875</v>
      </c>
      <c r="I1473" s="7">
        <v>10475</v>
      </c>
      <c r="J1473" s="7">
        <v>1400</v>
      </c>
      <c r="K1473" s="99">
        <f t="shared" si="232"/>
        <v>30084.5</v>
      </c>
      <c r="L1473" s="7">
        <v>3130</v>
      </c>
      <c r="M1473" s="7">
        <v>11010</v>
      </c>
      <c r="N1473" s="7">
        <v>1670</v>
      </c>
      <c r="O1473" s="7">
        <v>4750</v>
      </c>
      <c r="P1473" s="7">
        <v>9874.16</v>
      </c>
      <c r="Q1473" s="7">
        <v>-1203.8599999999999</v>
      </c>
      <c r="R1473" s="113">
        <f t="shared" si="233"/>
        <v>0.79187748310638728</v>
      </c>
      <c r="S1473" s="113">
        <f t="shared" si="234"/>
        <v>0.34835007173601146</v>
      </c>
      <c r="T1473" s="113">
        <f t="shared" si="235"/>
        <v>0.88210526315789473</v>
      </c>
      <c r="U1473" s="113">
        <f t="shared" si="236"/>
        <v>0.67411093933343125</v>
      </c>
      <c r="V1473" s="31">
        <f t="shared" si="237"/>
        <v>20560</v>
      </c>
    </row>
    <row r="1474" spans="1:22" x14ac:dyDescent="0.45">
      <c r="A1474" s="95">
        <v>46034</v>
      </c>
      <c r="B1474" s="96">
        <f t="shared" si="240"/>
        <v>14724.5</v>
      </c>
      <c r="C1474" s="103">
        <v>11660</v>
      </c>
      <c r="D1474" s="114">
        <v>3064.5</v>
      </c>
      <c r="E1474" s="97">
        <f t="shared" si="239"/>
        <v>3485</v>
      </c>
      <c r="F1474" s="7">
        <v>1214</v>
      </c>
      <c r="G1474" s="7">
        <v>2271</v>
      </c>
      <c r="H1474" s="98">
        <f t="shared" si="231"/>
        <v>11875</v>
      </c>
      <c r="I1474" s="7">
        <v>10475</v>
      </c>
      <c r="J1474" s="7">
        <v>1400</v>
      </c>
      <c r="K1474" s="99">
        <f t="shared" si="232"/>
        <v>30084.5</v>
      </c>
      <c r="L1474" s="7">
        <v>3130</v>
      </c>
      <c r="M1474" s="7">
        <v>11010</v>
      </c>
      <c r="N1474" s="7">
        <v>1920</v>
      </c>
      <c r="O1474" s="7">
        <v>4750</v>
      </c>
      <c r="P1474" s="7">
        <v>9874.16</v>
      </c>
      <c r="Q1474" s="7">
        <v>-1359.77</v>
      </c>
      <c r="R1474" s="113">
        <f t="shared" si="233"/>
        <v>0.79187748310638728</v>
      </c>
      <c r="S1474" s="113">
        <f t="shared" si="234"/>
        <v>0.34835007173601146</v>
      </c>
      <c r="T1474" s="113">
        <f t="shared" si="235"/>
        <v>0.88210526315789473</v>
      </c>
      <c r="U1474" s="113">
        <f t="shared" si="236"/>
        <v>0.67411093933343125</v>
      </c>
      <c r="V1474" s="31">
        <f t="shared" si="237"/>
        <v>20810</v>
      </c>
    </row>
    <row r="1475" spans="1:22" x14ac:dyDescent="0.45">
      <c r="A1475" s="95">
        <v>46035</v>
      </c>
      <c r="B1475" s="96">
        <f t="shared" si="240"/>
        <v>14724.5</v>
      </c>
      <c r="C1475" s="103">
        <v>11660</v>
      </c>
      <c r="D1475" s="114">
        <v>3064.5</v>
      </c>
      <c r="E1475" s="97">
        <f t="shared" si="239"/>
        <v>3485</v>
      </c>
      <c r="F1475" s="7">
        <v>1214</v>
      </c>
      <c r="G1475" s="7">
        <v>2271</v>
      </c>
      <c r="H1475" s="98">
        <f t="shared" si="231"/>
        <v>11875</v>
      </c>
      <c r="I1475" s="7">
        <v>10475</v>
      </c>
      <c r="J1475" s="7">
        <v>1400</v>
      </c>
      <c r="K1475" s="99">
        <f t="shared" si="232"/>
        <v>30084.5</v>
      </c>
      <c r="L1475" s="7">
        <v>3130</v>
      </c>
      <c r="M1475" s="7">
        <v>11010</v>
      </c>
      <c r="N1475" s="7">
        <v>1420</v>
      </c>
      <c r="O1475" s="7">
        <v>250</v>
      </c>
      <c r="P1475" s="7">
        <v>9874.16</v>
      </c>
      <c r="Q1475" s="7">
        <v>3722.22</v>
      </c>
      <c r="R1475" s="113">
        <f t="shared" si="233"/>
        <v>0.79187748310638728</v>
      </c>
      <c r="S1475" s="113">
        <f t="shared" si="234"/>
        <v>0.34835007173601146</v>
      </c>
      <c r="T1475" s="113">
        <f t="shared" si="235"/>
        <v>0.88210526315789473</v>
      </c>
      <c r="U1475" s="113">
        <f t="shared" si="236"/>
        <v>0.67411093933343125</v>
      </c>
      <c r="V1475" s="31">
        <f t="shared" si="237"/>
        <v>15810</v>
      </c>
    </row>
    <row r="1476" spans="1:22" x14ac:dyDescent="0.45">
      <c r="A1476" s="95">
        <v>46036</v>
      </c>
      <c r="B1476" s="96">
        <f t="shared" si="240"/>
        <v>14724.5</v>
      </c>
      <c r="C1476" s="103">
        <v>11660</v>
      </c>
      <c r="D1476" s="114">
        <v>3064.5</v>
      </c>
      <c r="E1476" s="97">
        <f t="shared" si="239"/>
        <v>3485</v>
      </c>
      <c r="F1476" s="7">
        <v>1214</v>
      </c>
      <c r="G1476" s="7">
        <v>2271</v>
      </c>
      <c r="H1476" s="98">
        <f t="shared" si="231"/>
        <v>11875</v>
      </c>
      <c r="I1476" s="7">
        <v>10475</v>
      </c>
      <c r="J1476" s="7">
        <v>1400</v>
      </c>
      <c r="K1476" s="99">
        <f t="shared" si="232"/>
        <v>30084.5</v>
      </c>
      <c r="L1476" s="7">
        <v>3130</v>
      </c>
      <c r="M1476" s="7">
        <v>11010</v>
      </c>
      <c r="N1476" s="7">
        <v>670</v>
      </c>
      <c r="O1476" s="7">
        <v>0</v>
      </c>
      <c r="P1476" s="7">
        <v>9874.16</v>
      </c>
      <c r="Q1476" s="7">
        <v>3560.28</v>
      </c>
      <c r="R1476" s="113">
        <f t="shared" si="233"/>
        <v>0.79187748310638728</v>
      </c>
      <c r="S1476" s="113">
        <f t="shared" si="234"/>
        <v>0.34835007173601146</v>
      </c>
      <c r="T1476" s="113">
        <f t="shared" si="235"/>
        <v>0.88210526315789473</v>
      </c>
      <c r="U1476" s="113">
        <f t="shared" si="236"/>
        <v>0.67411093933343125</v>
      </c>
      <c r="V1476" s="31">
        <f t="shared" si="237"/>
        <v>14810</v>
      </c>
    </row>
    <row r="1477" spans="1:22" x14ac:dyDescent="0.45">
      <c r="A1477" s="95">
        <v>46037</v>
      </c>
      <c r="B1477" s="96">
        <f t="shared" si="240"/>
        <v>14737.5</v>
      </c>
      <c r="C1477" s="103">
        <v>11560</v>
      </c>
      <c r="D1477" s="114">
        <v>3177.5</v>
      </c>
      <c r="E1477" s="97">
        <f t="shared" si="239"/>
        <v>3485</v>
      </c>
      <c r="F1477" s="7">
        <v>1214</v>
      </c>
      <c r="G1477" s="7">
        <v>2271</v>
      </c>
      <c r="H1477" s="98">
        <f t="shared" si="231"/>
        <v>12875</v>
      </c>
      <c r="I1477" s="7">
        <v>11475</v>
      </c>
      <c r="J1477" s="7">
        <v>1400</v>
      </c>
      <c r="K1477" s="99">
        <f t="shared" si="232"/>
        <v>31097.5</v>
      </c>
      <c r="L1477" s="7">
        <v>2850</v>
      </c>
      <c r="M1477" s="7">
        <v>12150</v>
      </c>
      <c r="N1477" s="7">
        <v>750</v>
      </c>
      <c r="O1477" s="7">
        <v>3100</v>
      </c>
      <c r="P1477" s="7">
        <v>9874.16</v>
      </c>
      <c r="Q1477" s="7">
        <v>-1113.2</v>
      </c>
      <c r="R1477" s="113">
        <f t="shared" si="233"/>
        <v>0.78439355385920273</v>
      </c>
      <c r="S1477" s="113">
        <f t="shared" si="234"/>
        <v>0.34835007173601146</v>
      </c>
      <c r="T1477" s="113">
        <f t="shared" si="235"/>
        <v>0.89126213592233006</v>
      </c>
      <c r="U1477" s="113">
        <f t="shared" si="236"/>
        <v>0.67466858717251466</v>
      </c>
      <c r="V1477" s="31">
        <f>L1477+M1477+N1477+O1477</f>
        <v>18850</v>
      </c>
    </row>
    <row r="1478" spans="1:22" x14ac:dyDescent="0.45">
      <c r="A1478" s="95">
        <v>46038</v>
      </c>
      <c r="B1478" s="96">
        <f t="shared" ref="B1478:B1484" si="241">C1478+D1478</f>
        <v>14737.5</v>
      </c>
      <c r="C1478" s="103">
        <v>11560</v>
      </c>
      <c r="D1478" s="114">
        <v>3177.5</v>
      </c>
      <c r="E1478" s="97">
        <f t="shared" si="239"/>
        <v>3485</v>
      </c>
      <c r="F1478" s="7">
        <v>1214</v>
      </c>
      <c r="G1478" s="7">
        <v>2271</v>
      </c>
      <c r="H1478" s="98">
        <f t="shared" si="231"/>
        <v>12875</v>
      </c>
      <c r="I1478" s="7">
        <v>11475</v>
      </c>
      <c r="J1478" s="7">
        <v>1400</v>
      </c>
      <c r="K1478" s="99">
        <f t="shared" si="232"/>
        <v>31097.5</v>
      </c>
      <c r="L1478" s="7">
        <v>2850</v>
      </c>
      <c r="M1478" s="7">
        <v>12150</v>
      </c>
      <c r="N1478" s="7">
        <v>1120</v>
      </c>
      <c r="O1478" s="7">
        <v>3100</v>
      </c>
      <c r="P1478" s="7">
        <v>9874.16</v>
      </c>
      <c r="Q1478" s="7">
        <v>-1351.9880752955746</v>
      </c>
      <c r="R1478" s="113">
        <f t="shared" si="233"/>
        <v>0.78439355385920273</v>
      </c>
      <c r="S1478" s="113">
        <f t="shared" si="234"/>
        <v>0.34835007173601146</v>
      </c>
      <c r="T1478" s="113">
        <f t="shared" si="235"/>
        <v>0.89126213592233006</v>
      </c>
      <c r="U1478" s="113">
        <f t="shared" si="236"/>
        <v>0.67466858717251466</v>
      </c>
      <c r="V1478" s="31">
        <f t="shared" si="237"/>
        <v>19220</v>
      </c>
    </row>
    <row r="1479" spans="1:22" x14ac:dyDescent="0.45">
      <c r="A1479" s="95">
        <v>46039</v>
      </c>
      <c r="B1479" s="96">
        <f t="shared" si="241"/>
        <v>14737.5</v>
      </c>
      <c r="C1479" s="103">
        <v>11560</v>
      </c>
      <c r="D1479" s="114">
        <v>3177.5</v>
      </c>
      <c r="E1479" s="97">
        <f t="shared" si="239"/>
        <v>3485</v>
      </c>
      <c r="F1479" s="7">
        <v>1214</v>
      </c>
      <c r="G1479" s="7">
        <v>2271</v>
      </c>
      <c r="H1479" s="98">
        <f t="shared" si="231"/>
        <v>12875</v>
      </c>
      <c r="I1479" s="7">
        <v>11475</v>
      </c>
      <c r="J1479" s="7">
        <v>1400</v>
      </c>
      <c r="K1479" s="99">
        <f t="shared" si="232"/>
        <v>31097.5</v>
      </c>
      <c r="L1479" s="7">
        <v>2850</v>
      </c>
      <c r="M1479" s="7">
        <v>12150</v>
      </c>
      <c r="N1479" s="7">
        <v>1120</v>
      </c>
      <c r="O1479" s="7">
        <v>3100</v>
      </c>
      <c r="P1479" s="7">
        <v>9874.16</v>
      </c>
      <c r="Q1479" s="7">
        <v>-1351.9880752955742</v>
      </c>
      <c r="R1479" s="113">
        <f t="shared" si="233"/>
        <v>0.78439355385920273</v>
      </c>
      <c r="S1479" s="113">
        <f t="shared" si="234"/>
        <v>0.34835007173601146</v>
      </c>
      <c r="T1479" s="113">
        <f t="shared" si="235"/>
        <v>0.89126213592233006</v>
      </c>
      <c r="U1479" s="113">
        <f t="shared" si="236"/>
        <v>0.67466858717251466</v>
      </c>
      <c r="V1479" s="31">
        <f t="shared" si="237"/>
        <v>19220</v>
      </c>
    </row>
    <row r="1480" spans="1:22" x14ac:dyDescent="0.45">
      <c r="A1480" s="95">
        <v>46040</v>
      </c>
      <c r="B1480" s="96">
        <f t="shared" si="241"/>
        <v>14737.5</v>
      </c>
      <c r="C1480" s="103">
        <v>11560</v>
      </c>
      <c r="D1480" s="114">
        <v>3177.5</v>
      </c>
      <c r="E1480" s="97">
        <f t="shared" si="239"/>
        <v>3485</v>
      </c>
      <c r="F1480" s="7">
        <v>1214</v>
      </c>
      <c r="G1480" s="7">
        <v>2271</v>
      </c>
      <c r="H1480" s="98">
        <f t="shared" si="231"/>
        <v>12875</v>
      </c>
      <c r="I1480" s="7">
        <v>11475</v>
      </c>
      <c r="J1480" s="7">
        <v>1400</v>
      </c>
      <c r="K1480" s="99">
        <f t="shared" si="232"/>
        <v>31097.5</v>
      </c>
      <c r="L1480" s="7">
        <v>2850</v>
      </c>
      <c r="M1480" s="7">
        <v>12150</v>
      </c>
      <c r="N1480" s="7">
        <v>1120</v>
      </c>
      <c r="O1480" s="7">
        <v>3100</v>
      </c>
      <c r="P1480" s="7">
        <v>9874.16</v>
      </c>
      <c r="Q1480" s="7">
        <v>-1351.9880752955742</v>
      </c>
      <c r="R1480" s="113">
        <f t="shared" si="233"/>
        <v>0.78439355385920273</v>
      </c>
      <c r="S1480" s="113">
        <f t="shared" si="234"/>
        <v>0.34835007173601146</v>
      </c>
      <c r="T1480" s="113">
        <f t="shared" si="235"/>
        <v>0.89126213592233006</v>
      </c>
      <c r="U1480" s="113">
        <f t="shared" si="236"/>
        <v>0.67466858717251466</v>
      </c>
      <c r="V1480" s="31">
        <f t="shared" si="237"/>
        <v>19220</v>
      </c>
    </row>
    <row r="1481" spans="1:22" x14ac:dyDescent="0.45">
      <c r="A1481" s="95">
        <v>46041</v>
      </c>
      <c r="B1481" s="96">
        <f t="shared" si="241"/>
        <v>14737.5</v>
      </c>
      <c r="C1481" s="103">
        <v>11560</v>
      </c>
      <c r="D1481" s="114">
        <v>3177.5</v>
      </c>
      <c r="E1481" s="97">
        <f t="shared" si="239"/>
        <v>3485</v>
      </c>
      <c r="F1481" s="7">
        <v>1214</v>
      </c>
      <c r="G1481" s="7">
        <v>2271</v>
      </c>
      <c r="H1481" s="98">
        <f t="shared" si="231"/>
        <v>12875</v>
      </c>
      <c r="I1481" s="7">
        <v>11475</v>
      </c>
      <c r="J1481" s="7">
        <v>1400</v>
      </c>
      <c r="K1481" s="99">
        <f t="shared" si="232"/>
        <v>31097.5</v>
      </c>
      <c r="L1481" s="7">
        <v>2850</v>
      </c>
      <c r="M1481" s="7">
        <v>12150</v>
      </c>
      <c r="N1481" s="7">
        <v>1220</v>
      </c>
      <c r="O1481" s="7">
        <v>3100</v>
      </c>
      <c r="P1481" s="7">
        <v>9822.2926003178854</v>
      </c>
      <c r="Q1481" s="7">
        <v>-1784.5726003178852</v>
      </c>
      <c r="R1481" s="113">
        <f t="shared" si="233"/>
        <v>0.78439355385920273</v>
      </c>
      <c r="S1481" s="113">
        <f t="shared" si="234"/>
        <v>0.34835007173601146</v>
      </c>
      <c r="T1481" s="113">
        <f t="shared" si="235"/>
        <v>0.89126213592233006</v>
      </c>
      <c r="U1481" s="113">
        <f t="shared" si="236"/>
        <v>0.67466858717251466</v>
      </c>
      <c r="V1481" s="31">
        <f t="shared" si="237"/>
        <v>19320</v>
      </c>
    </row>
    <row r="1482" spans="1:22" x14ac:dyDescent="0.45">
      <c r="A1482" s="95">
        <v>46042</v>
      </c>
      <c r="B1482" s="96">
        <f t="shared" si="241"/>
        <v>14737.5</v>
      </c>
      <c r="C1482" s="103">
        <v>11560</v>
      </c>
      <c r="D1482" s="114">
        <v>3177.5</v>
      </c>
      <c r="E1482" s="97">
        <f t="shared" si="239"/>
        <v>3485</v>
      </c>
      <c r="F1482" s="7">
        <v>1214</v>
      </c>
      <c r="G1482" s="7">
        <v>2271</v>
      </c>
      <c r="H1482" s="98">
        <f t="shared" si="231"/>
        <v>12875</v>
      </c>
      <c r="I1482" s="7">
        <v>11475</v>
      </c>
      <c r="J1482" s="7">
        <v>1400</v>
      </c>
      <c r="K1482" s="99">
        <f t="shared" si="232"/>
        <v>31097.5</v>
      </c>
      <c r="L1482" s="7">
        <v>2850</v>
      </c>
      <c r="M1482" s="7">
        <v>12150</v>
      </c>
      <c r="N1482" s="7">
        <v>540</v>
      </c>
      <c r="O1482" s="7">
        <v>2000</v>
      </c>
      <c r="P1482" s="7">
        <v>9822.2926003178909</v>
      </c>
      <c r="Q1482" s="7">
        <v>60.94</v>
      </c>
      <c r="R1482" s="113">
        <f t="shared" si="233"/>
        <v>0.78439355385920273</v>
      </c>
      <c r="S1482" s="113">
        <f t="shared" si="234"/>
        <v>0.34835007173601146</v>
      </c>
      <c r="T1482" s="113">
        <f t="shared" si="235"/>
        <v>0.89126213592233006</v>
      </c>
      <c r="U1482" s="113">
        <f t="shared" si="236"/>
        <v>0.67466858717251466</v>
      </c>
      <c r="V1482" s="31">
        <f t="shared" si="237"/>
        <v>17540</v>
      </c>
    </row>
    <row r="1483" spans="1:22" x14ac:dyDescent="0.45">
      <c r="A1483" s="95">
        <v>46043</v>
      </c>
      <c r="B1483" s="96">
        <f t="shared" si="241"/>
        <v>14737.5</v>
      </c>
      <c r="C1483" s="103">
        <v>11560</v>
      </c>
      <c r="D1483" s="114">
        <v>3177.5</v>
      </c>
      <c r="E1483" s="97">
        <f t="shared" si="239"/>
        <v>3485</v>
      </c>
      <c r="F1483" s="7">
        <v>1214</v>
      </c>
      <c r="G1483" s="7">
        <v>2271</v>
      </c>
      <c r="H1483" s="98">
        <f t="shared" si="231"/>
        <v>12875</v>
      </c>
      <c r="I1483" s="7">
        <v>11475</v>
      </c>
      <c r="J1483" s="7">
        <v>1400</v>
      </c>
      <c r="K1483" s="99">
        <f t="shared" si="232"/>
        <v>31097.5</v>
      </c>
      <c r="L1483" s="7">
        <v>2850</v>
      </c>
      <c r="M1483" s="7">
        <v>12150</v>
      </c>
      <c r="N1483" s="7">
        <v>400</v>
      </c>
      <c r="O1483" s="7">
        <v>2300</v>
      </c>
      <c r="P1483" s="7">
        <v>9822.2926003178854</v>
      </c>
      <c r="Q1483" s="7">
        <v>49.32</v>
      </c>
      <c r="R1483" s="113">
        <f t="shared" si="233"/>
        <v>0.78439355385920273</v>
      </c>
      <c r="S1483" s="113">
        <f t="shared" si="234"/>
        <v>0.34835007173601146</v>
      </c>
      <c r="T1483" s="113">
        <f t="shared" si="235"/>
        <v>0.89126213592233006</v>
      </c>
      <c r="U1483" s="113">
        <f t="shared" si="236"/>
        <v>0.67466858717251466</v>
      </c>
      <c r="V1483" s="31">
        <f t="shared" si="237"/>
        <v>17700</v>
      </c>
    </row>
    <row r="1484" spans="1:22" x14ac:dyDescent="0.45">
      <c r="A1484" s="95">
        <v>46044</v>
      </c>
      <c r="B1484" s="96">
        <f t="shared" si="241"/>
        <v>15037.5</v>
      </c>
      <c r="C1484" s="103">
        <v>11860</v>
      </c>
      <c r="D1484" s="114">
        <v>3177.5</v>
      </c>
      <c r="E1484" s="97">
        <f t="shared" si="239"/>
        <v>3485</v>
      </c>
      <c r="F1484" s="7">
        <v>1214</v>
      </c>
      <c r="G1484" s="7">
        <v>2271</v>
      </c>
      <c r="H1484" s="98">
        <f t="shared" si="231"/>
        <v>12875</v>
      </c>
      <c r="I1484" s="7">
        <v>11475</v>
      </c>
      <c r="J1484" s="7">
        <v>1400</v>
      </c>
      <c r="K1484" s="99">
        <f t="shared" si="232"/>
        <v>31397.5</v>
      </c>
      <c r="L1484" s="7">
        <v>2600</v>
      </c>
      <c r="M1484" s="7">
        <v>11400</v>
      </c>
      <c r="N1484" s="7">
        <v>650</v>
      </c>
      <c r="O1484" s="7">
        <v>2300</v>
      </c>
      <c r="P1484" s="7">
        <v>9822.2926003178854</v>
      </c>
      <c r="Q1484" s="7">
        <v>927.11</v>
      </c>
      <c r="R1484" s="113">
        <f t="shared" si="233"/>
        <v>0.78869492934330843</v>
      </c>
      <c r="S1484" s="113">
        <f t="shared" si="234"/>
        <v>0.34835007173601146</v>
      </c>
      <c r="T1484" s="113">
        <f t="shared" si="235"/>
        <v>0.89126213592233006</v>
      </c>
      <c r="U1484" s="113">
        <f t="shared" si="236"/>
        <v>0.67610237900054992</v>
      </c>
      <c r="V1484" s="31">
        <f t="shared" si="237"/>
        <v>16950</v>
      </c>
    </row>
    <row r="1485" spans="1:22" x14ac:dyDescent="0.45">
      <c r="A1485" s="95">
        <v>46045</v>
      </c>
      <c r="B1485" s="96">
        <f t="shared" ref="B1485:B1491" si="242">C1485+D1485</f>
        <v>15037.5</v>
      </c>
      <c r="C1485" s="103">
        <v>11860</v>
      </c>
      <c r="D1485" s="114">
        <v>3177.5</v>
      </c>
      <c r="E1485" s="97">
        <f t="shared" si="239"/>
        <v>3485</v>
      </c>
      <c r="F1485" s="7">
        <v>1214</v>
      </c>
      <c r="G1485" s="7">
        <v>2271</v>
      </c>
      <c r="H1485" s="98">
        <f t="shared" si="231"/>
        <v>12875</v>
      </c>
      <c r="I1485" s="7">
        <v>11475</v>
      </c>
      <c r="J1485" s="7">
        <v>1400</v>
      </c>
      <c r="K1485" s="99">
        <f t="shared" si="232"/>
        <v>31397.5</v>
      </c>
      <c r="L1485" s="7">
        <v>2600</v>
      </c>
      <c r="M1485" s="7">
        <v>11400</v>
      </c>
      <c r="N1485" s="7">
        <v>580</v>
      </c>
      <c r="O1485" s="7">
        <v>300</v>
      </c>
      <c r="P1485" s="7">
        <v>9822.2926003178854</v>
      </c>
      <c r="Q1485" s="7">
        <v>3355.5526965721156</v>
      </c>
      <c r="R1485" s="113">
        <f t="shared" si="233"/>
        <v>0.78869492934330843</v>
      </c>
      <c r="S1485" s="113">
        <f t="shared" si="234"/>
        <v>0.34835007173601146</v>
      </c>
      <c r="T1485" s="113">
        <f t="shared" si="235"/>
        <v>0.89126213592233006</v>
      </c>
      <c r="U1485" s="113">
        <f t="shared" si="236"/>
        <v>0.67610237900054992</v>
      </c>
      <c r="V1485" s="31">
        <f t="shared" si="237"/>
        <v>14880</v>
      </c>
    </row>
    <row r="1486" spans="1:22" x14ac:dyDescent="0.45">
      <c r="A1486" s="95">
        <v>46046</v>
      </c>
      <c r="B1486" s="96">
        <f t="shared" si="242"/>
        <v>15037.5</v>
      </c>
      <c r="C1486" s="103">
        <v>11860</v>
      </c>
      <c r="D1486" s="114">
        <v>3177.5</v>
      </c>
      <c r="E1486" s="97">
        <f t="shared" si="239"/>
        <v>3485</v>
      </c>
      <c r="F1486" s="7">
        <v>1214</v>
      </c>
      <c r="G1486" s="7">
        <v>2271</v>
      </c>
      <c r="H1486" s="98">
        <f t="shared" si="231"/>
        <v>12875</v>
      </c>
      <c r="I1486" s="7">
        <v>11475</v>
      </c>
      <c r="J1486" s="7">
        <v>1400</v>
      </c>
      <c r="K1486" s="99">
        <f t="shared" si="232"/>
        <v>31397.5</v>
      </c>
      <c r="L1486" s="7">
        <v>2600</v>
      </c>
      <c r="M1486" s="7">
        <v>11400</v>
      </c>
      <c r="N1486" s="7">
        <v>580</v>
      </c>
      <c r="O1486" s="7">
        <v>300</v>
      </c>
      <c r="P1486" s="7">
        <v>9822.2926003178854</v>
      </c>
      <c r="Q1486" s="7">
        <v>3355.5526965721156</v>
      </c>
      <c r="R1486" s="113">
        <f t="shared" si="233"/>
        <v>0.78869492934330843</v>
      </c>
      <c r="S1486" s="113">
        <f t="shared" si="234"/>
        <v>0.34835007173601146</v>
      </c>
      <c r="T1486" s="113">
        <f t="shared" si="235"/>
        <v>0.89126213592233006</v>
      </c>
      <c r="U1486" s="113">
        <f t="shared" si="236"/>
        <v>0.67610237900054992</v>
      </c>
      <c r="V1486" s="31">
        <f t="shared" si="237"/>
        <v>14880</v>
      </c>
    </row>
    <row r="1487" spans="1:22" x14ac:dyDescent="0.45">
      <c r="A1487" s="95">
        <v>46047</v>
      </c>
      <c r="B1487" s="96">
        <f t="shared" si="242"/>
        <v>15037.5</v>
      </c>
      <c r="C1487" s="103">
        <v>11860</v>
      </c>
      <c r="D1487" s="114">
        <v>3177.5</v>
      </c>
      <c r="E1487" s="97">
        <f t="shared" si="239"/>
        <v>3485</v>
      </c>
      <c r="F1487" s="7">
        <v>1214</v>
      </c>
      <c r="G1487" s="7">
        <v>2271</v>
      </c>
      <c r="H1487" s="98">
        <f t="shared" si="231"/>
        <v>12875</v>
      </c>
      <c r="I1487" s="7">
        <v>11475</v>
      </c>
      <c r="J1487" s="7">
        <v>1400</v>
      </c>
      <c r="K1487" s="99">
        <f t="shared" si="232"/>
        <v>31397.5</v>
      </c>
      <c r="L1487" s="7">
        <v>2600</v>
      </c>
      <c r="M1487" s="7">
        <v>11400</v>
      </c>
      <c r="N1487" s="7">
        <v>580</v>
      </c>
      <c r="O1487" s="7">
        <v>300</v>
      </c>
      <c r="P1487" s="7">
        <v>9822.2926003178854</v>
      </c>
      <c r="Q1487" s="7">
        <v>3355.5526965721156</v>
      </c>
      <c r="R1487" s="113">
        <f t="shared" ref="R1487:R1491" si="243">C1487/B1487</f>
        <v>0.78869492934330843</v>
      </c>
      <c r="S1487" s="113">
        <f t="shared" ref="S1487:S1491" si="244">F1487/E1487</f>
        <v>0.34835007173601146</v>
      </c>
      <c r="T1487" s="113">
        <f t="shared" ref="T1487:T1491" si="245">IF(H1487=0,0,I1487/H1487)</f>
        <v>0.89126213592233006</v>
      </c>
      <c r="U1487" s="113">
        <f t="shared" ref="U1487:U1491" si="246">AVERAGE(R1487:T1487)</f>
        <v>0.67610237900054992</v>
      </c>
      <c r="V1487" s="31">
        <f t="shared" ref="V1487:V1510" si="247">L1487+M1487+N1487+O1487</f>
        <v>14880</v>
      </c>
    </row>
    <row r="1488" spans="1:22" x14ac:dyDescent="0.45">
      <c r="A1488" s="95">
        <v>46048</v>
      </c>
      <c r="B1488" s="96">
        <f t="shared" si="242"/>
        <v>15037.5</v>
      </c>
      <c r="C1488" s="103">
        <v>11860</v>
      </c>
      <c r="D1488" s="114">
        <v>3177.5</v>
      </c>
      <c r="E1488" s="97">
        <f t="shared" si="239"/>
        <v>3485</v>
      </c>
      <c r="F1488" s="7">
        <v>1214</v>
      </c>
      <c r="G1488" s="7">
        <v>2271</v>
      </c>
      <c r="H1488" s="98">
        <f t="shared" si="231"/>
        <v>12875</v>
      </c>
      <c r="I1488" s="7">
        <v>11475</v>
      </c>
      <c r="J1488" s="7">
        <v>1400</v>
      </c>
      <c r="K1488" s="99">
        <f t="shared" si="232"/>
        <v>31397.5</v>
      </c>
      <c r="L1488" s="7">
        <v>2600</v>
      </c>
      <c r="M1488" s="7">
        <v>11400</v>
      </c>
      <c r="N1488" s="7">
        <v>690</v>
      </c>
      <c r="O1488" s="7">
        <v>3000</v>
      </c>
      <c r="P1488" s="7">
        <v>9822.2926003178854</v>
      </c>
      <c r="Q1488" s="7">
        <v>1704.29</v>
      </c>
      <c r="R1488" s="113">
        <f t="shared" si="243"/>
        <v>0.78869492934330843</v>
      </c>
      <c r="S1488" s="113">
        <f t="shared" si="244"/>
        <v>0.34835007173601146</v>
      </c>
      <c r="T1488" s="113">
        <f t="shared" si="245"/>
        <v>0.89126213592233006</v>
      </c>
      <c r="U1488" s="113">
        <f t="shared" si="246"/>
        <v>0.67610237900054992</v>
      </c>
      <c r="V1488" s="31">
        <f t="shared" si="247"/>
        <v>17690</v>
      </c>
    </row>
    <row r="1489" spans="1:22" x14ac:dyDescent="0.45">
      <c r="A1489" s="95">
        <v>46049</v>
      </c>
      <c r="B1489" s="96">
        <f t="shared" si="242"/>
        <v>15037.5</v>
      </c>
      <c r="C1489" s="103">
        <v>11860</v>
      </c>
      <c r="D1489" s="114">
        <v>3177.5</v>
      </c>
      <c r="E1489" s="97">
        <f t="shared" si="239"/>
        <v>3485</v>
      </c>
      <c r="F1489" s="7">
        <v>1214</v>
      </c>
      <c r="G1489" s="7">
        <v>2271</v>
      </c>
      <c r="H1489" s="98">
        <f t="shared" si="231"/>
        <v>12875</v>
      </c>
      <c r="I1489" s="7">
        <v>11475</v>
      </c>
      <c r="J1489" s="7">
        <v>1400</v>
      </c>
      <c r="K1489" s="99">
        <f t="shared" si="232"/>
        <v>31397.5</v>
      </c>
      <c r="L1489" s="7">
        <v>2600</v>
      </c>
      <c r="M1489" s="7">
        <v>11400</v>
      </c>
      <c r="N1489" s="7">
        <v>1040</v>
      </c>
      <c r="O1489" s="7">
        <v>3000</v>
      </c>
      <c r="P1489" s="7">
        <v>9822.2926003178854</v>
      </c>
      <c r="Q1489" s="7">
        <v>1236.8599999999999</v>
      </c>
      <c r="R1489" s="113">
        <f t="shared" si="243"/>
        <v>0.78869492934330843</v>
      </c>
      <c r="S1489" s="113">
        <f t="shared" si="244"/>
        <v>0.34835007173601146</v>
      </c>
      <c r="T1489" s="113">
        <f t="shared" si="245"/>
        <v>0.89126213592233006</v>
      </c>
      <c r="U1489" s="113">
        <f t="shared" si="246"/>
        <v>0.67610237900054992</v>
      </c>
      <c r="V1489" s="31">
        <f t="shared" si="247"/>
        <v>18040</v>
      </c>
    </row>
    <row r="1490" spans="1:22" x14ac:dyDescent="0.45">
      <c r="A1490" s="95">
        <v>46050</v>
      </c>
      <c r="B1490" s="96">
        <f t="shared" si="242"/>
        <v>15037.5</v>
      </c>
      <c r="C1490" s="103">
        <v>11860</v>
      </c>
      <c r="D1490" s="114">
        <v>3177.5</v>
      </c>
      <c r="E1490" s="97">
        <f t="shared" si="239"/>
        <v>3485</v>
      </c>
      <c r="F1490" s="7">
        <v>1214</v>
      </c>
      <c r="G1490" s="7">
        <v>2271</v>
      </c>
      <c r="H1490" s="98">
        <f t="shared" si="231"/>
        <v>12875</v>
      </c>
      <c r="I1490" s="7">
        <v>11475</v>
      </c>
      <c r="J1490" s="7">
        <v>1400</v>
      </c>
      <c r="K1490" s="99">
        <f t="shared" si="232"/>
        <v>31397.5</v>
      </c>
      <c r="L1490" s="7">
        <v>2600</v>
      </c>
      <c r="M1490" s="7">
        <v>11400</v>
      </c>
      <c r="N1490" s="7">
        <v>1130</v>
      </c>
      <c r="O1490" s="7">
        <v>3300</v>
      </c>
      <c r="P1490" s="7">
        <v>9822.2926003178854</v>
      </c>
      <c r="Q1490" s="7">
        <v>1356.89</v>
      </c>
      <c r="R1490" s="113">
        <f t="shared" si="243"/>
        <v>0.78869492934330843</v>
      </c>
      <c r="S1490" s="113">
        <f t="shared" si="244"/>
        <v>0.34835007173601146</v>
      </c>
      <c r="T1490" s="113">
        <f t="shared" si="245"/>
        <v>0.89126213592233006</v>
      </c>
      <c r="U1490" s="113">
        <f t="shared" si="246"/>
        <v>0.67610237900054992</v>
      </c>
      <c r="V1490" s="31">
        <f t="shared" si="247"/>
        <v>18430</v>
      </c>
    </row>
    <row r="1491" spans="1:22" x14ac:dyDescent="0.45">
      <c r="A1491" s="95">
        <v>46051</v>
      </c>
      <c r="B1491" s="96">
        <f t="shared" si="242"/>
        <v>14907.5</v>
      </c>
      <c r="C1491" s="103">
        <v>11980</v>
      </c>
      <c r="D1491" s="114">
        <v>2927.5</v>
      </c>
      <c r="E1491" s="97">
        <f t="shared" si="239"/>
        <v>3485</v>
      </c>
      <c r="F1491" s="7">
        <v>1714</v>
      </c>
      <c r="G1491" s="7">
        <v>1771</v>
      </c>
      <c r="H1491" s="98">
        <f t="shared" si="231"/>
        <v>13875</v>
      </c>
      <c r="I1491" s="7">
        <v>12415</v>
      </c>
      <c r="J1491" s="7">
        <v>1460</v>
      </c>
      <c r="K1491" s="99">
        <f t="shared" si="232"/>
        <v>32267.5</v>
      </c>
      <c r="L1491" s="7">
        <v>3150</v>
      </c>
      <c r="M1491" s="7">
        <v>10850</v>
      </c>
      <c r="N1491" s="7">
        <v>1300</v>
      </c>
      <c r="O1491" s="7">
        <v>300</v>
      </c>
      <c r="P1491" s="7">
        <v>9822.2926003178854</v>
      </c>
      <c r="Q1491" s="7">
        <v>3227.95</v>
      </c>
      <c r="R1491" s="113">
        <f t="shared" si="243"/>
        <v>0.80362233774945502</v>
      </c>
      <c r="S1491" s="113">
        <f t="shared" si="244"/>
        <v>0.49182209469153515</v>
      </c>
      <c r="T1491" s="113">
        <f t="shared" si="245"/>
        <v>0.89477477477477474</v>
      </c>
      <c r="U1491" s="113">
        <f t="shared" si="246"/>
        <v>0.7300730690719216</v>
      </c>
      <c r="V1491" s="31">
        <f t="shared" si="247"/>
        <v>15600</v>
      </c>
    </row>
    <row r="1492" spans="1:22" x14ac:dyDescent="0.45">
      <c r="A1492" s="95">
        <v>46052</v>
      </c>
      <c r="B1492" s="96">
        <f t="shared" ref="B1492:B1498" si="248">C1492+D1492</f>
        <v>14907.5</v>
      </c>
      <c r="C1492" s="103">
        <v>11980</v>
      </c>
      <c r="D1492" s="114">
        <v>2927.5</v>
      </c>
      <c r="E1492" s="97">
        <f t="shared" ref="E1492:E1498" si="249">F1492+G1492</f>
        <v>3485</v>
      </c>
      <c r="F1492" s="7">
        <v>1714</v>
      </c>
      <c r="G1492" s="7">
        <v>1771</v>
      </c>
      <c r="H1492" s="98">
        <f t="shared" ref="H1492:H1498" si="250">I1492+J1492</f>
        <v>13875</v>
      </c>
      <c r="I1492" s="7">
        <v>12415</v>
      </c>
      <c r="J1492" s="7">
        <v>1460</v>
      </c>
      <c r="K1492" s="99">
        <f t="shared" ref="K1492:K1498" si="251">B1492+E1492+H1492</f>
        <v>32267.5</v>
      </c>
      <c r="L1492" s="7">
        <v>3150</v>
      </c>
      <c r="M1492" s="7">
        <v>10850</v>
      </c>
      <c r="N1492" s="7">
        <v>1400</v>
      </c>
      <c r="O1492" s="7">
        <v>2300</v>
      </c>
      <c r="P1492" s="7">
        <v>9822.2926003178854</v>
      </c>
      <c r="Q1492" s="7">
        <v>1026.25</v>
      </c>
      <c r="R1492" s="113">
        <f t="shared" ref="R1492:R1496" si="252">C1492/B1492</f>
        <v>0.80362233774945502</v>
      </c>
      <c r="S1492" s="113">
        <f t="shared" ref="S1492:S1496" si="253">F1492/E1492</f>
        <v>0.49182209469153515</v>
      </c>
      <c r="T1492" s="113">
        <f t="shared" ref="T1492:T1496" si="254">IF(H1492=0,0,I1492/H1492)</f>
        <v>0.89477477477477474</v>
      </c>
      <c r="U1492" s="113">
        <f t="shared" ref="U1492:U1496" si="255">AVERAGE(R1492:T1492)</f>
        <v>0.7300730690719216</v>
      </c>
      <c r="V1492" s="31">
        <f t="shared" si="247"/>
        <v>17700</v>
      </c>
    </row>
    <row r="1493" spans="1:22" x14ac:dyDescent="0.45">
      <c r="A1493" s="95">
        <v>46053</v>
      </c>
      <c r="B1493" s="96">
        <f t="shared" si="248"/>
        <v>14907.5</v>
      </c>
      <c r="C1493" s="103">
        <v>11980</v>
      </c>
      <c r="D1493" s="114">
        <v>2927.5</v>
      </c>
      <c r="E1493" s="97">
        <f t="shared" si="249"/>
        <v>3485</v>
      </c>
      <c r="F1493" s="7">
        <v>1714</v>
      </c>
      <c r="G1493" s="7">
        <v>1771</v>
      </c>
      <c r="H1493" s="98">
        <f t="shared" si="250"/>
        <v>13875</v>
      </c>
      <c r="I1493" s="7">
        <v>12415</v>
      </c>
      <c r="J1493" s="7">
        <v>1460</v>
      </c>
      <c r="K1493" s="99">
        <f t="shared" si="251"/>
        <v>32267.5</v>
      </c>
      <c r="L1493" s="7">
        <v>3150</v>
      </c>
      <c r="M1493" s="7">
        <v>10850</v>
      </c>
      <c r="N1493" s="7">
        <v>1400</v>
      </c>
      <c r="O1493" s="7">
        <v>2300</v>
      </c>
      <c r="P1493" s="7">
        <v>9822.2926003178854</v>
      </c>
      <c r="Q1493" s="7">
        <v>1026.25</v>
      </c>
      <c r="R1493" s="113">
        <f t="shared" si="252"/>
        <v>0.80362233774945502</v>
      </c>
      <c r="S1493" s="113">
        <f t="shared" si="253"/>
        <v>0.49182209469153515</v>
      </c>
      <c r="T1493" s="113">
        <f t="shared" si="254"/>
        <v>0.89477477477477474</v>
      </c>
      <c r="U1493" s="113">
        <f t="shared" si="255"/>
        <v>0.7300730690719216</v>
      </c>
      <c r="V1493" s="31">
        <f t="shared" si="247"/>
        <v>17700</v>
      </c>
    </row>
    <row r="1494" spans="1:22" x14ac:dyDescent="0.45">
      <c r="A1494" s="95">
        <v>46054</v>
      </c>
      <c r="B1494" s="96">
        <f t="shared" si="248"/>
        <v>14907.5</v>
      </c>
      <c r="C1494" s="103">
        <v>11980</v>
      </c>
      <c r="D1494" s="114">
        <v>2927.5</v>
      </c>
      <c r="E1494" s="97">
        <f t="shared" si="249"/>
        <v>3485</v>
      </c>
      <c r="F1494" s="7">
        <v>1714</v>
      </c>
      <c r="G1494" s="7">
        <v>1771</v>
      </c>
      <c r="H1494" s="98">
        <f t="shared" si="250"/>
        <v>13875</v>
      </c>
      <c r="I1494" s="7">
        <v>12415</v>
      </c>
      <c r="J1494" s="7">
        <v>1460</v>
      </c>
      <c r="K1494" s="99">
        <f t="shared" si="251"/>
        <v>32267.5</v>
      </c>
      <c r="L1494" s="7">
        <v>3150</v>
      </c>
      <c r="M1494" s="7">
        <v>10850</v>
      </c>
      <c r="N1494" s="7">
        <v>1400</v>
      </c>
      <c r="O1494" s="7">
        <v>2300</v>
      </c>
      <c r="P1494" s="7">
        <v>9822.2926003178854</v>
      </c>
      <c r="Q1494" s="7">
        <v>1026.25</v>
      </c>
      <c r="R1494" s="113">
        <f t="shared" si="252"/>
        <v>0.80362233774945502</v>
      </c>
      <c r="S1494" s="113">
        <f t="shared" si="253"/>
        <v>0.49182209469153515</v>
      </c>
      <c r="T1494" s="113">
        <f t="shared" si="254"/>
        <v>0.89477477477477474</v>
      </c>
      <c r="U1494" s="113">
        <f t="shared" si="255"/>
        <v>0.7300730690719216</v>
      </c>
      <c r="V1494" s="31">
        <f t="shared" si="247"/>
        <v>17700</v>
      </c>
    </row>
    <row r="1495" spans="1:22" x14ac:dyDescent="0.45">
      <c r="A1495" s="95">
        <v>46055</v>
      </c>
      <c r="B1495" s="96">
        <f t="shared" si="248"/>
        <v>14907.5</v>
      </c>
      <c r="C1495" s="103">
        <v>11980</v>
      </c>
      <c r="D1495" s="114">
        <v>2927.5</v>
      </c>
      <c r="E1495" s="97">
        <f t="shared" si="249"/>
        <v>3485</v>
      </c>
      <c r="F1495" s="7">
        <v>1714</v>
      </c>
      <c r="G1495" s="7">
        <v>1771</v>
      </c>
      <c r="H1495" s="98">
        <f t="shared" si="250"/>
        <v>13875</v>
      </c>
      <c r="I1495" s="7">
        <v>12415</v>
      </c>
      <c r="J1495" s="7">
        <v>1460</v>
      </c>
      <c r="K1495" s="99">
        <f t="shared" si="251"/>
        <v>32267.5</v>
      </c>
      <c r="L1495" s="7">
        <v>3150</v>
      </c>
      <c r="M1495" s="7">
        <v>10850</v>
      </c>
      <c r="N1495" s="7">
        <v>1560</v>
      </c>
      <c r="O1495" s="7">
        <v>3500</v>
      </c>
      <c r="P1495" s="7">
        <v>9822.2926003178854</v>
      </c>
      <c r="Q1495" s="7">
        <v>-616.97</v>
      </c>
      <c r="R1495" s="113">
        <f t="shared" si="252"/>
        <v>0.80362233774945502</v>
      </c>
      <c r="S1495" s="113">
        <f t="shared" si="253"/>
        <v>0.49182209469153515</v>
      </c>
      <c r="T1495" s="113">
        <f t="shared" si="254"/>
        <v>0.89477477477477474</v>
      </c>
      <c r="U1495" s="113">
        <f t="shared" si="255"/>
        <v>0.7300730690719216</v>
      </c>
      <c r="V1495" s="31">
        <f t="shared" si="247"/>
        <v>19060</v>
      </c>
    </row>
    <row r="1496" spans="1:22" x14ac:dyDescent="0.45">
      <c r="A1496" s="95">
        <v>46056</v>
      </c>
      <c r="B1496" s="96">
        <f t="shared" si="248"/>
        <v>14907.5</v>
      </c>
      <c r="C1496" s="103">
        <v>11980</v>
      </c>
      <c r="D1496" s="114">
        <v>2927.5</v>
      </c>
      <c r="E1496" s="97">
        <f t="shared" si="249"/>
        <v>3485</v>
      </c>
      <c r="F1496" s="7">
        <v>1714</v>
      </c>
      <c r="G1496" s="7">
        <v>1771</v>
      </c>
      <c r="H1496" s="98">
        <f t="shared" si="250"/>
        <v>13875</v>
      </c>
      <c r="I1496" s="7">
        <v>12415</v>
      </c>
      <c r="J1496" s="7">
        <v>1460</v>
      </c>
      <c r="K1496" s="99">
        <f t="shared" si="251"/>
        <v>32267.5</v>
      </c>
      <c r="L1496" s="7">
        <v>3150</v>
      </c>
      <c r="M1496" s="7">
        <v>10850</v>
      </c>
      <c r="N1496" s="7">
        <v>1375</v>
      </c>
      <c r="O1496" s="7">
        <v>3500</v>
      </c>
      <c r="P1496" s="7">
        <v>9822.2926003178854</v>
      </c>
      <c r="Q1496" s="7">
        <v>-405.57402779788447</v>
      </c>
      <c r="R1496" s="113">
        <f t="shared" si="252"/>
        <v>0.80362233774945502</v>
      </c>
      <c r="S1496" s="113">
        <f t="shared" si="253"/>
        <v>0.49182209469153515</v>
      </c>
      <c r="T1496" s="113">
        <f t="shared" si="254"/>
        <v>0.89477477477477474</v>
      </c>
      <c r="U1496" s="113">
        <f t="shared" si="255"/>
        <v>0.7300730690719216</v>
      </c>
      <c r="V1496" s="31">
        <f t="shared" si="247"/>
        <v>18875</v>
      </c>
    </row>
    <row r="1497" spans="1:22" x14ac:dyDescent="0.45">
      <c r="A1497" s="95">
        <v>46057</v>
      </c>
      <c r="B1497" s="96">
        <f t="shared" si="248"/>
        <v>14907.5</v>
      </c>
      <c r="C1497" s="103">
        <v>11980</v>
      </c>
      <c r="D1497" s="114">
        <v>2927.5</v>
      </c>
      <c r="E1497" s="97">
        <f t="shared" si="249"/>
        <v>3485</v>
      </c>
      <c r="F1497" s="7">
        <v>1714</v>
      </c>
      <c r="G1497" s="7">
        <v>1771</v>
      </c>
      <c r="H1497" s="98">
        <f t="shared" si="250"/>
        <v>13875</v>
      </c>
      <c r="I1497" s="7">
        <v>12415</v>
      </c>
      <c r="J1497" s="7">
        <v>1460</v>
      </c>
      <c r="K1497" s="99">
        <f t="shared" si="251"/>
        <v>32267.5</v>
      </c>
      <c r="L1497" s="7">
        <v>3150</v>
      </c>
      <c r="M1497" s="7">
        <v>10850</v>
      </c>
      <c r="N1497" s="7">
        <v>1475</v>
      </c>
      <c r="O1497" s="7">
        <v>1800</v>
      </c>
      <c r="P1497" s="7">
        <v>9822.2926003178854</v>
      </c>
      <c r="Q1497" s="7">
        <v>698.96305953211049</v>
      </c>
      <c r="R1497" s="113">
        <f t="shared" ref="R1497:R1505" si="256">C1497/B1497</f>
        <v>0.80362233774945502</v>
      </c>
      <c r="S1497" s="113">
        <f t="shared" ref="S1497:S1504" si="257">F1497/E1497</f>
        <v>0.49182209469153515</v>
      </c>
      <c r="T1497" s="113">
        <f t="shared" ref="T1497:T1504" si="258">IF(H1497=0,0,I1497/H1497)</f>
        <v>0.89477477477477474</v>
      </c>
      <c r="U1497" s="113">
        <f t="shared" ref="U1497:U1504" si="259">AVERAGE(R1497:T1497)</f>
        <v>0.7300730690719216</v>
      </c>
      <c r="V1497" s="31">
        <f t="shared" si="247"/>
        <v>17275</v>
      </c>
    </row>
    <row r="1498" spans="1:22" x14ac:dyDescent="0.45">
      <c r="A1498" s="95">
        <v>46058</v>
      </c>
      <c r="B1498" s="96">
        <f t="shared" si="248"/>
        <v>14777.5</v>
      </c>
      <c r="C1498" s="103">
        <v>11720</v>
      </c>
      <c r="D1498" s="114">
        <v>3057.5</v>
      </c>
      <c r="E1498" s="97">
        <f t="shared" si="249"/>
        <v>3985</v>
      </c>
      <c r="F1498" s="7">
        <v>1714</v>
      </c>
      <c r="G1498" s="7">
        <v>2271</v>
      </c>
      <c r="H1498" s="98">
        <f t="shared" si="250"/>
        <v>13875</v>
      </c>
      <c r="I1498" s="7">
        <v>12415</v>
      </c>
      <c r="J1498" s="7">
        <v>1460</v>
      </c>
      <c r="K1498" s="99">
        <f t="shared" si="251"/>
        <v>32637.5</v>
      </c>
      <c r="L1498" s="7">
        <v>3070</v>
      </c>
      <c r="M1498" s="7">
        <v>10930</v>
      </c>
      <c r="N1498" s="7">
        <v>1395</v>
      </c>
      <c r="O1498" s="7">
        <v>2800</v>
      </c>
      <c r="P1498" s="7">
        <v>9822.2926003178854</v>
      </c>
      <c r="Q1498" s="7">
        <v>484.26</v>
      </c>
      <c r="R1498" s="113">
        <f t="shared" si="256"/>
        <v>0.79309761461681616</v>
      </c>
      <c r="S1498" s="113">
        <f t="shared" si="257"/>
        <v>0.43011292346298619</v>
      </c>
      <c r="T1498" s="113">
        <f t="shared" si="258"/>
        <v>0.89477477477477474</v>
      </c>
      <c r="U1498" s="113">
        <f t="shared" si="259"/>
        <v>0.70599510428485901</v>
      </c>
      <c r="V1498" s="31">
        <f t="shared" si="247"/>
        <v>18195</v>
      </c>
    </row>
    <row r="1499" spans="1:22" x14ac:dyDescent="0.45">
      <c r="A1499" s="95">
        <v>46059</v>
      </c>
      <c r="B1499" s="96">
        <f t="shared" ref="B1499:B1511" si="260">C1499+D1499</f>
        <v>14777.5</v>
      </c>
      <c r="C1499" s="103">
        <v>11720</v>
      </c>
      <c r="D1499" s="114">
        <v>3057.5</v>
      </c>
      <c r="E1499" s="97">
        <f t="shared" ref="E1499:E1504" si="261">F1499+G1499</f>
        <v>3985</v>
      </c>
      <c r="F1499" s="7">
        <v>1714</v>
      </c>
      <c r="G1499" s="7">
        <v>2271</v>
      </c>
      <c r="H1499" s="98">
        <f t="shared" ref="H1499:H1504" si="262">I1499+J1499</f>
        <v>13875</v>
      </c>
      <c r="I1499" s="7">
        <v>12415</v>
      </c>
      <c r="J1499" s="7">
        <v>1460</v>
      </c>
      <c r="K1499" s="99">
        <f t="shared" ref="K1499:K1504" si="263">B1499+E1499+H1499</f>
        <v>32637.5</v>
      </c>
      <c r="L1499" s="7">
        <v>3070</v>
      </c>
      <c r="M1499" s="7">
        <v>10930</v>
      </c>
      <c r="N1499" s="7">
        <v>1270</v>
      </c>
      <c r="O1499" s="7">
        <v>2800</v>
      </c>
      <c r="P1499" s="7">
        <v>9822.2926003178854</v>
      </c>
      <c r="Q1499" s="7">
        <v>1094.43</v>
      </c>
      <c r="R1499" s="113">
        <f t="shared" si="256"/>
        <v>0.79309761461681616</v>
      </c>
      <c r="S1499" s="113">
        <f t="shared" si="257"/>
        <v>0.43011292346298619</v>
      </c>
      <c r="T1499" s="113">
        <f t="shared" si="258"/>
        <v>0.89477477477477474</v>
      </c>
      <c r="U1499" s="113">
        <f t="shared" si="259"/>
        <v>0.70599510428485901</v>
      </c>
      <c r="V1499" s="31">
        <f t="shared" si="247"/>
        <v>18070</v>
      </c>
    </row>
    <row r="1500" spans="1:22" x14ac:dyDescent="0.45">
      <c r="A1500" s="95">
        <v>46060</v>
      </c>
      <c r="B1500" s="96">
        <f t="shared" si="260"/>
        <v>14777.5</v>
      </c>
      <c r="C1500" s="103">
        <v>11720</v>
      </c>
      <c r="D1500" s="114">
        <v>3057.5</v>
      </c>
      <c r="E1500" s="97">
        <f t="shared" si="261"/>
        <v>3985</v>
      </c>
      <c r="F1500" s="7">
        <v>1714</v>
      </c>
      <c r="G1500" s="7">
        <v>2271</v>
      </c>
      <c r="H1500" s="98">
        <f t="shared" si="262"/>
        <v>13875</v>
      </c>
      <c r="I1500" s="7">
        <v>12415</v>
      </c>
      <c r="J1500" s="7">
        <v>1460</v>
      </c>
      <c r="K1500" s="99">
        <f t="shared" si="263"/>
        <v>32637.5</v>
      </c>
      <c r="L1500" s="7">
        <v>3070</v>
      </c>
      <c r="M1500" s="7">
        <v>10930</v>
      </c>
      <c r="N1500" s="7">
        <v>1270</v>
      </c>
      <c r="O1500" s="7">
        <v>2800</v>
      </c>
      <c r="P1500" s="7">
        <v>9822.2926003178854</v>
      </c>
      <c r="Q1500" s="7">
        <v>1094.43</v>
      </c>
      <c r="R1500" s="113">
        <f t="shared" si="256"/>
        <v>0.79309761461681616</v>
      </c>
      <c r="S1500" s="113">
        <f t="shared" si="257"/>
        <v>0.43011292346298619</v>
      </c>
      <c r="T1500" s="113">
        <f t="shared" si="258"/>
        <v>0.89477477477477474</v>
      </c>
      <c r="U1500" s="113">
        <f t="shared" si="259"/>
        <v>0.70599510428485901</v>
      </c>
      <c r="V1500" s="31">
        <f t="shared" si="247"/>
        <v>18070</v>
      </c>
    </row>
    <row r="1501" spans="1:22" x14ac:dyDescent="0.45">
      <c r="A1501" s="95">
        <v>46061</v>
      </c>
      <c r="B1501" s="96">
        <f t="shared" si="260"/>
        <v>14777.5</v>
      </c>
      <c r="C1501" s="103">
        <v>11720</v>
      </c>
      <c r="D1501" s="114">
        <v>3057.5</v>
      </c>
      <c r="E1501" s="97">
        <f t="shared" si="261"/>
        <v>3985</v>
      </c>
      <c r="F1501" s="7">
        <v>1714</v>
      </c>
      <c r="G1501" s="7">
        <v>2271</v>
      </c>
      <c r="H1501" s="98">
        <f t="shared" si="262"/>
        <v>13875</v>
      </c>
      <c r="I1501" s="7">
        <v>12415</v>
      </c>
      <c r="J1501" s="7">
        <v>1460</v>
      </c>
      <c r="K1501" s="99">
        <f t="shared" si="263"/>
        <v>32637.5</v>
      </c>
      <c r="L1501" s="7">
        <v>3070</v>
      </c>
      <c r="M1501" s="7">
        <v>10930</v>
      </c>
      <c r="N1501" s="7">
        <v>1270</v>
      </c>
      <c r="O1501" s="7">
        <v>2800</v>
      </c>
      <c r="P1501" s="7">
        <v>9822.2926003178854</v>
      </c>
      <c r="Q1501" s="7">
        <v>1094.43</v>
      </c>
      <c r="R1501" s="113">
        <f t="shared" si="256"/>
        <v>0.79309761461681616</v>
      </c>
      <c r="S1501" s="113">
        <f t="shared" si="257"/>
        <v>0.43011292346298619</v>
      </c>
      <c r="T1501" s="113">
        <f t="shared" si="258"/>
        <v>0.89477477477477474</v>
      </c>
      <c r="U1501" s="113">
        <f t="shared" si="259"/>
        <v>0.70599510428485901</v>
      </c>
      <c r="V1501" s="31">
        <f t="shared" si="247"/>
        <v>18070</v>
      </c>
    </row>
    <row r="1502" spans="1:22" x14ac:dyDescent="0.45">
      <c r="A1502" s="95">
        <v>46062</v>
      </c>
      <c r="B1502" s="96">
        <f t="shared" si="260"/>
        <v>14777.5</v>
      </c>
      <c r="C1502" s="103">
        <v>11720</v>
      </c>
      <c r="D1502" s="114">
        <v>3057.5</v>
      </c>
      <c r="E1502" s="97">
        <f t="shared" si="261"/>
        <v>3985</v>
      </c>
      <c r="F1502" s="7">
        <v>1714</v>
      </c>
      <c r="G1502" s="7">
        <v>2271</v>
      </c>
      <c r="H1502" s="98">
        <f t="shared" si="262"/>
        <v>13875</v>
      </c>
      <c r="I1502" s="7">
        <v>12415</v>
      </c>
      <c r="J1502" s="7">
        <v>1460</v>
      </c>
      <c r="K1502" s="99">
        <f t="shared" si="263"/>
        <v>32637.5</v>
      </c>
      <c r="L1502" s="7">
        <v>3070</v>
      </c>
      <c r="M1502" s="7">
        <v>10930</v>
      </c>
      <c r="N1502" s="7">
        <v>1970</v>
      </c>
      <c r="O1502" s="7">
        <v>4000</v>
      </c>
      <c r="P1502" s="7">
        <v>9822.2926003178854</v>
      </c>
      <c r="Q1502" s="7">
        <v>-921.71</v>
      </c>
      <c r="R1502" s="113">
        <f t="shared" si="256"/>
        <v>0.79309761461681616</v>
      </c>
      <c r="S1502" s="113">
        <f t="shared" si="257"/>
        <v>0.43011292346298619</v>
      </c>
      <c r="T1502" s="113">
        <f t="shared" si="258"/>
        <v>0.89477477477477474</v>
      </c>
      <c r="U1502" s="113">
        <f t="shared" si="259"/>
        <v>0.70599510428485901</v>
      </c>
      <c r="V1502" s="31">
        <f t="shared" si="247"/>
        <v>19970</v>
      </c>
    </row>
    <row r="1503" spans="1:22" x14ac:dyDescent="0.45">
      <c r="A1503" s="95">
        <v>46063</v>
      </c>
      <c r="B1503" s="96">
        <f t="shared" si="260"/>
        <v>14777.5</v>
      </c>
      <c r="C1503" s="103">
        <v>11720</v>
      </c>
      <c r="D1503" s="114">
        <v>3057.5</v>
      </c>
      <c r="E1503" s="97">
        <f t="shared" si="261"/>
        <v>3985</v>
      </c>
      <c r="F1503" s="7">
        <v>1714</v>
      </c>
      <c r="G1503" s="7">
        <v>2271</v>
      </c>
      <c r="H1503" s="98">
        <f t="shared" si="262"/>
        <v>13875</v>
      </c>
      <c r="I1503" s="7">
        <v>12415</v>
      </c>
      <c r="J1503" s="7">
        <v>1460</v>
      </c>
      <c r="K1503" s="99">
        <f t="shared" si="263"/>
        <v>32637.5</v>
      </c>
      <c r="L1503" s="7">
        <v>3070</v>
      </c>
      <c r="M1503" s="7">
        <v>10930</v>
      </c>
      <c r="N1503" s="7">
        <v>1800</v>
      </c>
      <c r="O1503" s="7">
        <v>1500</v>
      </c>
      <c r="P1503" s="7">
        <v>9822.2926003178854</v>
      </c>
      <c r="Q1503" s="7">
        <v>1735.82</v>
      </c>
      <c r="R1503" s="113">
        <f t="shared" si="256"/>
        <v>0.79309761461681616</v>
      </c>
      <c r="S1503" s="113">
        <f t="shared" si="257"/>
        <v>0.43011292346298619</v>
      </c>
      <c r="T1503" s="113">
        <f t="shared" si="258"/>
        <v>0.89477477477477474</v>
      </c>
      <c r="U1503" s="113">
        <f t="shared" si="259"/>
        <v>0.70599510428485901</v>
      </c>
      <c r="V1503" s="31">
        <f t="shared" si="247"/>
        <v>17300</v>
      </c>
    </row>
    <row r="1504" spans="1:22" x14ac:dyDescent="0.45">
      <c r="A1504" s="95">
        <v>46064</v>
      </c>
      <c r="B1504" s="96">
        <f t="shared" si="260"/>
        <v>14777.5</v>
      </c>
      <c r="C1504" s="103">
        <v>11720</v>
      </c>
      <c r="D1504" s="114">
        <v>3057.5</v>
      </c>
      <c r="E1504" s="97">
        <f t="shared" si="261"/>
        <v>3985</v>
      </c>
      <c r="F1504" s="7">
        <v>1714</v>
      </c>
      <c r="G1504" s="7">
        <v>2271</v>
      </c>
      <c r="H1504" s="98">
        <f t="shared" si="262"/>
        <v>13875</v>
      </c>
      <c r="I1504" s="7">
        <v>12415</v>
      </c>
      <c r="J1504" s="7">
        <v>1460</v>
      </c>
      <c r="K1504" s="99">
        <f t="shared" si="263"/>
        <v>32637.5</v>
      </c>
      <c r="L1504" s="7">
        <v>3070</v>
      </c>
      <c r="M1504" s="7">
        <v>10930</v>
      </c>
      <c r="N1504" s="7">
        <v>1600</v>
      </c>
      <c r="O1504" s="7">
        <v>1800</v>
      </c>
      <c r="P1504" s="7">
        <v>9822.2926003178854</v>
      </c>
      <c r="Q1504" s="7">
        <v>2974.36</v>
      </c>
      <c r="R1504" s="113">
        <f t="shared" si="256"/>
        <v>0.79309761461681616</v>
      </c>
      <c r="S1504" s="113">
        <f t="shared" si="257"/>
        <v>0.43011292346298619</v>
      </c>
      <c r="T1504" s="113">
        <f t="shared" si="258"/>
        <v>0.89477477477477474</v>
      </c>
      <c r="U1504" s="113">
        <f t="shared" si="259"/>
        <v>0.70599510428485901</v>
      </c>
      <c r="V1504" s="31">
        <f t="shared" si="247"/>
        <v>17400</v>
      </c>
    </row>
    <row r="1505" spans="1:22" x14ac:dyDescent="0.45">
      <c r="A1505" s="95">
        <v>46065</v>
      </c>
      <c r="B1505" s="96">
        <f t="shared" si="260"/>
        <v>14447.5</v>
      </c>
      <c r="C1505" s="103">
        <v>11640</v>
      </c>
      <c r="D1505" s="114">
        <v>2807.5</v>
      </c>
      <c r="E1505" s="97">
        <f t="shared" ref="E1505:E1511" si="264">F1505+G1505</f>
        <v>3985</v>
      </c>
      <c r="F1505" s="7">
        <v>1714</v>
      </c>
      <c r="G1505" s="7">
        <v>2271</v>
      </c>
      <c r="H1505" s="98">
        <f t="shared" ref="H1505:H1511" si="265">I1505+J1505</f>
        <v>13875</v>
      </c>
      <c r="I1505" s="7">
        <v>12415</v>
      </c>
      <c r="J1505" s="7">
        <v>1460</v>
      </c>
      <c r="K1505" s="99">
        <f t="shared" ref="K1505:K1511" si="266">B1505+E1505+H1505</f>
        <v>32307.5</v>
      </c>
      <c r="L1505" s="7">
        <v>2270</v>
      </c>
      <c r="M1505" s="7">
        <v>11900</v>
      </c>
      <c r="N1505" s="7">
        <v>100</v>
      </c>
      <c r="O1505" s="7">
        <v>300</v>
      </c>
      <c r="P1505" s="7">
        <v>9822.2926003178854</v>
      </c>
      <c r="Q1505" s="7">
        <v>5725.73</v>
      </c>
      <c r="R1505" s="113">
        <f t="shared" ref="R1505:R1510" si="267">C1505/B1505</f>
        <v>0.8056757224433293</v>
      </c>
      <c r="S1505" s="113">
        <f t="shared" ref="S1505:S1510" si="268">F1505/E1505</f>
        <v>0.43011292346298619</v>
      </c>
      <c r="T1505" s="113">
        <f t="shared" ref="T1505:T1510" si="269">IF(H1505=0,0,I1505/H1505)</f>
        <v>0.89477477477477474</v>
      </c>
      <c r="U1505" s="113">
        <f t="shared" ref="U1505:U1510" si="270">AVERAGE(R1505:T1505)</f>
        <v>0.71018780689369676</v>
      </c>
      <c r="V1505" s="31">
        <f t="shared" si="247"/>
        <v>14570</v>
      </c>
    </row>
    <row r="1506" spans="1:22" x14ac:dyDescent="0.45">
      <c r="A1506" s="95">
        <v>46066</v>
      </c>
      <c r="B1506" s="96">
        <f t="shared" si="260"/>
        <v>14447.5</v>
      </c>
      <c r="C1506" s="103">
        <v>11640</v>
      </c>
      <c r="D1506" s="114">
        <v>2807.5</v>
      </c>
      <c r="E1506" s="97">
        <f t="shared" si="264"/>
        <v>3985</v>
      </c>
      <c r="F1506" s="7">
        <v>1714</v>
      </c>
      <c r="G1506" s="7">
        <v>2271</v>
      </c>
      <c r="H1506" s="98">
        <f t="shared" si="265"/>
        <v>13875</v>
      </c>
      <c r="I1506" s="7">
        <v>12415</v>
      </c>
      <c r="J1506" s="7">
        <v>1460</v>
      </c>
      <c r="K1506" s="99">
        <f t="shared" si="266"/>
        <v>32307.5</v>
      </c>
      <c r="L1506" s="7">
        <v>2270</v>
      </c>
      <c r="M1506" s="7">
        <v>11900</v>
      </c>
      <c r="N1506" s="7">
        <v>650</v>
      </c>
      <c r="O1506" s="7">
        <v>1500</v>
      </c>
      <c r="P1506" s="7">
        <v>9822.2926003178854</v>
      </c>
      <c r="Q1506" s="7"/>
      <c r="R1506" s="113">
        <f t="shared" si="267"/>
        <v>0.8056757224433293</v>
      </c>
      <c r="S1506" s="113">
        <f t="shared" si="268"/>
        <v>0.43011292346298619</v>
      </c>
      <c r="T1506" s="113">
        <f t="shared" si="269"/>
        <v>0.89477477477477474</v>
      </c>
      <c r="U1506" s="113">
        <f t="shared" si="270"/>
        <v>0.71018780689369676</v>
      </c>
      <c r="V1506" s="31">
        <f t="shared" si="247"/>
        <v>16320</v>
      </c>
    </row>
    <row r="1507" spans="1:22" x14ac:dyDescent="0.45">
      <c r="A1507" s="95">
        <v>46067</v>
      </c>
      <c r="B1507" s="96">
        <f t="shared" si="260"/>
        <v>14447.5</v>
      </c>
      <c r="C1507" s="103">
        <v>11640</v>
      </c>
      <c r="D1507" s="114">
        <v>2807.5</v>
      </c>
      <c r="E1507" s="97">
        <f t="shared" si="264"/>
        <v>3985</v>
      </c>
      <c r="F1507" s="7">
        <v>1714</v>
      </c>
      <c r="G1507" s="7">
        <v>2271</v>
      </c>
      <c r="H1507" s="98">
        <f t="shared" si="265"/>
        <v>13875</v>
      </c>
      <c r="I1507" s="7">
        <v>12415</v>
      </c>
      <c r="J1507" s="7">
        <v>1460</v>
      </c>
      <c r="K1507" s="99">
        <f t="shared" si="266"/>
        <v>32307.5</v>
      </c>
      <c r="L1507" s="7">
        <v>2270</v>
      </c>
      <c r="M1507" s="7">
        <v>11900</v>
      </c>
      <c r="N1507" s="7">
        <v>650</v>
      </c>
      <c r="O1507" s="7">
        <v>1500</v>
      </c>
      <c r="P1507" s="7">
        <v>9822.2926003178854</v>
      </c>
      <c r="Q1507" s="7"/>
      <c r="R1507" s="113">
        <f t="shared" si="267"/>
        <v>0.8056757224433293</v>
      </c>
      <c r="S1507" s="113">
        <f t="shared" si="268"/>
        <v>0.43011292346298619</v>
      </c>
      <c r="T1507" s="113">
        <f t="shared" si="269"/>
        <v>0.89477477477477474</v>
      </c>
      <c r="U1507" s="113">
        <f t="shared" si="270"/>
        <v>0.71018780689369676</v>
      </c>
      <c r="V1507" s="31">
        <f t="shared" si="247"/>
        <v>16320</v>
      </c>
    </row>
    <row r="1508" spans="1:22" x14ac:dyDescent="0.45">
      <c r="A1508" s="95">
        <v>46068</v>
      </c>
      <c r="B1508" s="96">
        <f t="shared" si="260"/>
        <v>14447.5</v>
      </c>
      <c r="C1508" s="103">
        <v>11640</v>
      </c>
      <c r="D1508" s="114">
        <v>2807.5</v>
      </c>
      <c r="E1508" s="97">
        <f t="shared" si="264"/>
        <v>3985</v>
      </c>
      <c r="F1508" s="7">
        <v>1714</v>
      </c>
      <c r="G1508" s="7">
        <v>2271</v>
      </c>
      <c r="H1508" s="98">
        <f t="shared" si="265"/>
        <v>13875</v>
      </c>
      <c r="I1508" s="7">
        <v>12415</v>
      </c>
      <c r="J1508" s="7">
        <v>1460</v>
      </c>
      <c r="K1508" s="99">
        <f t="shared" si="266"/>
        <v>32307.5</v>
      </c>
      <c r="L1508" s="7">
        <v>2270</v>
      </c>
      <c r="M1508" s="7">
        <v>11900</v>
      </c>
      <c r="N1508" s="7">
        <v>650</v>
      </c>
      <c r="O1508" s="7">
        <v>1500</v>
      </c>
      <c r="P1508" s="7">
        <v>9822.2926003178854</v>
      </c>
      <c r="Q1508" s="7"/>
      <c r="R1508" s="113">
        <f t="shared" si="267"/>
        <v>0.8056757224433293</v>
      </c>
      <c r="S1508" s="113">
        <f t="shared" si="268"/>
        <v>0.43011292346298619</v>
      </c>
      <c r="T1508" s="113">
        <f t="shared" si="269"/>
        <v>0.89477477477477474</v>
      </c>
      <c r="U1508" s="113">
        <f t="shared" si="270"/>
        <v>0.71018780689369676</v>
      </c>
      <c r="V1508" s="31">
        <f t="shared" si="247"/>
        <v>16320</v>
      </c>
    </row>
    <row r="1509" spans="1:22" x14ac:dyDescent="0.45">
      <c r="A1509" s="95">
        <v>46069</v>
      </c>
      <c r="B1509" s="96">
        <f t="shared" si="260"/>
        <v>14447.5</v>
      </c>
      <c r="C1509" s="103">
        <v>11640</v>
      </c>
      <c r="D1509" s="114">
        <v>2807.5</v>
      </c>
      <c r="E1509" s="97">
        <f t="shared" si="264"/>
        <v>3985</v>
      </c>
      <c r="F1509" s="7">
        <v>1714</v>
      </c>
      <c r="G1509" s="7">
        <v>2271</v>
      </c>
      <c r="H1509" s="98">
        <f t="shared" si="265"/>
        <v>13875</v>
      </c>
      <c r="I1509" s="7">
        <v>12415</v>
      </c>
      <c r="J1509" s="7">
        <v>1460</v>
      </c>
      <c r="K1509" s="99">
        <f t="shared" si="266"/>
        <v>32307.5</v>
      </c>
      <c r="L1509" s="7">
        <v>2270</v>
      </c>
      <c r="M1509" s="7">
        <v>11900</v>
      </c>
      <c r="N1509" s="7">
        <v>650</v>
      </c>
      <c r="O1509" s="7">
        <v>1200</v>
      </c>
      <c r="P1509" s="7"/>
      <c r="Q1509" s="7"/>
      <c r="R1509" s="113">
        <f t="shared" si="267"/>
        <v>0.8056757224433293</v>
      </c>
      <c r="S1509" s="113">
        <f t="shared" si="268"/>
        <v>0.43011292346298619</v>
      </c>
      <c r="T1509" s="113">
        <f t="shared" si="269"/>
        <v>0.89477477477477474</v>
      </c>
      <c r="U1509" s="113">
        <f t="shared" si="270"/>
        <v>0.71018780689369676</v>
      </c>
      <c r="V1509" s="31">
        <f t="shared" si="247"/>
        <v>16020</v>
      </c>
    </row>
    <row r="1510" spans="1:22" x14ac:dyDescent="0.45">
      <c r="A1510" s="95">
        <v>46070</v>
      </c>
      <c r="B1510" s="96">
        <f t="shared" si="260"/>
        <v>14447.5</v>
      </c>
      <c r="C1510" s="103">
        <v>11640</v>
      </c>
      <c r="D1510" s="114">
        <v>2807.5</v>
      </c>
      <c r="E1510" s="97">
        <f t="shared" si="264"/>
        <v>3985</v>
      </c>
      <c r="F1510" s="7">
        <v>1714</v>
      </c>
      <c r="G1510" s="7">
        <v>2271</v>
      </c>
      <c r="H1510" s="98">
        <f t="shared" si="265"/>
        <v>13875</v>
      </c>
      <c r="I1510" s="7">
        <v>12415</v>
      </c>
      <c r="J1510" s="7">
        <v>1460</v>
      </c>
      <c r="K1510" s="99">
        <f t="shared" si="266"/>
        <v>32307.5</v>
      </c>
      <c r="L1510" s="7">
        <v>2270</v>
      </c>
      <c r="M1510" s="7">
        <v>11900</v>
      </c>
      <c r="N1510" s="7">
        <v>550</v>
      </c>
      <c r="O1510" s="7">
        <v>1200</v>
      </c>
      <c r="P1510" s="7"/>
      <c r="Q1510" s="7"/>
      <c r="R1510" s="113">
        <f t="shared" si="267"/>
        <v>0.8056757224433293</v>
      </c>
      <c r="S1510" s="113">
        <f t="shared" si="268"/>
        <v>0.43011292346298619</v>
      </c>
      <c r="T1510" s="113">
        <f t="shared" si="269"/>
        <v>0.89477477477477474</v>
      </c>
      <c r="U1510" s="113">
        <f t="shared" si="270"/>
        <v>0.71018780689369676</v>
      </c>
      <c r="V1510" s="31">
        <f t="shared" si="247"/>
        <v>15920</v>
      </c>
    </row>
    <row r="1511" spans="1:22" x14ac:dyDescent="0.45">
      <c r="A1511" s="95">
        <v>46071</v>
      </c>
      <c r="B1511" s="96">
        <f t="shared" si="260"/>
        <v>14447.5</v>
      </c>
      <c r="C1511" s="103">
        <v>11640</v>
      </c>
      <c r="D1511" s="114">
        <v>2807.5</v>
      </c>
      <c r="E1511" s="97">
        <f t="shared" si="264"/>
        <v>3985</v>
      </c>
      <c r="F1511" s="7">
        <v>1714</v>
      </c>
      <c r="G1511" s="7">
        <v>2271</v>
      </c>
      <c r="H1511" s="98">
        <f t="shared" si="265"/>
        <v>13875</v>
      </c>
      <c r="I1511" s="7">
        <v>12415</v>
      </c>
      <c r="J1511" s="7">
        <v>1460</v>
      </c>
      <c r="K1511" s="99">
        <f t="shared" si="266"/>
        <v>32307.5</v>
      </c>
      <c r="L1511" s="7">
        <v>2270</v>
      </c>
      <c r="M1511" s="7">
        <v>11900</v>
      </c>
      <c r="N1511" s="7"/>
      <c r="O1511" s="7"/>
      <c r="P1511" s="7"/>
      <c r="Q1511" s="7"/>
      <c r="V1511" s="31"/>
    </row>
    <row r="1512" spans="1:22" x14ac:dyDescent="0.45">
      <c r="A1512" s="95">
        <v>46072</v>
      </c>
      <c r="B1512" s="96"/>
      <c r="D1512" s="114"/>
      <c r="E1512" s="97"/>
      <c r="F1512" s="7"/>
      <c r="G1512" s="7"/>
      <c r="H1512" s="98"/>
      <c r="I1512" s="7"/>
      <c r="J1512" s="7"/>
      <c r="K1512" s="99"/>
      <c r="L1512" s="7"/>
      <c r="M1512" s="7"/>
      <c r="N1512" s="7"/>
      <c r="O1512" s="7"/>
      <c r="P1512" s="7"/>
      <c r="Q1512" s="7"/>
      <c r="V1512" s="31"/>
    </row>
    <row r="1513" spans="1:22" x14ac:dyDescent="0.45">
      <c r="A1513" s="95">
        <v>46073</v>
      </c>
      <c r="B1513" s="96"/>
      <c r="D1513" s="114"/>
      <c r="E1513" s="97"/>
      <c r="F1513" s="7"/>
      <c r="G1513" s="7"/>
      <c r="H1513" s="98"/>
      <c r="I1513" s="7"/>
      <c r="J1513" s="7"/>
      <c r="K1513" s="99"/>
      <c r="L1513" s="7"/>
      <c r="M1513" s="7"/>
      <c r="N1513" s="7"/>
      <c r="O1513" s="7"/>
      <c r="P1513" s="7"/>
      <c r="Q1513" s="7"/>
      <c r="V1513" s="31"/>
    </row>
    <row r="1514" spans="1:22" x14ac:dyDescent="0.45">
      <c r="A1514" s="95"/>
      <c r="B1514" s="96"/>
      <c r="D1514" s="114"/>
      <c r="E1514" s="97"/>
      <c r="F1514" s="7"/>
      <c r="G1514" s="7"/>
      <c r="H1514" s="98"/>
      <c r="I1514" s="7"/>
      <c r="J1514" s="7"/>
      <c r="K1514" s="99"/>
      <c r="L1514" s="7"/>
      <c r="M1514" s="7"/>
      <c r="N1514" s="7"/>
      <c r="O1514" s="7"/>
      <c r="P1514" s="7"/>
      <c r="Q1514" s="7"/>
      <c r="V1514" s="31"/>
    </row>
    <row r="1515" spans="1:22" x14ac:dyDescent="0.45">
      <c r="A1515" s="95"/>
      <c r="B1515" s="96"/>
      <c r="D1515" s="114"/>
      <c r="E1515" s="97"/>
      <c r="F1515" s="7"/>
      <c r="G1515" s="7"/>
      <c r="H1515" s="98"/>
      <c r="I1515" s="7"/>
      <c r="J1515" s="7"/>
      <c r="K1515" s="99"/>
      <c r="L1515" s="7"/>
      <c r="M1515" s="7"/>
      <c r="N1515" s="7"/>
      <c r="O1515" s="7"/>
      <c r="P1515" s="7"/>
      <c r="Q1515" s="7"/>
      <c r="V1515" s="31"/>
    </row>
    <row r="1516" spans="1:22" x14ac:dyDescent="0.45">
      <c r="A1516" s="95"/>
      <c r="B1516" s="96"/>
      <c r="D1516" s="114"/>
      <c r="E1516" s="97"/>
      <c r="F1516" s="7"/>
      <c r="G1516" s="7"/>
      <c r="H1516" s="98"/>
      <c r="I1516" s="7"/>
      <c r="J1516" s="7"/>
      <c r="K1516" s="99"/>
      <c r="L1516" s="7"/>
      <c r="M1516" s="7"/>
      <c r="N1516" s="7"/>
      <c r="O1516" s="7"/>
      <c r="P1516" s="7"/>
      <c r="Q1516" s="7"/>
      <c r="V1516" s="31"/>
    </row>
    <row r="1517" spans="1:22" x14ac:dyDescent="0.45">
      <c r="A1517" s="95"/>
      <c r="B1517" s="96"/>
      <c r="D1517" s="114"/>
      <c r="E1517" s="97"/>
      <c r="F1517" s="7"/>
      <c r="G1517" s="7"/>
      <c r="H1517" s="98"/>
      <c r="I1517" s="7"/>
      <c r="J1517" s="7"/>
      <c r="K1517" s="99"/>
      <c r="L1517" s="7"/>
      <c r="M1517" s="7"/>
      <c r="N1517" s="7"/>
      <c r="O1517" s="7"/>
      <c r="P1517" s="7"/>
      <c r="Q1517" s="7"/>
      <c r="V1517" s="3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Feuil1</vt:lpstr>
      <vt:lpstr>Feuil2</vt:lpstr>
      <vt:lpstr>Feuil3</vt:lpstr>
      <vt:lpstr>Feuil4</vt:lpstr>
      <vt:lpstr>Marché monétaire</vt:lpstr>
      <vt:lpstr>Gestion des réserves Ext</vt:lpstr>
      <vt:lpstr>MIB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CIRE SY</dc:creator>
  <cp:lastModifiedBy>CIRE OUMAR SY</cp:lastModifiedBy>
  <dcterms:created xsi:type="dcterms:W3CDTF">2024-09-23T17:30:27Z</dcterms:created>
  <dcterms:modified xsi:type="dcterms:W3CDTF">2026-02-13T13:08:35Z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2024-09-23T18:03:07Z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d29fba85-2a8f-4e3b-9084-3e9d3f5e649b</vt:lpwstr>
  </property>
  <property fmtid="{D5CDD505-2E9C-101B-9397-08002B2CF9AE}" pid="7" name="MSIP_Label_defa4170-0d19-0005-0004-bc88714345d2_ActionId">
    <vt:lpwstr>6b565608-6813-4af3-904c-c898734bdf4a</vt:lpwstr>
  </property>
  <property fmtid="{D5CDD505-2E9C-101B-9397-08002B2CF9AE}" pid="8" name="MSIP_Label_defa4170-0d19-0005-0004-bc88714345d2_ContentBits">
    <vt:lpwstr>0</vt:lpwstr>
  </property>
</Properties>
</file>